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11880" windowHeight="11280"/>
  </bookViews>
  <sheets>
    <sheet name="LB_(AF)" sheetId="3" r:id="rId1"/>
    <sheet name="UB_(AF)" sheetId="1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N2" i="1" l="1"/>
  <c r="AF6" i="3"/>
  <c r="AE3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  <c r="K19" i="1" l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" i="1"/>
</calcChain>
</file>

<file path=xl/sharedStrings.xml><?xml version="1.0" encoding="utf-8"?>
<sst xmlns="http://schemas.openxmlformats.org/spreadsheetml/2006/main" count="45" uniqueCount="43">
  <si>
    <t>WY</t>
  </si>
  <si>
    <t>UT1</t>
  </si>
  <si>
    <t>UT2</t>
  </si>
  <si>
    <t>UT3</t>
  </si>
  <si>
    <t>NM</t>
  </si>
  <si>
    <t>CO1</t>
  </si>
  <si>
    <t>CO2</t>
  </si>
  <si>
    <t>CO3</t>
  </si>
  <si>
    <t>AZ</t>
  </si>
  <si>
    <t>MohaveValleyIDDPriority1_MohaveValleyIDD</t>
  </si>
  <si>
    <t>FtMohaveReservation_Fort Mohave Ind Res AZ</t>
  </si>
  <si>
    <t>GilaGravityMainCanalPriority1_NorthGilaValleyIDD</t>
  </si>
  <si>
    <t>GilaGravityMainCanalPriority1_UnitBIDD</t>
  </si>
  <si>
    <t>GilaGravityMainCanalPriority1_YumaCountyWUA</t>
  </si>
  <si>
    <t>GilaAndYumaUsersPriority1_CocopahIndRes</t>
  </si>
  <si>
    <t>GilaAndYumaUsersPriority1_GilaMonsterFarms</t>
  </si>
  <si>
    <t>FtYumaReservationPriority1_FtYumaReservation</t>
  </si>
  <si>
    <t>ColoradoRiverIndianReservation_CRIR AZ</t>
  </si>
  <si>
    <t>GilaGravityMainCanalPriority2and3_YumaIrrDist</t>
  </si>
  <si>
    <t>GilaGravityMainCanalPriority2and3_UnitBIDD</t>
  </si>
  <si>
    <t>GilaGravityMainCanalPriority2and3_YumaMesaIDD</t>
  </si>
  <si>
    <t>GilaGravityMainCanalPriority2and3_WelltonMohawkIDD</t>
  </si>
  <si>
    <t>GilaAndYumaUsersPriority2and3_GilaMonsterFarms</t>
  </si>
  <si>
    <t>MohaveValleyIDDPriority4_MohaveValleyIDDAgPortion</t>
  </si>
  <si>
    <t>CibolaValleyIDDPriority4_CibolaValleyIDD</t>
  </si>
  <si>
    <t>ParkerAndOtherUsersPriority4_HopiTribe</t>
  </si>
  <si>
    <t>GilaAndYumaUsersPriority4_GilaMonsterFarms</t>
  </si>
  <si>
    <t>GilaAndYumaUsersPriority4_CocopahIndRes</t>
  </si>
  <si>
    <t>FtMohaveReservation_Fort Mohave Ind Res CA</t>
  </si>
  <si>
    <t>ColoradoRiverIndianReservation_CRIR CA</t>
  </si>
  <si>
    <t>PVIDDiversion_PVIDDiversionAG</t>
  </si>
  <si>
    <t>AllAmericanCanalYumaProj_Quechan Res Unit</t>
  </si>
  <si>
    <t>AllAmericanCanalYumaProj_Bard Unit</t>
  </si>
  <si>
    <t>SUM(AF)</t>
  </si>
  <si>
    <t>Sum(KAF)</t>
  </si>
  <si>
    <t>SUM(AF)-Div</t>
  </si>
  <si>
    <t>CA</t>
  </si>
  <si>
    <t>NV</t>
  </si>
  <si>
    <t>(AF)Report-consumptive-2018</t>
  </si>
  <si>
    <t>Report-diversion-2018</t>
  </si>
  <si>
    <t>Report-Consummptive Use-2018</t>
  </si>
  <si>
    <t>Total(AF)</t>
  </si>
  <si>
    <t>(SI)-2018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</si>
</sst>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42" applyNumberFormat="1" applyFont="1"/>
    <xf numFmtId="0" fontId="0" fillId="0" borderId="0" xfId="0" applyAlignment="1">
      <alignment wrapText="1"/>
    </xf>
    <xf numFmtId="165" fontId="0" fillId="0" borderId="0" xfId="0" applyNumberFormat="1"/>
    <xf numFmtId="0" fontId="0" fillId="33" borderId="0" xfId="0" applyFill="1"/>
    <xf numFmtId="165" fontId="16" fillId="33" borderId="0" xfId="42" applyNumberFormat="1" applyFont="1" applyFill="1"/>
    <xf numFmtId="3" fontId="0" fillId="8" borderId="8" xfId="15" applyNumberFormat="1" applyFont="1"/>
    <xf numFmtId="0" fontId="0" fillId="8" borderId="8" xfId="15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'UB_(AF)'!$C$1</c:f>
              <c:strCache>
                <c:ptCount val="1"/>
                <c:pt idx="0">
                  <c:v>UT1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256626372407673"/>
                  <c:y val="-0.10994981627296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'UB_(AF)'!$A$2:$A$49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'UB_(AF)'!$C$2:$C$49</c:f>
              <c:numCache>
                <c:formatCode>General</c:formatCode>
                <c:ptCount val="48"/>
                <c:pt idx="0">
                  <c:v>500.4</c:v>
                </c:pt>
                <c:pt idx="1">
                  <c:v>504</c:v>
                </c:pt>
                <c:pt idx="2">
                  <c:v>502.1</c:v>
                </c:pt>
                <c:pt idx="3">
                  <c:v>524.5</c:v>
                </c:pt>
                <c:pt idx="4">
                  <c:v>393.8</c:v>
                </c:pt>
                <c:pt idx="5">
                  <c:v>416.5</c:v>
                </c:pt>
                <c:pt idx="6">
                  <c:v>228</c:v>
                </c:pt>
                <c:pt idx="7">
                  <c:v>436.8</c:v>
                </c:pt>
                <c:pt idx="8">
                  <c:v>450.1</c:v>
                </c:pt>
                <c:pt idx="9">
                  <c:v>418.6</c:v>
                </c:pt>
                <c:pt idx="10">
                  <c:v>409.1</c:v>
                </c:pt>
                <c:pt idx="11">
                  <c:v>403.5</c:v>
                </c:pt>
                <c:pt idx="12">
                  <c:v>407.3</c:v>
                </c:pt>
                <c:pt idx="13">
                  <c:v>438.7</c:v>
                </c:pt>
                <c:pt idx="14">
                  <c:v>510.7</c:v>
                </c:pt>
                <c:pt idx="15">
                  <c:v>473.1</c:v>
                </c:pt>
                <c:pt idx="16">
                  <c:v>461.3</c:v>
                </c:pt>
                <c:pt idx="17">
                  <c:v>440.4</c:v>
                </c:pt>
                <c:pt idx="18">
                  <c:v>421.8</c:v>
                </c:pt>
                <c:pt idx="19">
                  <c:v>463.4</c:v>
                </c:pt>
                <c:pt idx="20">
                  <c:v>509.2</c:v>
                </c:pt>
                <c:pt idx="21">
                  <c:v>520.4</c:v>
                </c:pt>
                <c:pt idx="22">
                  <c:v>481.3</c:v>
                </c:pt>
                <c:pt idx="23">
                  <c:v>633.9</c:v>
                </c:pt>
                <c:pt idx="24">
                  <c:v>487.5</c:v>
                </c:pt>
                <c:pt idx="25">
                  <c:v>443.7</c:v>
                </c:pt>
                <c:pt idx="26">
                  <c:v>442.7</c:v>
                </c:pt>
                <c:pt idx="27">
                  <c:v>516</c:v>
                </c:pt>
                <c:pt idx="28">
                  <c:v>523.5</c:v>
                </c:pt>
                <c:pt idx="29">
                  <c:v>429</c:v>
                </c:pt>
                <c:pt idx="30">
                  <c:v>535.70000000000005</c:v>
                </c:pt>
                <c:pt idx="31">
                  <c:v>403.8</c:v>
                </c:pt>
                <c:pt idx="32">
                  <c:v>478.1</c:v>
                </c:pt>
                <c:pt idx="33">
                  <c:v>455</c:v>
                </c:pt>
                <c:pt idx="34">
                  <c:v>490.3</c:v>
                </c:pt>
                <c:pt idx="35">
                  <c:v>529.9</c:v>
                </c:pt>
                <c:pt idx="36">
                  <c:v>513.9</c:v>
                </c:pt>
                <c:pt idx="37">
                  <c:v>465</c:v>
                </c:pt>
                <c:pt idx="38">
                  <c:v>466.6</c:v>
                </c:pt>
                <c:pt idx="39">
                  <c:v>452.1</c:v>
                </c:pt>
                <c:pt idx="40">
                  <c:v>472.5</c:v>
                </c:pt>
                <c:pt idx="41">
                  <c:v>549.20000000000005</c:v>
                </c:pt>
                <c:pt idx="42">
                  <c:v>570.4</c:v>
                </c:pt>
                <c:pt idx="43">
                  <c:v>442.2</c:v>
                </c:pt>
                <c:pt idx="44">
                  <c:v>418</c:v>
                </c:pt>
                <c:pt idx="45">
                  <c:v>564.5</c:v>
                </c:pt>
                <c:pt idx="46">
                  <c:v>597.9</c:v>
                </c:pt>
                <c:pt idx="47">
                  <c:v>686.4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6-4319-AEA2-283D87AF8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677648"/>
        <c:axId val="638678960"/>
      </c:lineChart>
      <c:catAx>
        <c:axId val="63867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896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6386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'UB_(AF)'!$B$1</c:f>
              <c:strCache>
                <c:ptCount val="1"/>
                <c:pt idx="0">
                  <c:v>WY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'UB_(AF)'!$B$2:$B$49</c:f>
              <c:numCache>
                <c:formatCode>General</c:formatCode>
                <c:ptCount val="48"/>
                <c:pt idx="0">
                  <c:v>275.2</c:v>
                </c:pt>
                <c:pt idx="1">
                  <c:v>238.2</c:v>
                </c:pt>
                <c:pt idx="2">
                  <c:v>235.3</c:v>
                </c:pt>
                <c:pt idx="3">
                  <c:v>288.5</c:v>
                </c:pt>
                <c:pt idx="4">
                  <c:v>207.1</c:v>
                </c:pt>
                <c:pt idx="5">
                  <c:v>204</c:v>
                </c:pt>
                <c:pt idx="6">
                  <c:v>133.1</c:v>
                </c:pt>
                <c:pt idx="7">
                  <c:v>244.8</c:v>
                </c:pt>
                <c:pt idx="8">
                  <c:v>253.5</c:v>
                </c:pt>
                <c:pt idx="9">
                  <c:v>239.3</c:v>
                </c:pt>
                <c:pt idx="10">
                  <c:v>237.1</c:v>
                </c:pt>
                <c:pt idx="11">
                  <c:v>224.3</c:v>
                </c:pt>
                <c:pt idx="12">
                  <c:v>253.2</c:v>
                </c:pt>
                <c:pt idx="13">
                  <c:v>225.2</c:v>
                </c:pt>
                <c:pt idx="14">
                  <c:v>245.9</c:v>
                </c:pt>
                <c:pt idx="15">
                  <c:v>380.7</c:v>
                </c:pt>
                <c:pt idx="16">
                  <c:v>378.4</c:v>
                </c:pt>
                <c:pt idx="17">
                  <c:v>463.7</c:v>
                </c:pt>
                <c:pt idx="18">
                  <c:v>369</c:v>
                </c:pt>
                <c:pt idx="19">
                  <c:v>401.1</c:v>
                </c:pt>
                <c:pt idx="20">
                  <c:v>325.39999999999998</c:v>
                </c:pt>
                <c:pt idx="21">
                  <c:v>431.6</c:v>
                </c:pt>
                <c:pt idx="22">
                  <c:v>295.89999999999998</c:v>
                </c:pt>
                <c:pt idx="23">
                  <c:v>489.9</c:v>
                </c:pt>
                <c:pt idx="24">
                  <c:v>342.9</c:v>
                </c:pt>
                <c:pt idx="25">
                  <c:v>387.3</c:v>
                </c:pt>
                <c:pt idx="26">
                  <c:v>336.9</c:v>
                </c:pt>
                <c:pt idx="27">
                  <c:v>279.10000000000002</c:v>
                </c:pt>
                <c:pt idx="28">
                  <c:v>309.3</c:v>
                </c:pt>
                <c:pt idx="29">
                  <c:v>319.8</c:v>
                </c:pt>
                <c:pt idx="30">
                  <c:v>342.7</c:v>
                </c:pt>
                <c:pt idx="31">
                  <c:v>350.1</c:v>
                </c:pt>
                <c:pt idx="32">
                  <c:v>317.60000000000002</c:v>
                </c:pt>
                <c:pt idx="33">
                  <c:v>285.7</c:v>
                </c:pt>
                <c:pt idx="34">
                  <c:v>314.60000000000002</c:v>
                </c:pt>
                <c:pt idx="35">
                  <c:v>213.8</c:v>
                </c:pt>
                <c:pt idx="36">
                  <c:v>322.8</c:v>
                </c:pt>
                <c:pt idx="37">
                  <c:v>286.89999999999998</c:v>
                </c:pt>
                <c:pt idx="38">
                  <c:v>300.2</c:v>
                </c:pt>
                <c:pt idx="39">
                  <c:v>280.10000000000002</c:v>
                </c:pt>
                <c:pt idx="40">
                  <c:v>305.60000000000002</c:v>
                </c:pt>
                <c:pt idx="41">
                  <c:v>277.5</c:v>
                </c:pt>
                <c:pt idx="42">
                  <c:v>269.8</c:v>
                </c:pt>
                <c:pt idx="43">
                  <c:v>263.10000000000002</c:v>
                </c:pt>
                <c:pt idx="44">
                  <c:v>258.3</c:v>
                </c:pt>
                <c:pt idx="45">
                  <c:v>322.5</c:v>
                </c:pt>
                <c:pt idx="46">
                  <c:v>365.2</c:v>
                </c:pt>
                <c:pt idx="47">
                  <c:v>345.1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9-4E65-98D3-ECBD204DCD37}"/>
            </c:ext>
          </c:extLst>
        </c:ser>
        <c:ser>
          <c:idx val="1"/>
          <c:order val="1"/>
          <c:tx>
            <c:strRef>
              <c:f>'UB_(AF)'!$C$1</c:f>
              <c:strCache>
                <c:ptCount val="1"/>
                <c:pt idx="0">
                  <c:v>UT1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'UB_(AF)'!$C$2:$C$49</c:f>
              <c:numCache>
                <c:formatCode>General</c:formatCode>
                <c:ptCount val="48"/>
                <c:pt idx="0">
                  <c:v>500.4</c:v>
                </c:pt>
                <c:pt idx="1">
                  <c:v>504</c:v>
                </c:pt>
                <c:pt idx="2">
                  <c:v>502.1</c:v>
                </c:pt>
                <c:pt idx="3">
                  <c:v>524.5</c:v>
                </c:pt>
                <c:pt idx="4">
                  <c:v>393.8</c:v>
                </c:pt>
                <c:pt idx="5">
                  <c:v>416.5</c:v>
                </c:pt>
                <c:pt idx="6">
                  <c:v>228</c:v>
                </c:pt>
                <c:pt idx="7">
                  <c:v>436.8</c:v>
                </c:pt>
                <c:pt idx="8">
                  <c:v>450.1</c:v>
                </c:pt>
                <c:pt idx="9">
                  <c:v>418.6</c:v>
                </c:pt>
                <c:pt idx="10">
                  <c:v>409.1</c:v>
                </c:pt>
                <c:pt idx="11">
                  <c:v>403.5</c:v>
                </c:pt>
                <c:pt idx="12">
                  <c:v>407.3</c:v>
                </c:pt>
                <c:pt idx="13">
                  <c:v>438.7</c:v>
                </c:pt>
                <c:pt idx="14">
                  <c:v>510.7</c:v>
                </c:pt>
                <c:pt idx="15">
                  <c:v>473.1</c:v>
                </c:pt>
                <c:pt idx="16">
                  <c:v>461.3</c:v>
                </c:pt>
                <c:pt idx="17">
                  <c:v>440.4</c:v>
                </c:pt>
                <c:pt idx="18">
                  <c:v>421.8</c:v>
                </c:pt>
                <c:pt idx="19">
                  <c:v>463.4</c:v>
                </c:pt>
                <c:pt idx="20">
                  <c:v>509.2</c:v>
                </c:pt>
                <c:pt idx="21">
                  <c:v>520.4</c:v>
                </c:pt>
                <c:pt idx="22">
                  <c:v>481.3</c:v>
                </c:pt>
                <c:pt idx="23">
                  <c:v>633.9</c:v>
                </c:pt>
                <c:pt idx="24">
                  <c:v>487.5</c:v>
                </c:pt>
                <c:pt idx="25">
                  <c:v>443.7</c:v>
                </c:pt>
                <c:pt idx="26">
                  <c:v>442.7</c:v>
                </c:pt>
                <c:pt idx="27">
                  <c:v>516</c:v>
                </c:pt>
                <c:pt idx="28">
                  <c:v>523.5</c:v>
                </c:pt>
                <c:pt idx="29">
                  <c:v>429</c:v>
                </c:pt>
                <c:pt idx="30">
                  <c:v>535.70000000000005</c:v>
                </c:pt>
                <c:pt idx="31">
                  <c:v>403.8</c:v>
                </c:pt>
                <c:pt idx="32">
                  <c:v>478.1</c:v>
                </c:pt>
                <c:pt idx="33">
                  <c:v>455</c:v>
                </c:pt>
                <c:pt idx="34">
                  <c:v>490.3</c:v>
                </c:pt>
                <c:pt idx="35">
                  <c:v>529.9</c:v>
                </c:pt>
                <c:pt idx="36">
                  <c:v>513.9</c:v>
                </c:pt>
                <c:pt idx="37">
                  <c:v>465</c:v>
                </c:pt>
                <c:pt idx="38">
                  <c:v>466.6</c:v>
                </c:pt>
                <c:pt idx="39">
                  <c:v>452.1</c:v>
                </c:pt>
                <c:pt idx="40">
                  <c:v>472.5</c:v>
                </c:pt>
                <c:pt idx="41">
                  <c:v>549.20000000000005</c:v>
                </c:pt>
                <c:pt idx="42">
                  <c:v>570.4</c:v>
                </c:pt>
                <c:pt idx="43">
                  <c:v>442.2</c:v>
                </c:pt>
                <c:pt idx="44">
                  <c:v>418</c:v>
                </c:pt>
                <c:pt idx="45">
                  <c:v>564.5</c:v>
                </c:pt>
                <c:pt idx="46">
                  <c:v>597.9</c:v>
                </c:pt>
                <c:pt idx="47">
                  <c:v>686.4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9-4E65-98D3-ECBD204DCD37}"/>
            </c:ext>
          </c:extLst>
        </c:ser>
        <c:ser>
          <c:idx val="2"/>
          <c:order val="2"/>
          <c:tx>
            <c:strRef>
              <c:f>'UB_(AF)'!$D$1</c:f>
              <c:strCache>
                <c:ptCount val="1"/>
                <c:pt idx="0">
                  <c:v>UT2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'UB_(AF)'!$D$2:$D$49</c:f>
              <c:numCache>
                <c:formatCode>General</c:formatCode>
                <c:ptCount val="48"/>
                <c:pt idx="0">
                  <c:v>9.6</c:v>
                </c:pt>
                <c:pt idx="1">
                  <c:v>8.9</c:v>
                </c:pt>
                <c:pt idx="2">
                  <c:v>9.1</c:v>
                </c:pt>
                <c:pt idx="3">
                  <c:v>9.9</c:v>
                </c:pt>
                <c:pt idx="4">
                  <c:v>8.6999999999999993</c:v>
                </c:pt>
                <c:pt idx="5">
                  <c:v>10.4</c:v>
                </c:pt>
                <c:pt idx="6">
                  <c:v>4</c:v>
                </c:pt>
                <c:pt idx="7">
                  <c:v>12.4</c:v>
                </c:pt>
                <c:pt idx="8">
                  <c:v>13.8</c:v>
                </c:pt>
                <c:pt idx="9">
                  <c:v>13</c:v>
                </c:pt>
                <c:pt idx="10">
                  <c:v>9.1</c:v>
                </c:pt>
                <c:pt idx="11">
                  <c:v>7.8</c:v>
                </c:pt>
                <c:pt idx="12">
                  <c:v>9.1</c:v>
                </c:pt>
                <c:pt idx="13">
                  <c:v>10.1</c:v>
                </c:pt>
                <c:pt idx="14">
                  <c:v>9.6</c:v>
                </c:pt>
                <c:pt idx="15">
                  <c:v>9.6</c:v>
                </c:pt>
                <c:pt idx="16">
                  <c:v>10.3</c:v>
                </c:pt>
                <c:pt idx="17">
                  <c:v>9.6999999999999993</c:v>
                </c:pt>
                <c:pt idx="18">
                  <c:v>9.1</c:v>
                </c:pt>
                <c:pt idx="19">
                  <c:v>10.6</c:v>
                </c:pt>
                <c:pt idx="20">
                  <c:v>13.8</c:v>
                </c:pt>
                <c:pt idx="21">
                  <c:v>13.5</c:v>
                </c:pt>
                <c:pt idx="22">
                  <c:v>12.9</c:v>
                </c:pt>
                <c:pt idx="23">
                  <c:v>13.5</c:v>
                </c:pt>
                <c:pt idx="24">
                  <c:v>9.6</c:v>
                </c:pt>
                <c:pt idx="25">
                  <c:v>12.9</c:v>
                </c:pt>
                <c:pt idx="26">
                  <c:v>20.2</c:v>
                </c:pt>
                <c:pt idx="27">
                  <c:v>19.3</c:v>
                </c:pt>
                <c:pt idx="28">
                  <c:v>17.899999999999999</c:v>
                </c:pt>
                <c:pt idx="29">
                  <c:v>14.1</c:v>
                </c:pt>
                <c:pt idx="30">
                  <c:v>21.6</c:v>
                </c:pt>
                <c:pt idx="31">
                  <c:v>9.9</c:v>
                </c:pt>
                <c:pt idx="32">
                  <c:v>12.5</c:v>
                </c:pt>
                <c:pt idx="33">
                  <c:v>12.2</c:v>
                </c:pt>
                <c:pt idx="34">
                  <c:v>10.199999999999999</c:v>
                </c:pt>
                <c:pt idx="35">
                  <c:v>24.5</c:v>
                </c:pt>
                <c:pt idx="36">
                  <c:v>18.899999999999999</c:v>
                </c:pt>
                <c:pt idx="37">
                  <c:v>17.2</c:v>
                </c:pt>
                <c:pt idx="38">
                  <c:v>14.3</c:v>
                </c:pt>
                <c:pt idx="39">
                  <c:v>27.2</c:v>
                </c:pt>
                <c:pt idx="40">
                  <c:v>18.899999999999999</c:v>
                </c:pt>
                <c:pt idx="41">
                  <c:v>19.100000000000001</c:v>
                </c:pt>
                <c:pt idx="42">
                  <c:v>21.4</c:v>
                </c:pt>
                <c:pt idx="43">
                  <c:v>21</c:v>
                </c:pt>
                <c:pt idx="44">
                  <c:v>9.1</c:v>
                </c:pt>
                <c:pt idx="45">
                  <c:v>16.5</c:v>
                </c:pt>
                <c:pt idx="46">
                  <c:v>16.5</c:v>
                </c:pt>
                <c:pt idx="47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9-4E65-98D3-ECBD204DCD37}"/>
            </c:ext>
          </c:extLst>
        </c:ser>
        <c:ser>
          <c:idx val="3"/>
          <c:order val="3"/>
          <c:tx>
            <c:strRef>
              <c:f>'UB_(AF)'!$E$1</c:f>
              <c:strCache>
                <c:ptCount val="1"/>
                <c:pt idx="0">
                  <c:v>UT3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'UB_(AF)'!$E$2:$E$49</c:f>
              <c:numCache>
                <c:formatCode>General</c:formatCode>
                <c:ptCount val="48"/>
                <c:pt idx="0">
                  <c:v>39.200000000000003</c:v>
                </c:pt>
                <c:pt idx="1">
                  <c:v>34.4</c:v>
                </c:pt>
                <c:pt idx="2">
                  <c:v>48.2</c:v>
                </c:pt>
                <c:pt idx="3">
                  <c:v>41</c:v>
                </c:pt>
                <c:pt idx="4">
                  <c:v>36.9</c:v>
                </c:pt>
                <c:pt idx="5">
                  <c:v>38.200000000000003</c:v>
                </c:pt>
                <c:pt idx="6">
                  <c:v>15.9</c:v>
                </c:pt>
                <c:pt idx="7">
                  <c:v>44.2</c:v>
                </c:pt>
                <c:pt idx="8">
                  <c:v>56.3</c:v>
                </c:pt>
                <c:pt idx="9">
                  <c:v>52.5</c:v>
                </c:pt>
                <c:pt idx="10">
                  <c:v>42.9</c:v>
                </c:pt>
                <c:pt idx="11">
                  <c:v>46.8</c:v>
                </c:pt>
                <c:pt idx="12">
                  <c:v>58.8</c:v>
                </c:pt>
                <c:pt idx="13">
                  <c:v>60.3</c:v>
                </c:pt>
                <c:pt idx="14">
                  <c:v>63.5</c:v>
                </c:pt>
                <c:pt idx="15">
                  <c:v>60.3</c:v>
                </c:pt>
                <c:pt idx="16">
                  <c:v>54.2</c:v>
                </c:pt>
                <c:pt idx="17">
                  <c:v>53.5</c:v>
                </c:pt>
                <c:pt idx="18">
                  <c:v>53.8</c:v>
                </c:pt>
                <c:pt idx="19">
                  <c:v>48.9</c:v>
                </c:pt>
                <c:pt idx="20">
                  <c:v>68.900000000000006</c:v>
                </c:pt>
                <c:pt idx="21">
                  <c:v>68.2</c:v>
                </c:pt>
                <c:pt idx="22">
                  <c:v>68.599999999999994</c:v>
                </c:pt>
                <c:pt idx="23">
                  <c:v>76.900000000000006</c:v>
                </c:pt>
                <c:pt idx="24">
                  <c:v>85.4</c:v>
                </c:pt>
                <c:pt idx="25">
                  <c:v>64.400000000000006</c:v>
                </c:pt>
                <c:pt idx="26">
                  <c:v>62.2</c:v>
                </c:pt>
                <c:pt idx="27">
                  <c:v>70.3</c:v>
                </c:pt>
                <c:pt idx="28">
                  <c:v>59</c:v>
                </c:pt>
                <c:pt idx="29">
                  <c:v>69.5</c:v>
                </c:pt>
                <c:pt idx="30">
                  <c:v>72.599999999999994</c:v>
                </c:pt>
                <c:pt idx="31">
                  <c:v>51.9</c:v>
                </c:pt>
                <c:pt idx="32">
                  <c:v>60.1</c:v>
                </c:pt>
                <c:pt idx="33">
                  <c:v>50.1</c:v>
                </c:pt>
                <c:pt idx="34">
                  <c:v>71.7</c:v>
                </c:pt>
                <c:pt idx="35">
                  <c:v>123</c:v>
                </c:pt>
                <c:pt idx="36">
                  <c:v>155.19999999999999</c:v>
                </c:pt>
                <c:pt idx="37">
                  <c:v>138.30000000000001</c:v>
                </c:pt>
                <c:pt idx="38">
                  <c:v>134.5</c:v>
                </c:pt>
                <c:pt idx="39">
                  <c:v>131</c:v>
                </c:pt>
                <c:pt idx="40">
                  <c:v>90.6</c:v>
                </c:pt>
                <c:pt idx="41">
                  <c:v>93.7</c:v>
                </c:pt>
                <c:pt idx="42">
                  <c:v>93.7</c:v>
                </c:pt>
                <c:pt idx="43">
                  <c:v>74.2</c:v>
                </c:pt>
                <c:pt idx="44">
                  <c:v>69.3</c:v>
                </c:pt>
                <c:pt idx="45">
                  <c:v>81.599999999999994</c:v>
                </c:pt>
                <c:pt idx="46">
                  <c:v>85</c:v>
                </c:pt>
                <c:pt idx="47">
                  <c:v>79.2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9-4E65-98D3-ECBD204DCD37}"/>
            </c:ext>
          </c:extLst>
        </c:ser>
        <c:ser>
          <c:idx val="4"/>
          <c:order val="4"/>
          <c:tx>
            <c:strRef>
              <c:f>'UB_(AF)'!$F$1</c:f>
              <c:strCache>
                <c:ptCount val="1"/>
                <c:pt idx="0">
                  <c:v>NM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'UB_(AF)'!$F$2:$F$49</c:f>
              <c:numCache>
                <c:formatCode>General</c:formatCode>
                <c:ptCount val="48"/>
                <c:pt idx="0">
                  <c:v>80.900000000000006</c:v>
                </c:pt>
                <c:pt idx="1">
                  <c:v>93.3</c:v>
                </c:pt>
                <c:pt idx="2">
                  <c:v>87.8</c:v>
                </c:pt>
                <c:pt idx="3">
                  <c:v>96.5</c:v>
                </c:pt>
                <c:pt idx="4">
                  <c:v>89</c:v>
                </c:pt>
                <c:pt idx="5">
                  <c:v>141.4</c:v>
                </c:pt>
                <c:pt idx="6">
                  <c:v>131.9</c:v>
                </c:pt>
                <c:pt idx="7">
                  <c:v>157.1</c:v>
                </c:pt>
                <c:pt idx="8">
                  <c:v>174.8</c:v>
                </c:pt>
                <c:pt idx="9">
                  <c:v>204.8</c:v>
                </c:pt>
                <c:pt idx="10">
                  <c:v>175.7</c:v>
                </c:pt>
                <c:pt idx="11">
                  <c:v>179.4</c:v>
                </c:pt>
                <c:pt idx="12">
                  <c:v>185.2</c:v>
                </c:pt>
                <c:pt idx="13">
                  <c:v>186.7</c:v>
                </c:pt>
                <c:pt idx="14">
                  <c:v>198.6</c:v>
                </c:pt>
                <c:pt idx="15">
                  <c:v>199.3</c:v>
                </c:pt>
                <c:pt idx="16">
                  <c:v>167.5</c:v>
                </c:pt>
                <c:pt idx="17">
                  <c:v>161.9</c:v>
                </c:pt>
                <c:pt idx="18">
                  <c:v>213.9</c:v>
                </c:pt>
                <c:pt idx="19">
                  <c:v>194.8</c:v>
                </c:pt>
                <c:pt idx="20">
                  <c:v>192.8</c:v>
                </c:pt>
                <c:pt idx="21">
                  <c:v>179.3</c:v>
                </c:pt>
                <c:pt idx="22">
                  <c:v>193</c:v>
                </c:pt>
                <c:pt idx="23">
                  <c:v>203.5</c:v>
                </c:pt>
                <c:pt idx="24">
                  <c:v>197.8</c:v>
                </c:pt>
                <c:pt idx="25">
                  <c:v>208.2</c:v>
                </c:pt>
                <c:pt idx="26">
                  <c:v>183.5</c:v>
                </c:pt>
                <c:pt idx="27">
                  <c:v>194.1</c:v>
                </c:pt>
                <c:pt idx="28">
                  <c:v>155.6</c:v>
                </c:pt>
                <c:pt idx="29">
                  <c:v>181.1</c:v>
                </c:pt>
                <c:pt idx="30">
                  <c:v>195.5</c:v>
                </c:pt>
                <c:pt idx="31">
                  <c:v>238.5</c:v>
                </c:pt>
                <c:pt idx="32">
                  <c:v>231.2</c:v>
                </c:pt>
                <c:pt idx="33">
                  <c:v>229.1</c:v>
                </c:pt>
                <c:pt idx="34">
                  <c:v>210.1</c:v>
                </c:pt>
                <c:pt idx="35">
                  <c:v>211.8</c:v>
                </c:pt>
                <c:pt idx="36">
                  <c:v>212.2</c:v>
                </c:pt>
                <c:pt idx="37">
                  <c:v>212.2</c:v>
                </c:pt>
                <c:pt idx="38">
                  <c:v>212.2</c:v>
                </c:pt>
                <c:pt idx="39">
                  <c:v>212.2</c:v>
                </c:pt>
                <c:pt idx="40">
                  <c:v>208.4</c:v>
                </c:pt>
                <c:pt idx="41">
                  <c:v>208.4</c:v>
                </c:pt>
                <c:pt idx="42">
                  <c:v>208.4</c:v>
                </c:pt>
                <c:pt idx="43">
                  <c:v>208.4</c:v>
                </c:pt>
                <c:pt idx="44">
                  <c:v>208.4</c:v>
                </c:pt>
                <c:pt idx="45">
                  <c:v>201.3</c:v>
                </c:pt>
                <c:pt idx="46">
                  <c:v>235.1</c:v>
                </c:pt>
                <c:pt idx="47">
                  <c:v>235.1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9-4E65-98D3-ECBD204DCD37}"/>
            </c:ext>
          </c:extLst>
        </c:ser>
        <c:ser>
          <c:idx val="5"/>
          <c:order val="5"/>
          <c:tx>
            <c:strRef>
              <c:f>'UB_(AF)'!$G$1</c:f>
              <c:strCache>
                <c:ptCount val="1"/>
                <c:pt idx="0">
                  <c:v>CO1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'UB_(AF)'!$G$2:$G$49</c:f>
              <c:numCache>
                <c:formatCode>General</c:formatCode>
                <c:ptCount val="48"/>
                <c:pt idx="0">
                  <c:v>130</c:v>
                </c:pt>
                <c:pt idx="1">
                  <c:v>180.8</c:v>
                </c:pt>
                <c:pt idx="2">
                  <c:v>95.2</c:v>
                </c:pt>
                <c:pt idx="3">
                  <c:v>112.6</c:v>
                </c:pt>
                <c:pt idx="4">
                  <c:v>100.2</c:v>
                </c:pt>
                <c:pt idx="5">
                  <c:v>101.2</c:v>
                </c:pt>
                <c:pt idx="6">
                  <c:v>89.3</c:v>
                </c:pt>
                <c:pt idx="7">
                  <c:v>121.3</c:v>
                </c:pt>
                <c:pt idx="8">
                  <c:v>119.9</c:v>
                </c:pt>
                <c:pt idx="9">
                  <c:v>116.3</c:v>
                </c:pt>
                <c:pt idx="10">
                  <c:v>154.9</c:v>
                </c:pt>
                <c:pt idx="11">
                  <c:v>140.80000000000001</c:v>
                </c:pt>
                <c:pt idx="12">
                  <c:v>138.19999999999999</c:v>
                </c:pt>
                <c:pt idx="13">
                  <c:v>134.69999999999999</c:v>
                </c:pt>
                <c:pt idx="14">
                  <c:v>129.80000000000001</c:v>
                </c:pt>
                <c:pt idx="15">
                  <c:v>120.2</c:v>
                </c:pt>
                <c:pt idx="16">
                  <c:v>138</c:v>
                </c:pt>
                <c:pt idx="17">
                  <c:v>185.8</c:v>
                </c:pt>
                <c:pt idx="18">
                  <c:v>167.1</c:v>
                </c:pt>
                <c:pt idx="19">
                  <c:v>169.8</c:v>
                </c:pt>
                <c:pt idx="20">
                  <c:v>168.1</c:v>
                </c:pt>
                <c:pt idx="21">
                  <c:v>190.9</c:v>
                </c:pt>
                <c:pt idx="22">
                  <c:v>137.1</c:v>
                </c:pt>
                <c:pt idx="23">
                  <c:v>151.80000000000001</c:v>
                </c:pt>
                <c:pt idx="24">
                  <c:v>107.4</c:v>
                </c:pt>
                <c:pt idx="25">
                  <c:v>191.9</c:v>
                </c:pt>
                <c:pt idx="26">
                  <c:v>131.4</c:v>
                </c:pt>
                <c:pt idx="27">
                  <c:v>162.30000000000001</c:v>
                </c:pt>
                <c:pt idx="28">
                  <c:v>150.80000000000001</c:v>
                </c:pt>
                <c:pt idx="29">
                  <c:v>190.5</c:v>
                </c:pt>
                <c:pt idx="30">
                  <c:v>177.1</c:v>
                </c:pt>
                <c:pt idx="31">
                  <c:v>215.1</c:v>
                </c:pt>
                <c:pt idx="32">
                  <c:v>180.8</c:v>
                </c:pt>
                <c:pt idx="33">
                  <c:v>131.4</c:v>
                </c:pt>
                <c:pt idx="34">
                  <c:v>118.6</c:v>
                </c:pt>
                <c:pt idx="35">
                  <c:v>153.6</c:v>
                </c:pt>
                <c:pt idx="36">
                  <c:v>159.5</c:v>
                </c:pt>
                <c:pt idx="37">
                  <c:v>163.5</c:v>
                </c:pt>
                <c:pt idx="38">
                  <c:v>221</c:v>
                </c:pt>
                <c:pt idx="39">
                  <c:v>203.7</c:v>
                </c:pt>
                <c:pt idx="40">
                  <c:v>198</c:v>
                </c:pt>
                <c:pt idx="41">
                  <c:v>276.39999999999998</c:v>
                </c:pt>
                <c:pt idx="42">
                  <c:v>181.4</c:v>
                </c:pt>
                <c:pt idx="43">
                  <c:v>154.1</c:v>
                </c:pt>
                <c:pt idx="44">
                  <c:v>169.3</c:v>
                </c:pt>
                <c:pt idx="45">
                  <c:v>172.3</c:v>
                </c:pt>
                <c:pt idx="46">
                  <c:v>164.8</c:v>
                </c:pt>
                <c:pt idx="47">
                  <c:v>201.2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49-4E65-98D3-ECBD204DCD37}"/>
            </c:ext>
          </c:extLst>
        </c:ser>
        <c:ser>
          <c:idx val="6"/>
          <c:order val="6"/>
          <c:tx>
            <c:strRef>
              <c:f>'UB_(AF)'!$H$1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'UB_(AF)'!$H$2:$H$49</c:f>
              <c:numCache>
                <c:formatCode>General</c:formatCode>
                <c:ptCount val="48"/>
                <c:pt idx="0">
                  <c:v>889.7</c:v>
                </c:pt>
                <c:pt idx="1">
                  <c:v>891.1</c:v>
                </c:pt>
                <c:pt idx="2">
                  <c:v>732.3</c:v>
                </c:pt>
                <c:pt idx="3">
                  <c:v>946.9</c:v>
                </c:pt>
                <c:pt idx="4">
                  <c:v>826.1</c:v>
                </c:pt>
                <c:pt idx="5">
                  <c:v>839.9</c:v>
                </c:pt>
                <c:pt idx="6">
                  <c:v>769.7</c:v>
                </c:pt>
                <c:pt idx="7">
                  <c:v>921.1</c:v>
                </c:pt>
                <c:pt idx="8">
                  <c:v>911.9</c:v>
                </c:pt>
                <c:pt idx="9">
                  <c:v>937.2</c:v>
                </c:pt>
                <c:pt idx="10">
                  <c:v>1059.4000000000001</c:v>
                </c:pt>
                <c:pt idx="11">
                  <c:v>1016.9</c:v>
                </c:pt>
                <c:pt idx="12">
                  <c:v>1009.5</c:v>
                </c:pt>
                <c:pt idx="13">
                  <c:v>922.5</c:v>
                </c:pt>
                <c:pt idx="14">
                  <c:v>1011.3</c:v>
                </c:pt>
                <c:pt idx="15">
                  <c:v>836.1</c:v>
                </c:pt>
                <c:pt idx="16">
                  <c:v>964.5</c:v>
                </c:pt>
                <c:pt idx="17">
                  <c:v>1089.7</c:v>
                </c:pt>
                <c:pt idx="18">
                  <c:v>1125.8</c:v>
                </c:pt>
                <c:pt idx="19">
                  <c:v>1033.2</c:v>
                </c:pt>
                <c:pt idx="20">
                  <c:v>1079.5</c:v>
                </c:pt>
                <c:pt idx="21">
                  <c:v>1104</c:v>
                </c:pt>
                <c:pt idx="22">
                  <c:v>912.6</c:v>
                </c:pt>
                <c:pt idx="23">
                  <c:v>1111.3</c:v>
                </c:pt>
                <c:pt idx="24">
                  <c:v>762.8</c:v>
                </c:pt>
                <c:pt idx="25">
                  <c:v>1013.8</c:v>
                </c:pt>
                <c:pt idx="26">
                  <c:v>835.4</c:v>
                </c:pt>
                <c:pt idx="27">
                  <c:v>964.4</c:v>
                </c:pt>
                <c:pt idx="28">
                  <c:v>850.1</c:v>
                </c:pt>
                <c:pt idx="29">
                  <c:v>1080.4000000000001</c:v>
                </c:pt>
                <c:pt idx="30">
                  <c:v>1077.0999999999999</c:v>
                </c:pt>
                <c:pt idx="31">
                  <c:v>1006.9</c:v>
                </c:pt>
                <c:pt idx="32">
                  <c:v>947.4</c:v>
                </c:pt>
                <c:pt idx="33">
                  <c:v>847.5</c:v>
                </c:pt>
                <c:pt idx="34">
                  <c:v>808</c:v>
                </c:pt>
                <c:pt idx="35">
                  <c:v>884.3</c:v>
                </c:pt>
                <c:pt idx="36">
                  <c:v>1054.5999999999999</c:v>
                </c:pt>
                <c:pt idx="37">
                  <c:v>980.9</c:v>
                </c:pt>
                <c:pt idx="38">
                  <c:v>969.7</c:v>
                </c:pt>
                <c:pt idx="39">
                  <c:v>976.1</c:v>
                </c:pt>
                <c:pt idx="40">
                  <c:v>889.5</c:v>
                </c:pt>
                <c:pt idx="41">
                  <c:v>1116.3</c:v>
                </c:pt>
                <c:pt idx="42">
                  <c:v>802.3</c:v>
                </c:pt>
                <c:pt idx="43">
                  <c:v>715.9</c:v>
                </c:pt>
                <c:pt idx="44">
                  <c:v>655.4</c:v>
                </c:pt>
                <c:pt idx="45">
                  <c:v>1014.5</c:v>
                </c:pt>
                <c:pt idx="46">
                  <c:v>1036.8</c:v>
                </c:pt>
                <c:pt idx="47">
                  <c:v>1148.9000000000001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49-4E65-98D3-ECBD204DCD37}"/>
            </c:ext>
          </c:extLst>
        </c:ser>
        <c:ser>
          <c:idx val="7"/>
          <c:order val="7"/>
          <c:tx>
            <c:strRef>
              <c:f>'UB_(AF)'!$I$1</c:f>
              <c:strCache>
                <c:ptCount val="1"/>
                <c:pt idx="0">
                  <c:v>CO3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'UB_(AF)'!$I$2:$I$49</c:f>
              <c:numCache>
                <c:formatCode>General</c:formatCode>
                <c:ptCount val="48"/>
                <c:pt idx="0">
                  <c:v>164.3</c:v>
                </c:pt>
                <c:pt idx="1">
                  <c:v>187</c:v>
                </c:pt>
                <c:pt idx="2">
                  <c:v>169.1</c:v>
                </c:pt>
                <c:pt idx="3">
                  <c:v>191.8</c:v>
                </c:pt>
                <c:pt idx="4">
                  <c:v>196.3</c:v>
                </c:pt>
                <c:pt idx="5">
                  <c:v>149.19999999999999</c:v>
                </c:pt>
                <c:pt idx="6">
                  <c:v>118.6</c:v>
                </c:pt>
                <c:pt idx="7">
                  <c:v>140</c:v>
                </c:pt>
                <c:pt idx="8">
                  <c:v>171.2</c:v>
                </c:pt>
                <c:pt idx="9">
                  <c:v>160.19999999999999</c:v>
                </c:pt>
                <c:pt idx="10">
                  <c:v>187.3</c:v>
                </c:pt>
                <c:pt idx="11">
                  <c:v>204.1</c:v>
                </c:pt>
                <c:pt idx="12">
                  <c:v>209.3</c:v>
                </c:pt>
                <c:pt idx="13">
                  <c:v>224.1</c:v>
                </c:pt>
                <c:pt idx="14">
                  <c:v>202</c:v>
                </c:pt>
                <c:pt idx="15">
                  <c:v>196.2</c:v>
                </c:pt>
                <c:pt idx="16">
                  <c:v>285.10000000000002</c:v>
                </c:pt>
                <c:pt idx="17">
                  <c:v>318</c:v>
                </c:pt>
                <c:pt idx="18">
                  <c:v>393.4</c:v>
                </c:pt>
                <c:pt idx="19">
                  <c:v>309.89999999999998</c:v>
                </c:pt>
                <c:pt idx="20">
                  <c:v>269.60000000000002</c:v>
                </c:pt>
                <c:pt idx="21">
                  <c:v>273.10000000000002</c:v>
                </c:pt>
                <c:pt idx="22">
                  <c:v>273.60000000000002</c:v>
                </c:pt>
                <c:pt idx="23">
                  <c:v>288.10000000000002</c:v>
                </c:pt>
                <c:pt idx="24">
                  <c:v>244.8</c:v>
                </c:pt>
                <c:pt idx="25">
                  <c:v>321.60000000000002</c:v>
                </c:pt>
                <c:pt idx="26">
                  <c:v>277.10000000000002</c:v>
                </c:pt>
                <c:pt idx="27">
                  <c:v>322.10000000000002</c:v>
                </c:pt>
                <c:pt idx="28">
                  <c:v>263.39999999999998</c:v>
                </c:pt>
                <c:pt idx="29">
                  <c:v>359.5</c:v>
                </c:pt>
                <c:pt idx="30">
                  <c:v>353.1</c:v>
                </c:pt>
                <c:pt idx="31">
                  <c:v>317.2</c:v>
                </c:pt>
                <c:pt idx="32">
                  <c:v>322.2</c:v>
                </c:pt>
                <c:pt idx="33">
                  <c:v>262.60000000000002</c:v>
                </c:pt>
                <c:pt idx="34">
                  <c:v>292.89999999999998</c:v>
                </c:pt>
                <c:pt idx="35">
                  <c:v>282.2</c:v>
                </c:pt>
                <c:pt idx="36">
                  <c:v>352.5</c:v>
                </c:pt>
                <c:pt idx="37">
                  <c:v>410.1</c:v>
                </c:pt>
                <c:pt idx="38">
                  <c:v>405.6</c:v>
                </c:pt>
                <c:pt idx="39">
                  <c:v>391.3</c:v>
                </c:pt>
                <c:pt idx="40">
                  <c:v>367.4</c:v>
                </c:pt>
                <c:pt idx="41">
                  <c:v>506.9</c:v>
                </c:pt>
                <c:pt idx="42">
                  <c:v>344.3</c:v>
                </c:pt>
                <c:pt idx="43">
                  <c:v>433.2</c:v>
                </c:pt>
                <c:pt idx="44">
                  <c:v>345.9</c:v>
                </c:pt>
                <c:pt idx="45">
                  <c:v>316.7</c:v>
                </c:pt>
                <c:pt idx="46">
                  <c:v>335.2</c:v>
                </c:pt>
                <c:pt idx="47">
                  <c:v>346.1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49-4E65-98D3-ECBD204DCD37}"/>
            </c:ext>
          </c:extLst>
        </c:ser>
        <c:ser>
          <c:idx val="8"/>
          <c:order val="8"/>
          <c:tx>
            <c:strRef>
              <c:f>'UB_(AF)'!$J$1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'UB_(AF)'!$J$2:$J$49</c:f>
              <c:numCache>
                <c:formatCode>General</c:formatCode>
                <c:ptCount val="48"/>
                <c:pt idx="0">
                  <c:v>2.5</c:v>
                </c:pt>
                <c:pt idx="1">
                  <c:v>2.9</c:v>
                </c:pt>
                <c:pt idx="2">
                  <c:v>4</c:v>
                </c:pt>
                <c:pt idx="3">
                  <c:v>4.3</c:v>
                </c:pt>
                <c:pt idx="4">
                  <c:v>5.0999999999999996</c:v>
                </c:pt>
                <c:pt idx="5">
                  <c:v>2.7</c:v>
                </c:pt>
                <c:pt idx="6">
                  <c:v>3.8</c:v>
                </c:pt>
                <c:pt idx="7">
                  <c:v>4.3</c:v>
                </c:pt>
                <c:pt idx="8">
                  <c:v>5.3</c:v>
                </c:pt>
                <c:pt idx="9">
                  <c:v>6.3</c:v>
                </c:pt>
                <c:pt idx="10">
                  <c:v>4.5999999999999996</c:v>
                </c:pt>
                <c:pt idx="11">
                  <c:v>5.7</c:v>
                </c:pt>
                <c:pt idx="12">
                  <c:v>6.5</c:v>
                </c:pt>
                <c:pt idx="13">
                  <c:v>5.8</c:v>
                </c:pt>
                <c:pt idx="14">
                  <c:v>5.8</c:v>
                </c:pt>
                <c:pt idx="15">
                  <c:v>3.9</c:v>
                </c:pt>
                <c:pt idx="16">
                  <c:v>3.4</c:v>
                </c:pt>
                <c:pt idx="17">
                  <c:v>3.3</c:v>
                </c:pt>
                <c:pt idx="18">
                  <c:v>3.4</c:v>
                </c:pt>
                <c:pt idx="19">
                  <c:v>3.6</c:v>
                </c:pt>
                <c:pt idx="20">
                  <c:v>4.5</c:v>
                </c:pt>
                <c:pt idx="21">
                  <c:v>3.8</c:v>
                </c:pt>
                <c:pt idx="22">
                  <c:v>4.5</c:v>
                </c:pt>
                <c:pt idx="23">
                  <c:v>4.9000000000000004</c:v>
                </c:pt>
                <c:pt idx="24">
                  <c:v>4.3</c:v>
                </c:pt>
                <c:pt idx="25">
                  <c:v>0.4</c:v>
                </c:pt>
                <c:pt idx="26">
                  <c:v>0.4</c:v>
                </c:pt>
                <c:pt idx="27">
                  <c:v>0.5</c:v>
                </c:pt>
                <c:pt idx="28">
                  <c:v>0.5</c:v>
                </c:pt>
                <c:pt idx="29">
                  <c:v>0.6</c:v>
                </c:pt>
                <c:pt idx="30">
                  <c:v>0.5</c:v>
                </c:pt>
                <c:pt idx="31">
                  <c:v>0.4</c:v>
                </c:pt>
                <c:pt idx="32">
                  <c:v>0.5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0.8</c:v>
                </c:pt>
                <c:pt idx="37">
                  <c:v>1</c:v>
                </c:pt>
                <c:pt idx="38">
                  <c:v>0.8</c:v>
                </c:pt>
                <c:pt idx="39">
                  <c:v>1.3</c:v>
                </c:pt>
                <c:pt idx="40">
                  <c:v>1</c:v>
                </c:pt>
                <c:pt idx="41">
                  <c:v>0.6</c:v>
                </c:pt>
                <c:pt idx="42">
                  <c:v>1.1000000000000001</c:v>
                </c:pt>
                <c:pt idx="43">
                  <c:v>1</c:v>
                </c:pt>
                <c:pt idx="44">
                  <c:v>1.2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49-4E65-98D3-ECBD204DC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456168"/>
        <c:axId val="592450592"/>
      </c:lineChart>
      <c:catAx>
        <c:axId val="592456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50592"/>
        <c:crosses val="autoZero"/>
        <c:auto val="1"/>
        <c:lblAlgn val="ctr"/>
        <c:lblOffset val="100"/>
        <c:noMultiLvlLbl val="0"/>
      </c:catAx>
      <c:valAx>
        <c:axId val="5924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5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216347765954112"/>
          <c:y val="0.11259968385475091"/>
          <c:w val="0.55462386670142783"/>
          <c:h val="3.1735059915818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'UB_(AF)'!$D$1</c:f>
              <c:strCache>
                <c:ptCount val="1"/>
                <c:pt idx="0">
                  <c:v>UT2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256626372407673"/>
                  <c:y val="-0.10994981627296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'UB_(AF)'!$A$2:$A$49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'UB_(AF)'!$D$2:$D$49</c:f>
              <c:numCache>
                <c:formatCode>General</c:formatCode>
                <c:ptCount val="48"/>
                <c:pt idx="0">
                  <c:v>9.6</c:v>
                </c:pt>
                <c:pt idx="1">
                  <c:v>8.9</c:v>
                </c:pt>
                <c:pt idx="2">
                  <c:v>9.1</c:v>
                </c:pt>
                <c:pt idx="3">
                  <c:v>9.9</c:v>
                </c:pt>
                <c:pt idx="4">
                  <c:v>8.6999999999999993</c:v>
                </c:pt>
                <c:pt idx="5">
                  <c:v>10.4</c:v>
                </c:pt>
                <c:pt idx="6">
                  <c:v>4</c:v>
                </c:pt>
                <c:pt idx="7">
                  <c:v>12.4</c:v>
                </c:pt>
                <c:pt idx="8">
                  <c:v>13.8</c:v>
                </c:pt>
                <c:pt idx="9">
                  <c:v>13</c:v>
                </c:pt>
                <c:pt idx="10">
                  <c:v>9.1</c:v>
                </c:pt>
                <c:pt idx="11">
                  <c:v>7.8</c:v>
                </c:pt>
                <c:pt idx="12">
                  <c:v>9.1</c:v>
                </c:pt>
                <c:pt idx="13">
                  <c:v>10.1</c:v>
                </c:pt>
                <c:pt idx="14">
                  <c:v>9.6</c:v>
                </c:pt>
                <c:pt idx="15">
                  <c:v>9.6</c:v>
                </c:pt>
                <c:pt idx="16">
                  <c:v>10.3</c:v>
                </c:pt>
                <c:pt idx="17">
                  <c:v>9.6999999999999993</c:v>
                </c:pt>
                <c:pt idx="18">
                  <c:v>9.1</c:v>
                </c:pt>
                <c:pt idx="19">
                  <c:v>10.6</c:v>
                </c:pt>
                <c:pt idx="20">
                  <c:v>13.8</c:v>
                </c:pt>
                <c:pt idx="21">
                  <c:v>13.5</c:v>
                </c:pt>
                <c:pt idx="22">
                  <c:v>12.9</c:v>
                </c:pt>
                <c:pt idx="23">
                  <c:v>13.5</c:v>
                </c:pt>
                <c:pt idx="24">
                  <c:v>9.6</c:v>
                </c:pt>
                <c:pt idx="25">
                  <c:v>12.9</c:v>
                </c:pt>
                <c:pt idx="26">
                  <c:v>20.2</c:v>
                </c:pt>
                <c:pt idx="27">
                  <c:v>19.3</c:v>
                </c:pt>
                <c:pt idx="28">
                  <c:v>17.899999999999999</c:v>
                </c:pt>
                <c:pt idx="29">
                  <c:v>14.1</c:v>
                </c:pt>
                <c:pt idx="30">
                  <c:v>21.6</c:v>
                </c:pt>
                <c:pt idx="31">
                  <c:v>9.9</c:v>
                </c:pt>
                <c:pt idx="32">
                  <c:v>12.5</c:v>
                </c:pt>
                <c:pt idx="33">
                  <c:v>12.2</c:v>
                </c:pt>
                <c:pt idx="34">
                  <c:v>10.199999999999999</c:v>
                </c:pt>
                <c:pt idx="35">
                  <c:v>24.5</c:v>
                </c:pt>
                <c:pt idx="36">
                  <c:v>18.899999999999999</c:v>
                </c:pt>
                <c:pt idx="37">
                  <c:v>17.2</c:v>
                </c:pt>
                <c:pt idx="38">
                  <c:v>14.3</c:v>
                </c:pt>
                <c:pt idx="39">
                  <c:v>27.2</c:v>
                </c:pt>
                <c:pt idx="40">
                  <c:v>18.899999999999999</c:v>
                </c:pt>
                <c:pt idx="41">
                  <c:v>19.100000000000001</c:v>
                </c:pt>
                <c:pt idx="42">
                  <c:v>21.4</c:v>
                </c:pt>
                <c:pt idx="43">
                  <c:v>21</c:v>
                </c:pt>
                <c:pt idx="44">
                  <c:v>9.1</c:v>
                </c:pt>
                <c:pt idx="45">
                  <c:v>16.5</c:v>
                </c:pt>
                <c:pt idx="46">
                  <c:v>16.5</c:v>
                </c:pt>
                <c:pt idx="47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B-4298-91F9-2CEBE9BE8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677648"/>
        <c:axId val="638678960"/>
      </c:lineChart>
      <c:catAx>
        <c:axId val="63867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896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6386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314326</xdr:colOff>
      <xdr:row>2</xdr:row>
      <xdr:rowOff>123825</xdr:rowOff>
    </xdr:from>
    <xdr:to>
      <xdr:col>22</xdr:col>
      <xdr:colOff>352425</xdr:colOff>
      <xdr:row>16</xdr:row>
      <xdr:rowOff>66674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352426</xdr:colOff>
      <xdr:row>15</xdr:row>
      <xdr:rowOff>123825</xdr:rowOff>
    </xdr:from>
    <xdr:to>
      <xdr:col>28</xdr:col>
      <xdr:colOff>476250</xdr:colOff>
      <xdr:row>27</xdr:row>
      <xdr:rowOff>152399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19</xdr:row>
      <xdr:rowOff>9525</xdr:rowOff>
    </xdr:from>
    <xdr:to>
      <xdr:col>22</xdr:col>
      <xdr:colOff>228599</xdr:colOff>
      <xdr:row>32</xdr:row>
      <xdr:rowOff>142874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B_historical_annual_di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_historical_annual_diversion"/>
      <sheetName val="Sheet1"/>
    </sheetNames>
    <sheetDataSet>
      <sheetData sheetId="0" refreshError="1"/>
      <sheetData sheetId="1">
        <row r="1">
          <cell r="H1" t="str">
            <v>YumaCountyWUA</v>
          </cell>
          <cell r="L1" t="str">
            <v>Powers</v>
          </cell>
          <cell r="R1" t="str">
            <v>HopiTribe</v>
          </cell>
          <cell r="V1" t="str">
            <v>Quechan Res Unit(AllAmericanCanalYumaProj-IndianUnit)</v>
          </cell>
        </row>
        <row r="2">
          <cell r="A2">
            <v>1971</v>
          </cell>
          <cell r="H2">
            <v>311779</v>
          </cell>
          <cell r="L2">
            <v>0</v>
          </cell>
          <cell r="R2">
            <v>0</v>
          </cell>
          <cell r="V2">
            <v>41282</v>
          </cell>
        </row>
        <row r="3">
          <cell r="A3">
            <v>1972</v>
          </cell>
          <cell r="H3">
            <v>315232</v>
          </cell>
          <cell r="L3">
            <v>0</v>
          </cell>
          <cell r="R3">
            <v>0</v>
          </cell>
          <cell r="V3">
            <v>37292</v>
          </cell>
        </row>
        <row r="4">
          <cell r="A4">
            <v>1973</v>
          </cell>
          <cell r="H4">
            <v>333908</v>
          </cell>
          <cell r="L4">
            <v>0</v>
          </cell>
          <cell r="R4">
            <v>0</v>
          </cell>
          <cell r="V4">
            <v>38555</v>
          </cell>
        </row>
        <row r="5">
          <cell r="A5">
            <v>1974</v>
          </cell>
          <cell r="H5">
            <v>329732</v>
          </cell>
          <cell r="L5">
            <v>0</v>
          </cell>
          <cell r="R5">
            <v>0</v>
          </cell>
          <cell r="V5">
            <v>38668</v>
          </cell>
        </row>
        <row r="6">
          <cell r="A6">
            <v>1975</v>
          </cell>
          <cell r="H6">
            <v>333429</v>
          </cell>
          <cell r="L6">
            <v>0</v>
          </cell>
          <cell r="R6">
            <v>0</v>
          </cell>
          <cell r="V6">
            <v>39969</v>
          </cell>
        </row>
        <row r="7">
          <cell r="A7">
            <v>1976</v>
          </cell>
          <cell r="H7">
            <v>313228</v>
          </cell>
          <cell r="L7">
            <v>0</v>
          </cell>
          <cell r="R7">
            <v>0</v>
          </cell>
          <cell r="V7">
            <v>43941</v>
          </cell>
        </row>
        <row r="8">
          <cell r="A8">
            <v>1977</v>
          </cell>
          <cell r="H8">
            <v>273974</v>
          </cell>
          <cell r="L8">
            <v>0</v>
          </cell>
          <cell r="R8">
            <v>0</v>
          </cell>
          <cell r="V8">
            <v>34151</v>
          </cell>
        </row>
        <row r="9">
          <cell r="A9">
            <v>1978</v>
          </cell>
          <cell r="H9">
            <v>278938</v>
          </cell>
          <cell r="L9">
            <v>0</v>
          </cell>
          <cell r="R9">
            <v>0</v>
          </cell>
          <cell r="V9">
            <v>36103</v>
          </cell>
        </row>
        <row r="10">
          <cell r="A10">
            <v>1979</v>
          </cell>
          <cell r="H10">
            <v>280412</v>
          </cell>
          <cell r="L10">
            <v>0</v>
          </cell>
          <cell r="R10">
            <v>0</v>
          </cell>
          <cell r="V10">
            <v>39258</v>
          </cell>
        </row>
        <row r="11">
          <cell r="A11">
            <v>1980</v>
          </cell>
          <cell r="H11">
            <v>292887</v>
          </cell>
          <cell r="L11">
            <v>0</v>
          </cell>
          <cell r="R11">
            <v>0</v>
          </cell>
          <cell r="V11">
            <v>42432</v>
          </cell>
        </row>
        <row r="12">
          <cell r="A12">
            <v>1981</v>
          </cell>
          <cell r="H12">
            <v>314457</v>
          </cell>
          <cell r="L12">
            <v>0</v>
          </cell>
          <cell r="R12">
            <v>0</v>
          </cell>
          <cell r="V12">
            <v>43767</v>
          </cell>
        </row>
        <row r="13">
          <cell r="A13">
            <v>1982</v>
          </cell>
          <cell r="H13">
            <v>281212</v>
          </cell>
          <cell r="L13">
            <v>0</v>
          </cell>
          <cell r="R13">
            <v>0</v>
          </cell>
          <cell r="V13">
            <v>40008</v>
          </cell>
        </row>
        <row r="14">
          <cell r="A14">
            <v>1983</v>
          </cell>
          <cell r="H14">
            <v>251955</v>
          </cell>
          <cell r="L14">
            <v>0</v>
          </cell>
          <cell r="R14">
            <v>0</v>
          </cell>
          <cell r="V14">
            <v>22485</v>
          </cell>
        </row>
        <row r="15">
          <cell r="A15">
            <v>1984</v>
          </cell>
          <cell r="H15">
            <v>274299</v>
          </cell>
          <cell r="L15">
            <v>0</v>
          </cell>
          <cell r="R15">
            <v>0</v>
          </cell>
          <cell r="V15">
            <v>26751</v>
          </cell>
        </row>
        <row r="16">
          <cell r="A16">
            <v>1985</v>
          </cell>
          <cell r="H16">
            <v>289975</v>
          </cell>
          <cell r="L16">
            <v>0</v>
          </cell>
          <cell r="R16">
            <v>0</v>
          </cell>
          <cell r="V16">
            <v>29896</v>
          </cell>
        </row>
        <row r="17">
          <cell r="A17">
            <v>1986</v>
          </cell>
          <cell r="H17">
            <v>289744</v>
          </cell>
          <cell r="L17">
            <v>0</v>
          </cell>
          <cell r="R17">
            <v>0</v>
          </cell>
          <cell r="V17">
            <v>29896</v>
          </cell>
        </row>
        <row r="18">
          <cell r="A18">
            <v>1987</v>
          </cell>
          <cell r="H18">
            <v>298385</v>
          </cell>
          <cell r="L18">
            <v>0</v>
          </cell>
          <cell r="R18">
            <v>0</v>
          </cell>
          <cell r="V18">
            <v>32381</v>
          </cell>
        </row>
        <row r="19">
          <cell r="A19">
            <v>1988</v>
          </cell>
          <cell r="H19">
            <v>314083</v>
          </cell>
          <cell r="L19">
            <v>0</v>
          </cell>
          <cell r="R19">
            <v>0</v>
          </cell>
          <cell r="V19">
            <v>43888</v>
          </cell>
        </row>
        <row r="20">
          <cell r="A20">
            <v>1989</v>
          </cell>
          <cell r="H20">
            <v>316699</v>
          </cell>
          <cell r="L20">
            <v>0</v>
          </cell>
          <cell r="R20">
            <v>0</v>
          </cell>
          <cell r="V20">
            <v>63558</v>
          </cell>
        </row>
        <row r="21">
          <cell r="A21">
            <v>1990</v>
          </cell>
          <cell r="H21">
            <v>335416</v>
          </cell>
          <cell r="L21">
            <v>2864</v>
          </cell>
          <cell r="R21">
            <v>0</v>
          </cell>
          <cell r="V21">
            <v>49638</v>
          </cell>
        </row>
        <row r="22">
          <cell r="A22">
            <v>1991</v>
          </cell>
          <cell r="H22">
            <v>330035</v>
          </cell>
          <cell r="L22">
            <v>2850.1</v>
          </cell>
          <cell r="R22">
            <v>0</v>
          </cell>
          <cell r="V22">
            <v>49613</v>
          </cell>
        </row>
        <row r="23">
          <cell r="A23">
            <v>1992</v>
          </cell>
          <cell r="H23">
            <v>310602</v>
          </cell>
          <cell r="L23">
            <v>2843</v>
          </cell>
          <cell r="R23">
            <v>0</v>
          </cell>
          <cell r="V23">
            <v>49572</v>
          </cell>
        </row>
        <row r="24">
          <cell r="A24">
            <v>1993</v>
          </cell>
          <cell r="H24">
            <v>298975</v>
          </cell>
          <cell r="L24">
            <v>2843</v>
          </cell>
          <cell r="R24">
            <v>0</v>
          </cell>
          <cell r="V24">
            <v>45475</v>
          </cell>
        </row>
        <row r="25">
          <cell r="A25">
            <v>1994</v>
          </cell>
          <cell r="H25">
            <v>318487</v>
          </cell>
          <cell r="L25">
            <v>2843</v>
          </cell>
          <cell r="R25">
            <v>0</v>
          </cell>
          <cell r="V25">
            <v>49374</v>
          </cell>
        </row>
        <row r="26">
          <cell r="A26">
            <v>1995</v>
          </cell>
          <cell r="H26">
            <v>331613</v>
          </cell>
          <cell r="L26">
            <v>2843</v>
          </cell>
          <cell r="R26">
            <v>0</v>
          </cell>
          <cell r="V26">
            <v>38939</v>
          </cell>
        </row>
        <row r="27">
          <cell r="A27">
            <v>1996</v>
          </cell>
          <cell r="H27">
            <v>346544</v>
          </cell>
          <cell r="L27">
            <v>2843</v>
          </cell>
          <cell r="R27">
            <v>0</v>
          </cell>
          <cell r="V27">
            <v>33196</v>
          </cell>
        </row>
        <row r="28">
          <cell r="A28">
            <v>1997</v>
          </cell>
          <cell r="H28">
            <v>340299</v>
          </cell>
          <cell r="L28">
            <v>2843</v>
          </cell>
          <cell r="R28">
            <v>0</v>
          </cell>
          <cell r="V28">
            <v>31008</v>
          </cell>
        </row>
        <row r="29">
          <cell r="A29">
            <v>1998</v>
          </cell>
          <cell r="H29">
            <v>347048</v>
          </cell>
          <cell r="L29">
            <v>2843</v>
          </cell>
          <cell r="R29">
            <v>0</v>
          </cell>
          <cell r="V29">
            <v>31386</v>
          </cell>
        </row>
        <row r="30">
          <cell r="A30">
            <v>1999</v>
          </cell>
          <cell r="H30">
            <v>366474</v>
          </cell>
          <cell r="L30">
            <v>2843</v>
          </cell>
          <cell r="R30">
            <v>0</v>
          </cell>
          <cell r="V30">
            <v>31353</v>
          </cell>
        </row>
        <row r="31">
          <cell r="A31">
            <v>2000</v>
          </cell>
          <cell r="H31">
            <v>315453</v>
          </cell>
          <cell r="L31">
            <v>2843</v>
          </cell>
          <cell r="R31">
            <v>0</v>
          </cell>
          <cell r="V31">
            <v>29785</v>
          </cell>
        </row>
        <row r="32">
          <cell r="A32">
            <v>2001</v>
          </cell>
          <cell r="H32">
            <v>369729</v>
          </cell>
          <cell r="L32">
            <v>2846</v>
          </cell>
          <cell r="R32">
            <v>0</v>
          </cell>
          <cell r="V32">
            <v>40992</v>
          </cell>
        </row>
        <row r="33">
          <cell r="A33">
            <v>2002</v>
          </cell>
          <cell r="H33">
            <v>371246</v>
          </cell>
          <cell r="L33">
            <v>1338</v>
          </cell>
          <cell r="R33">
            <v>0</v>
          </cell>
          <cell r="V33">
            <v>47084</v>
          </cell>
        </row>
        <row r="34">
          <cell r="A34">
            <v>2003</v>
          </cell>
          <cell r="H34">
            <v>352225</v>
          </cell>
          <cell r="L34">
            <v>1338</v>
          </cell>
          <cell r="R34">
            <v>0</v>
          </cell>
          <cell r="V34">
            <v>46352</v>
          </cell>
        </row>
        <row r="35">
          <cell r="A35">
            <v>2004</v>
          </cell>
          <cell r="H35">
            <v>346129</v>
          </cell>
          <cell r="L35">
            <v>1338</v>
          </cell>
          <cell r="R35">
            <v>0</v>
          </cell>
          <cell r="V35">
            <v>46259</v>
          </cell>
        </row>
        <row r="36">
          <cell r="A36">
            <v>2005</v>
          </cell>
          <cell r="H36">
            <v>340556</v>
          </cell>
          <cell r="L36">
            <v>960</v>
          </cell>
          <cell r="R36">
            <v>0</v>
          </cell>
          <cell r="V36">
            <v>44803</v>
          </cell>
        </row>
        <row r="37">
          <cell r="A37">
            <v>2006</v>
          </cell>
          <cell r="H37">
            <v>353355</v>
          </cell>
          <cell r="L37">
            <v>769</v>
          </cell>
          <cell r="R37">
            <v>0</v>
          </cell>
          <cell r="V37">
            <v>37934</v>
          </cell>
        </row>
        <row r="38">
          <cell r="A38">
            <v>2007</v>
          </cell>
          <cell r="H38">
            <v>347274</v>
          </cell>
          <cell r="L38">
            <v>769</v>
          </cell>
          <cell r="R38">
            <v>0</v>
          </cell>
          <cell r="V38">
            <v>44496</v>
          </cell>
        </row>
        <row r="39">
          <cell r="A39">
            <v>2008</v>
          </cell>
          <cell r="H39">
            <v>345720</v>
          </cell>
          <cell r="L39">
            <v>738</v>
          </cell>
          <cell r="R39">
            <v>0</v>
          </cell>
          <cell r="V39">
            <v>44349</v>
          </cell>
        </row>
        <row r="40">
          <cell r="A40">
            <v>2009</v>
          </cell>
          <cell r="H40">
            <v>341153</v>
          </cell>
          <cell r="L40">
            <v>738</v>
          </cell>
          <cell r="R40">
            <v>0</v>
          </cell>
          <cell r="V40">
            <v>37023</v>
          </cell>
        </row>
        <row r="41">
          <cell r="A41">
            <v>2010</v>
          </cell>
          <cell r="H41">
            <v>337088</v>
          </cell>
          <cell r="L41">
            <v>586</v>
          </cell>
          <cell r="R41">
            <v>4898</v>
          </cell>
          <cell r="V41">
            <v>40761</v>
          </cell>
        </row>
        <row r="42">
          <cell r="A42">
            <v>2011</v>
          </cell>
          <cell r="H42">
            <v>366517</v>
          </cell>
          <cell r="L42">
            <v>439</v>
          </cell>
          <cell r="R42">
            <v>4899</v>
          </cell>
          <cell r="V42">
            <v>44247</v>
          </cell>
        </row>
        <row r="43">
          <cell r="A43">
            <v>2012</v>
          </cell>
          <cell r="H43">
            <v>375241</v>
          </cell>
          <cell r="L43">
            <v>399</v>
          </cell>
          <cell r="R43">
            <v>5019</v>
          </cell>
          <cell r="V43">
            <v>45443</v>
          </cell>
        </row>
        <row r="44">
          <cell r="A44">
            <v>2013</v>
          </cell>
          <cell r="H44">
            <v>364271</v>
          </cell>
          <cell r="L44">
            <v>399</v>
          </cell>
          <cell r="R44">
            <v>4681</v>
          </cell>
          <cell r="V44">
            <v>46367</v>
          </cell>
        </row>
        <row r="45">
          <cell r="A45">
            <v>2014</v>
          </cell>
          <cell r="H45">
            <v>357773</v>
          </cell>
          <cell r="L45">
            <v>196</v>
          </cell>
          <cell r="R45">
            <v>4900</v>
          </cell>
          <cell r="V45">
            <v>47195</v>
          </cell>
        </row>
        <row r="46">
          <cell r="A46">
            <v>2015</v>
          </cell>
          <cell r="H46">
            <v>358718</v>
          </cell>
          <cell r="L46">
            <v>313</v>
          </cell>
          <cell r="R46">
            <v>4981</v>
          </cell>
          <cell r="V46">
            <v>47047</v>
          </cell>
        </row>
        <row r="47">
          <cell r="A47">
            <v>2016</v>
          </cell>
          <cell r="H47">
            <v>348431</v>
          </cell>
          <cell r="L47">
            <v>206</v>
          </cell>
          <cell r="R47">
            <v>4900</v>
          </cell>
          <cell r="V47">
            <v>44781</v>
          </cell>
        </row>
        <row r="48">
          <cell r="A48">
            <v>2017</v>
          </cell>
          <cell r="H48">
            <v>339737</v>
          </cell>
          <cell r="L48">
            <v>95</v>
          </cell>
          <cell r="R48">
            <v>4805</v>
          </cell>
          <cell r="V48">
            <v>44440</v>
          </cell>
        </row>
        <row r="49">
          <cell r="A49">
            <v>2018</v>
          </cell>
          <cell r="H49">
            <v>343495</v>
          </cell>
          <cell r="L49">
            <v>247</v>
          </cell>
          <cell r="R49">
            <v>4798</v>
          </cell>
          <cell r="V49">
            <v>42639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"/>
  <sheetViews>
    <sheetView tabSelected="1" zoomScale="90" zoomScaleNormal="9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AF6" sqref="AF6"/>
    </sheetView>
  </sheetViews>
  <sheetFormatPr defaultRowHeight="15" x14ac:dyDescent="0.25"/>
  <cols>
    <col min="26" max="26" width="13.85546875" style="1" bestFit="1" customWidth="1"/>
    <col min="27" max="27" width="1.85546875" style="1" customWidth="1"/>
    <col min="28" max="29" width="9.85546875" bestFit="1" customWidth="1"/>
    <col min="31" max="31" width="9.85546875" bestFit="1" customWidth="1"/>
    <col min="32" max="32" width="17.7109375" bestFit="1" customWidth="1"/>
  </cols>
  <sheetData>
    <row r="1" spans="1:32" ht="105" x14ac:dyDescent="0.25"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t="s">
        <v>32</v>
      </c>
      <c r="Z1" s="5" t="s">
        <v>33</v>
      </c>
      <c r="AA1" s="5"/>
      <c r="AB1" s="2" t="s">
        <v>39</v>
      </c>
    </row>
    <row r="2" spans="1:32" x14ac:dyDescent="0.25">
      <c r="A2">
        <v>1971</v>
      </c>
      <c r="B2">
        <v>12665</v>
      </c>
      <c r="C2">
        <v>0</v>
      </c>
      <c r="D2">
        <v>54532</v>
      </c>
      <c r="E2">
        <v>40824</v>
      </c>
      <c r="F2">
        <v>311779</v>
      </c>
      <c r="G2">
        <v>934</v>
      </c>
      <c r="H2">
        <v>0</v>
      </c>
      <c r="I2">
        <v>0</v>
      </c>
      <c r="J2">
        <v>630890</v>
      </c>
      <c r="K2">
        <v>75475</v>
      </c>
      <c r="L2">
        <v>40824</v>
      </c>
      <c r="M2">
        <v>251274</v>
      </c>
      <c r="N2">
        <v>530673</v>
      </c>
      <c r="O2">
        <v>0</v>
      </c>
      <c r="P2">
        <v>12665</v>
      </c>
      <c r="Q2">
        <v>0</v>
      </c>
      <c r="R2">
        <v>0</v>
      </c>
      <c r="S2">
        <v>0</v>
      </c>
      <c r="T2">
        <v>934</v>
      </c>
      <c r="U2">
        <v>0</v>
      </c>
      <c r="V2">
        <v>0</v>
      </c>
      <c r="W2">
        <v>896490</v>
      </c>
      <c r="X2">
        <v>41282</v>
      </c>
      <c r="Y2">
        <v>47230</v>
      </c>
      <c r="Z2" s="1">
        <v>2948471</v>
      </c>
      <c r="AB2" t="s">
        <v>36</v>
      </c>
      <c r="AC2" t="s">
        <v>8</v>
      </c>
      <c r="AD2" t="s">
        <v>37</v>
      </c>
      <c r="AE2" t="s">
        <v>41</v>
      </c>
    </row>
    <row r="3" spans="1:32" x14ac:dyDescent="0.25">
      <c r="A3">
        <v>1972</v>
      </c>
      <c r="B3">
        <v>13854</v>
      </c>
      <c r="C3">
        <v>0</v>
      </c>
      <c r="D3">
        <v>51073</v>
      </c>
      <c r="E3">
        <v>38461</v>
      </c>
      <c r="F3">
        <v>315232</v>
      </c>
      <c r="G3">
        <v>930</v>
      </c>
      <c r="H3">
        <v>0</v>
      </c>
      <c r="I3">
        <v>0</v>
      </c>
      <c r="J3">
        <v>659560</v>
      </c>
      <c r="K3">
        <v>53531</v>
      </c>
      <c r="L3">
        <v>38461</v>
      </c>
      <c r="M3">
        <v>229828</v>
      </c>
      <c r="N3">
        <v>500148</v>
      </c>
      <c r="O3">
        <v>0</v>
      </c>
      <c r="P3">
        <v>13854</v>
      </c>
      <c r="Q3">
        <v>20900</v>
      </c>
      <c r="R3">
        <v>0</v>
      </c>
      <c r="S3">
        <v>0</v>
      </c>
      <c r="T3">
        <v>930</v>
      </c>
      <c r="U3">
        <v>0</v>
      </c>
      <c r="V3">
        <v>0</v>
      </c>
      <c r="W3">
        <v>886220</v>
      </c>
      <c r="X3">
        <v>37292</v>
      </c>
      <c r="Y3">
        <v>49016</v>
      </c>
      <c r="Z3" s="1">
        <v>2909290</v>
      </c>
      <c r="AB3" s="6">
        <v>4639003</v>
      </c>
      <c r="AC3" s="6">
        <v>3472265</v>
      </c>
      <c r="AD3" s="6">
        <v>479279</v>
      </c>
      <c r="AE3" s="6">
        <f>SUM(AB3:AD3)</f>
        <v>8590547</v>
      </c>
    </row>
    <row r="4" spans="1:32" x14ac:dyDescent="0.25">
      <c r="A4">
        <v>1973</v>
      </c>
      <c r="B4">
        <v>20655</v>
      </c>
      <c r="C4">
        <v>0</v>
      </c>
      <c r="D4">
        <v>56140</v>
      </c>
      <c r="E4">
        <v>38497</v>
      </c>
      <c r="F4">
        <v>333908</v>
      </c>
      <c r="G4">
        <v>824</v>
      </c>
      <c r="H4">
        <v>0</v>
      </c>
      <c r="I4">
        <v>0</v>
      </c>
      <c r="J4">
        <v>663200</v>
      </c>
      <c r="K4">
        <v>56729</v>
      </c>
      <c r="L4">
        <v>38497</v>
      </c>
      <c r="M4">
        <v>236565</v>
      </c>
      <c r="N4">
        <v>495639</v>
      </c>
      <c r="O4">
        <v>0</v>
      </c>
      <c r="P4">
        <v>20655</v>
      </c>
      <c r="Q4">
        <v>20500</v>
      </c>
      <c r="R4">
        <v>0</v>
      </c>
      <c r="S4">
        <v>0</v>
      </c>
      <c r="T4">
        <v>824</v>
      </c>
      <c r="U4">
        <v>0</v>
      </c>
      <c r="V4">
        <v>9138</v>
      </c>
      <c r="W4">
        <v>920150</v>
      </c>
      <c r="X4">
        <v>38555</v>
      </c>
      <c r="Y4">
        <v>49763</v>
      </c>
      <c r="Z4" s="1">
        <v>3000239</v>
      </c>
      <c r="AC4" s="7"/>
      <c r="AD4" s="7"/>
    </row>
    <row r="5" spans="1:32" x14ac:dyDescent="0.25">
      <c r="A5">
        <v>1974</v>
      </c>
      <c r="B5">
        <v>21903</v>
      </c>
      <c r="C5">
        <v>0</v>
      </c>
      <c r="D5">
        <v>59271</v>
      </c>
      <c r="E5">
        <v>39832</v>
      </c>
      <c r="F5">
        <v>329732</v>
      </c>
      <c r="G5">
        <v>1020</v>
      </c>
      <c r="H5">
        <v>0</v>
      </c>
      <c r="I5">
        <v>0</v>
      </c>
      <c r="J5">
        <v>633730</v>
      </c>
      <c r="K5">
        <v>56149</v>
      </c>
      <c r="L5">
        <v>39832</v>
      </c>
      <c r="M5">
        <v>235571</v>
      </c>
      <c r="N5">
        <v>546271</v>
      </c>
      <c r="O5">
        <v>0</v>
      </c>
      <c r="P5">
        <v>21903</v>
      </c>
      <c r="Q5">
        <v>21200</v>
      </c>
      <c r="R5">
        <v>0</v>
      </c>
      <c r="S5">
        <v>0</v>
      </c>
      <c r="T5">
        <v>1020</v>
      </c>
      <c r="U5">
        <v>0</v>
      </c>
      <c r="V5">
        <v>5737</v>
      </c>
      <c r="W5">
        <v>932070</v>
      </c>
      <c r="X5">
        <v>38668</v>
      </c>
      <c r="Y5">
        <v>47565</v>
      </c>
      <c r="Z5" s="1">
        <v>3031474</v>
      </c>
      <c r="AB5" s="7" t="s">
        <v>40</v>
      </c>
      <c r="AE5" t="s">
        <v>41</v>
      </c>
    </row>
    <row r="6" spans="1:32" x14ac:dyDescent="0.25">
      <c r="A6">
        <v>1975</v>
      </c>
      <c r="B6">
        <v>18806</v>
      </c>
      <c r="C6">
        <v>2580</v>
      </c>
      <c r="D6">
        <v>56893</v>
      </c>
      <c r="E6">
        <v>37436</v>
      </c>
      <c r="F6">
        <v>333429</v>
      </c>
      <c r="G6">
        <v>838</v>
      </c>
      <c r="H6">
        <v>0</v>
      </c>
      <c r="I6">
        <v>0</v>
      </c>
      <c r="J6">
        <v>635830</v>
      </c>
      <c r="K6">
        <v>59276</v>
      </c>
      <c r="L6">
        <v>37436</v>
      </c>
      <c r="M6">
        <v>226665</v>
      </c>
      <c r="N6">
        <v>543328</v>
      </c>
      <c r="O6">
        <v>0</v>
      </c>
      <c r="P6">
        <v>18806</v>
      </c>
      <c r="Q6">
        <v>22389</v>
      </c>
      <c r="R6">
        <v>0</v>
      </c>
      <c r="S6">
        <v>0</v>
      </c>
      <c r="T6">
        <v>838</v>
      </c>
      <c r="U6">
        <v>720</v>
      </c>
      <c r="V6">
        <v>13390</v>
      </c>
      <c r="W6">
        <v>934863</v>
      </c>
      <c r="X6">
        <v>39969</v>
      </c>
      <c r="Y6">
        <v>46902</v>
      </c>
      <c r="Z6" s="1">
        <v>3030394</v>
      </c>
      <c r="AB6" s="6">
        <v>4265525</v>
      </c>
      <c r="AC6" s="6">
        <v>2632260</v>
      </c>
      <c r="AD6" s="6">
        <v>244103</v>
      </c>
      <c r="AE6" s="6">
        <v>7141888</v>
      </c>
      <c r="AF6" s="1">
        <f>AE6*1233.5</f>
        <v>8809518848</v>
      </c>
    </row>
    <row r="7" spans="1:32" x14ac:dyDescent="0.25">
      <c r="A7">
        <v>1976</v>
      </c>
      <c r="B7">
        <v>14598</v>
      </c>
      <c r="C7">
        <v>7001</v>
      </c>
      <c r="D7">
        <v>56665</v>
      </c>
      <c r="E7">
        <v>37225</v>
      </c>
      <c r="F7">
        <v>313228</v>
      </c>
      <c r="G7">
        <v>1264</v>
      </c>
      <c r="H7">
        <v>0</v>
      </c>
      <c r="I7">
        <v>0</v>
      </c>
      <c r="J7">
        <v>572658</v>
      </c>
      <c r="K7">
        <v>59660</v>
      </c>
      <c r="L7">
        <v>37225</v>
      </c>
      <c r="M7">
        <v>219147</v>
      </c>
      <c r="N7">
        <v>489402</v>
      </c>
      <c r="O7">
        <v>0</v>
      </c>
      <c r="P7">
        <v>14598</v>
      </c>
      <c r="Q7">
        <v>16936</v>
      </c>
      <c r="R7">
        <v>0</v>
      </c>
      <c r="S7">
        <v>0</v>
      </c>
      <c r="T7">
        <v>1264</v>
      </c>
      <c r="U7">
        <v>13800</v>
      </c>
      <c r="V7">
        <v>6892</v>
      </c>
      <c r="W7">
        <v>894453</v>
      </c>
      <c r="X7">
        <v>43941</v>
      </c>
      <c r="Y7">
        <v>49958</v>
      </c>
      <c r="Z7" s="1">
        <v>2849915</v>
      </c>
    </row>
    <row r="8" spans="1:32" x14ac:dyDescent="0.25">
      <c r="A8">
        <v>1977</v>
      </c>
      <c r="B8">
        <v>24936</v>
      </c>
      <c r="C8">
        <v>17449</v>
      </c>
      <c r="D8">
        <v>49505</v>
      </c>
      <c r="E8">
        <v>36726</v>
      </c>
      <c r="F8">
        <v>273974</v>
      </c>
      <c r="G8">
        <v>1001</v>
      </c>
      <c r="H8">
        <v>0</v>
      </c>
      <c r="I8">
        <v>0</v>
      </c>
      <c r="J8">
        <v>595165</v>
      </c>
      <c r="K8">
        <v>60460</v>
      </c>
      <c r="L8">
        <v>36726</v>
      </c>
      <c r="M8">
        <v>211508</v>
      </c>
      <c r="N8">
        <v>444436</v>
      </c>
      <c r="O8">
        <v>0</v>
      </c>
      <c r="P8">
        <v>24936</v>
      </c>
      <c r="Q8">
        <v>23530</v>
      </c>
      <c r="R8">
        <v>0</v>
      </c>
      <c r="S8">
        <v>0</v>
      </c>
      <c r="T8">
        <v>1001</v>
      </c>
      <c r="U8">
        <v>12573</v>
      </c>
      <c r="V8">
        <v>11874</v>
      </c>
      <c r="W8">
        <v>922294</v>
      </c>
      <c r="X8">
        <v>34151</v>
      </c>
      <c r="Y8">
        <v>43854</v>
      </c>
      <c r="Z8" s="1">
        <v>2826099</v>
      </c>
    </row>
    <row r="9" spans="1:32" x14ac:dyDescent="0.25">
      <c r="A9">
        <v>1978</v>
      </c>
      <c r="B9">
        <v>19075</v>
      </c>
      <c r="C9">
        <v>20188</v>
      </c>
      <c r="D9">
        <v>46680</v>
      </c>
      <c r="E9">
        <v>36759</v>
      </c>
      <c r="F9">
        <v>278938</v>
      </c>
      <c r="G9">
        <v>806</v>
      </c>
      <c r="H9">
        <v>0</v>
      </c>
      <c r="I9">
        <v>0</v>
      </c>
      <c r="J9">
        <v>536291</v>
      </c>
      <c r="K9">
        <v>58237</v>
      </c>
      <c r="L9">
        <v>36759</v>
      </c>
      <c r="M9">
        <v>206817</v>
      </c>
      <c r="N9">
        <v>449276</v>
      </c>
      <c r="O9">
        <v>0</v>
      </c>
      <c r="P9">
        <v>19075</v>
      </c>
      <c r="Q9">
        <v>19741</v>
      </c>
      <c r="R9">
        <v>0</v>
      </c>
      <c r="S9">
        <v>0</v>
      </c>
      <c r="T9">
        <v>806</v>
      </c>
      <c r="U9">
        <v>12606</v>
      </c>
      <c r="V9">
        <v>11814</v>
      </c>
      <c r="W9">
        <v>887779</v>
      </c>
      <c r="X9">
        <v>36103</v>
      </c>
      <c r="Y9">
        <v>44185</v>
      </c>
      <c r="Z9" s="1">
        <v>2721935</v>
      </c>
    </row>
    <row r="10" spans="1:32" x14ac:dyDescent="0.25">
      <c r="A10">
        <v>1979</v>
      </c>
      <c r="B10">
        <v>22761</v>
      </c>
      <c r="C10">
        <v>16216</v>
      </c>
      <c r="D10">
        <v>45103</v>
      </c>
      <c r="E10">
        <v>36644</v>
      </c>
      <c r="F10">
        <v>280412</v>
      </c>
      <c r="G10">
        <v>932</v>
      </c>
      <c r="H10">
        <v>0</v>
      </c>
      <c r="I10">
        <v>0</v>
      </c>
      <c r="J10">
        <v>580830</v>
      </c>
      <c r="K10">
        <v>59455</v>
      </c>
      <c r="L10">
        <v>36644</v>
      </c>
      <c r="M10">
        <v>224302</v>
      </c>
      <c r="N10">
        <v>304568</v>
      </c>
      <c r="O10">
        <v>0</v>
      </c>
      <c r="P10">
        <v>22761</v>
      </c>
      <c r="Q10">
        <v>18015</v>
      </c>
      <c r="R10">
        <v>0</v>
      </c>
      <c r="S10">
        <v>0</v>
      </c>
      <c r="T10">
        <v>932</v>
      </c>
      <c r="U10">
        <v>11772</v>
      </c>
      <c r="V10">
        <v>8444</v>
      </c>
      <c r="W10">
        <v>951757</v>
      </c>
      <c r="X10">
        <v>39258</v>
      </c>
      <c r="Y10">
        <v>48910</v>
      </c>
      <c r="Z10" s="1">
        <v>2709716</v>
      </c>
    </row>
    <row r="11" spans="1:32" x14ac:dyDescent="0.25">
      <c r="A11">
        <v>1980</v>
      </c>
      <c r="B11">
        <v>26758</v>
      </c>
      <c r="C11">
        <v>64476</v>
      </c>
      <c r="D11">
        <v>43055</v>
      </c>
      <c r="E11">
        <v>35522</v>
      </c>
      <c r="F11">
        <v>292887</v>
      </c>
      <c r="G11">
        <v>1220</v>
      </c>
      <c r="H11">
        <v>0</v>
      </c>
      <c r="I11">
        <v>0</v>
      </c>
      <c r="J11">
        <v>594389</v>
      </c>
      <c r="K11">
        <v>62739</v>
      </c>
      <c r="L11">
        <v>35522</v>
      </c>
      <c r="M11">
        <v>230350</v>
      </c>
      <c r="N11">
        <v>341166</v>
      </c>
      <c r="O11">
        <v>0</v>
      </c>
      <c r="P11">
        <v>26758</v>
      </c>
      <c r="Q11">
        <v>18846</v>
      </c>
      <c r="R11">
        <v>0</v>
      </c>
      <c r="S11">
        <v>0</v>
      </c>
      <c r="T11">
        <v>1220</v>
      </c>
      <c r="U11">
        <v>18882</v>
      </c>
      <c r="V11">
        <v>10771</v>
      </c>
      <c r="W11">
        <v>906455</v>
      </c>
      <c r="X11">
        <v>42432</v>
      </c>
      <c r="Y11">
        <v>47676</v>
      </c>
      <c r="Z11" s="1">
        <v>2801124</v>
      </c>
    </row>
    <row r="12" spans="1:32" x14ac:dyDescent="0.25">
      <c r="A12">
        <v>1981</v>
      </c>
      <c r="B12">
        <v>31013</v>
      </c>
      <c r="C12">
        <v>51876</v>
      </c>
      <c r="D12">
        <v>50589</v>
      </c>
      <c r="E12">
        <v>36747</v>
      </c>
      <c r="F12">
        <v>314457</v>
      </c>
      <c r="G12">
        <v>879</v>
      </c>
      <c r="H12">
        <v>0</v>
      </c>
      <c r="I12">
        <v>0</v>
      </c>
      <c r="J12">
        <v>608101</v>
      </c>
      <c r="K12">
        <v>65873</v>
      </c>
      <c r="L12">
        <v>36747</v>
      </c>
      <c r="M12">
        <v>241289</v>
      </c>
      <c r="N12">
        <v>441234</v>
      </c>
      <c r="O12">
        <v>0</v>
      </c>
      <c r="P12">
        <v>31013</v>
      </c>
      <c r="Q12">
        <v>24302</v>
      </c>
      <c r="R12">
        <v>0</v>
      </c>
      <c r="S12">
        <v>0</v>
      </c>
      <c r="T12">
        <v>879</v>
      </c>
      <c r="U12">
        <v>19128</v>
      </c>
      <c r="V12">
        <v>14046</v>
      </c>
      <c r="W12">
        <v>1007553</v>
      </c>
      <c r="X12">
        <v>43767</v>
      </c>
      <c r="Y12">
        <v>50740</v>
      </c>
      <c r="Z12" s="1">
        <v>3070233</v>
      </c>
    </row>
    <row r="13" spans="1:32" x14ac:dyDescent="0.25">
      <c r="A13">
        <v>1982</v>
      </c>
      <c r="B13">
        <v>30740</v>
      </c>
      <c r="C13">
        <v>52665</v>
      </c>
      <c r="D13">
        <v>47640</v>
      </c>
      <c r="E13">
        <v>30614</v>
      </c>
      <c r="F13">
        <v>281212</v>
      </c>
      <c r="G13">
        <v>945</v>
      </c>
      <c r="H13">
        <v>0</v>
      </c>
      <c r="I13">
        <v>0</v>
      </c>
      <c r="J13">
        <v>566280</v>
      </c>
      <c r="K13">
        <v>58280</v>
      </c>
      <c r="L13">
        <v>30614</v>
      </c>
      <c r="M13">
        <v>204751</v>
      </c>
      <c r="N13">
        <v>399973</v>
      </c>
      <c r="O13">
        <v>0</v>
      </c>
      <c r="P13">
        <v>30740</v>
      </c>
      <c r="Q13">
        <v>21169</v>
      </c>
      <c r="R13">
        <v>0</v>
      </c>
      <c r="S13">
        <v>0</v>
      </c>
      <c r="T13">
        <v>945</v>
      </c>
      <c r="U13">
        <v>20760</v>
      </c>
      <c r="V13">
        <v>5746</v>
      </c>
      <c r="W13">
        <v>941974</v>
      </c>
      <c r="X13">
        <v>40008</v>
      </c>
      <c r="Y13">
        <v>47811</v>
      </c>
      <c r="Z13" s="1">
        <v>2812867</v>
      </c>
    </row>
    <row r="14" spans="1:32" x14ac:dyDescent="0.25">
      <c r="A14">
        <v>1983</v>
      </c>
      <c r="B14">
        <v>26182</v>
      </c>
      <c r="C14">
        <v>47220</v>
      </c>
      <c r="D14">
        <v>40742</v>
      </c>
      <c r="E14">
        <v>30031</v>
      </c>
      <c r="F14">
        <v>251955</v>
      </c>
      <c r="G14">
        <v>790</v>
      </c>
      <c r="H14">
        <v>0</v>
      </c>
      <c r="I14">
        <v>0</v>
      </c>
      <c r="J14">
        <v>539518</v>
      </c>
      <c r="K14">
        <v>55732</v>
      </c>
      <c r="L14">
        <v>30031</v>
      </c>
      <c r="M14">
        <v>203054</v>
      </c>
      <c r="N14">
        <v>361184</v>
      </c>
      <c r="O14">
        <v>0</v>
      </c>
      <c r="P14">
        <v>26182</v>
      </c>
      <c r="Q14">
        <v>12145</v>
      </c>
      <c r="R14">
        <v>0</v>
      </c>
      <c r="S14">
        <v>0</v>
      </c>
      <c r="T14">
        <v>790</v>
      </c>
      <c r="U14">
        <v>22352</v>
      </c>
      <c r="V14">
        <v>5654</v>
      </c>
      <c r="W14">
        <v>766664</v>
      </c>
      <c r="X14">
        <v>22485</v>
      </c>
      <c r="Y14">
        <v>40667</v>
      </c>
      <c r="Z14" s="1">
        <v>2483378</v>
      </c>
    </row>
    <row r="15" spans="1:32" x14ac:dyDescent="0.25">
      <c r="A15">
        <v>1984</v>
      </c>
      <c r="B15">
        <v>23496</v>
      </c>
      <c r="C15">
        <v>41377</v>
      </c>
      <c r="D15">
        <v>40551</v>
      </c>
      <c r="E15">
        <v>34526</v>
      </c>
      <c r="F15">
        <v>274299</v>
      </c>
      <c r="G15">
        <v>4279</v>
      </c>
      <c r="H15">
        <v>0</v>
      </c>
      <c r="I15">
        <v>0</v>
      </c>
      <c r="J15">
        <v>585617</v>
      </c>
      <c r="K15">
        <v>55917</v>
      </c>
      <c r="L15">
        <v>34526</v>
      </c>
      <c r="M15">
        <v>213157</v>
      </c>
      <c r="N15">
        <v>405154</v>
      </c>
      <c r="O15">
        <v>0</v>
      </c>
      <c r="P15">
        <v>23496</v>
      </c>
      <c r="Q15">
        <v>15580</v>
      </c>
      <c r="R15">
        <v>0</v>
      </c>
      <c r="S15">
        <v>0</v>
      </c>
      <c r="T15">
        <v>4279</v>
      </c>
      <c r="U15">
        <v>20760</v>
      </c>
      <c r="V15">
        <v>4560</v>
      </c>
      <c r="W15">
        <v>834905</v>
      </c>
      <c r="X15">
        <v>26751</v>
      </c>
      <c r="Y15">
        <v>40452</v>
      </c>
      <c r="Z15" s="1">
        <v>2683682</v>
      </c>
    </row>
    <row r="16" spans="1:32" x14ac:dyDescent="0.25">
      <c r="A16">
        <v>1985</v>
      </c>
      <c r="B16">
        <v>20223</v>
      </c>
      <c r="C16">
        <v>44645</v>
      </c>
      <c r="D16">
        <v>52944</v>
      </c>
      <c r="E16">
        <v>33823</v>
      </c>
      <c r="F16">
        <v>289975</v>
      </c>
      <c r="G16">
        <v>8934</v>
      </c>
      <c r="H16">
        <v>0</v>
      </c>
      <c r="I16">
        <v>0</v>
      </c>
      <c r="J16">
        <v>559673</v>
      </c>
      <c r="K16">
        <v>60836</v>
      </c>
      <c r="L16">
        <v>33823</v>
      </c>
      <c r="M16">
        <v>228295</v>
      </c>
      <c r="N16">
        <v>395691</v>
      </c>
      <c r="O16">
        <v>0</v>
      </c>
      <c r="P16">
        <v>20223</v>
      </c>
      <c r="Q16">
        <v>18770</v>
      </c>
      <c r="R16">
        <v>0</v>
      </c>
      <c r="S16">
        <v>0</v>
      </c>
      <c r="T16">
        <v>8934</v>
      </c>
      <c r="U16">
        <v>16920</v>
      </c>
      <c r="V16">
        <v>6048</v>
      </c>
      <c r="W16">
        <v>879896</v>
      </c>
      <c r="X16">
        <v>29896</v>
      </c>
      <c r="Y16">
        <v>46293</v>
      </c>
      <c r="Z16" s="1">
        <v>2755842</v>
      </c>
    </row>
    <row r="17" spans="1:26" x14ac:dyDescent="0.25">
      <c r="A17">
        <v>1986</v>
      </c>
      <c r="B17">
        <v>20086</v>
      </c>
      <c r="C17">
        <v>41578</v>
      </c>
      <c r="D17">
        <v>49772</v>
      </c>
      <c r="E17">
        <v>34477</v>
      </c>
      <c r="F17">
        <v>289744</v>
      </c>
      <c r="G17">
        <v>5704</v>
      </c>
      <c r="H17">
        <v>0</v>
      </c>
      <c r="I17">
        <v>0</v>
      </c>
      <c r="J17">
        <v>562123</v>
      </c>
      <c r="K17">
        <v>59804</v>
      </c>
      <c r="L17">
        <v>34477</v>
      </c>
      <c r="M17">
        <v>233067</v>
      </c>
      <c r="N17">
        <v>428458</v>
      </c>
      <c r="O17">
        <v>0</v>
      </c>
      <c r="P17">
        <v>20086</v>
      </c>
      <c r="Q17">
        <v>19789</v>
      </c>
      <c r="R17">
        <v>0</v>
      </c>
      <c r="S17">
        <v>0</v>
      </c>
      <c r="T17">
        <v>5704</v>
      </c>
      <c r="U17">
        <v>20276</v>
      </c>
      <c r="V17">
        <v>4869</v>
      </c>
      <c r="W17">
        <v>872976</v>
      </c>
      <c r="X17">
        <v>29896</v>
      </c>
      <c r="Y17">
        <v>46293</v>
      </c>
      <c r="Z17" s="1">
        <v>2779179</v>
      </c>
    </row>
    <row r="18" spans="1:26" x14ac:dyDescent="0.25">
      <c r="A18">
        <v>1987</v>
      </c>
      <c r="B18">
        <v>22516</v>
      </c>
      <c r="C18">
        <v>51916</v>
      </c>
      <c r="D18">
        <v>48605</v>
      </c>
      <c r="E18">
        <v>33161</v>
      </c>
      <c r="F18">
        <v>298385</v>
      </c>
      <c r="G18">
        <v>1595</v>
      </c>
      <c r="H18">
        <v>0</v>
      </c>
      <c r="I18">
        <v>0</v>
      </c>
      <c r="J18">
        <v>626022</v>
      </c>
      <c r="K18">
        <v>59389</v>
      </c>
      <c r="L18">
        <v>33161</v>
      </c>
      <c r="M18">
        <v>242980</v>
      </c>
      <c r="N18">
        <v>443704</v>
      </c>
      <c r="O18">
        <v>0</v>
      </c>
      <c r="P18">
        <v>22516</v>
      </c>
      <c r="Q18">
        <v>28222</v>
      </c>
      <c r="R18">
        <v>0</v>
      </c>
      <c r="S18">
        <v>0</v>
      </c>
      <c r="T18">
        <v>1595</v>
      </c>
      <c r="U18">
        <v>19578</v>
      </c>
      <c r="V18">
        <v>5732</v>
      </c>
      <c r="W18">
        <v>864570</v>
      </c>
      <c r="X18">
        <v>32381</v>
      </c>
      <c r="Y18">
        <v>49048</v>
      </c>
      <c r="Z18" s="1">
        <v>2885076</v>
      </c>
    </row>
    <row r="19" spans="1:26" x14ac:dyDescent="0.25">
      <c r="A19">
        <v>1988</v>
      </c>
      <c r="B19">
        <v>28862</v>
      </c>
      <c r="C19">
        <v>62204</v>
      </c>
      <c r="D19">
        <v>59567</v>
      </c>
      <c r="E19">
        <v>35190</v>
      </c>
      <c r="F19">
        <v>314083</v>
      </c>
      <c r="G19">
        <v>1189</v>
      </c>
      <c r="H19">
        <v>0</v>
      </c>
      <c r="I19">
        <v>0</v>
      </c>
      <c r="J19">
        <v>625105</v>
      </c>
      <c r="K19">
        <v>59567</v>
      </c>
      <c r="L19">
        <v>35190</v>
      </c>
      <c r="M19">
        <v>228046</v>
      </c>
      <c r="N19">
        <v>450720</v>
      </c>
      <c r="O19">
        <v>0</v>
      </c>
      <c r="P19">
        <v>28862</v>
      </c>
      <c r="Q19">
        <v>24336</v>
      </c>
      <c r="R19">
        <v>0</v>
      </c>
      <c r="S19">
        <v>0</v>
      </c>
      <c r="T19">
        <v>1189</v>
      </c>
      <c r="U19">
        <v>22344</v>
      </c>
      <c r="V19">
        <v>4205</v>
      </c>
      <c r="W19">
        <v>898650</v>
      </c>
      <c r="X19">
        <v>43888</v>
      </c>
      <c r="Y19">
        <v>53226</v>
      </c>
      <c r="Z19" s="1">
        <v>2976423</v>
      </c>
    </row>
    <row r="20" spans="1:26" x14ac:dyDescent="0.25">
      <c r="A20">
        <v>1989</v>
      </c>
      <c r="B20">
        <v>35316</v>
      </c>
      <c r="C20">
        <v>59244</v>
      </c>
      <c r="D20">
        <v>48015</v>
      </c>
      <c r="E20">
        <v>33197</v>
      </c>
      <c r="F20">
        <v>316699</v>
      </c>
      <c r="G20">
        <v>1485</v>
      </c>
      <c r="H20">
        <v>0</v>
      </c>
      <c r="I20">
        <v>0</v>
      </c>
      <c r="J20">
        <v>689610</v>
      </c>
      <c r="K20">
        <v>48965</v>
      </c>
      <c r="L20">
        <v>33197</v>
      </c>
      <c r="M20">
        <v>239205</v>
      </c>
      <c r="N20">
        <v>459232</v>
      </c>
      <c r="O20">
        <v>0</v>
      </c>
      <c r="P20">
        <v>35316</v>
      </c>
      <c r="Q20">
        <v>26192</v>
      </c>
      <c r="R20">
        <v>0</v>
      </c>
      <c r="S20">
        <v>0</v>
      </c>
      <c r="T20">
        <v>1485</v>
      </c>
      <c r="U20">
        <v>21072</v>
      </c>
      <c r="V20">
        <v>5479</v>
      </c>
      <c r="W20">
        <v>935426</v>
      </c>
      <c r="X20">
        <v>63558</v>
      </c>
      <c r="Y20">
        <v>40017</v>
      </c>
      <c r="Z20" s="1">
        <v>3092710</v>
      </c>
    </row>
    <row r="21" spans="1:26" x14ac:dyDescent="0.25">
      <c r="A21">
        <v>1990</v>
      </c>
      <c r="B21">
        <v>35059</v>
      </c>
      <c r="C21">
        <v>58757</v>
      </c>
      <c r="D21">
        <v>47842</v>
      </c>
      <c r="E21">
        <v>35019</v>
      </c>
      <c r="F21">
        <v>335416</v>
      </c>
      <c r="G21">
        <v>1382</v>
      </c>
      <c r="H21">
        <v>0</v>
      </c>
      <c r="I21">
        <v>0</v>
      </c>
      <c r="J21">
        <v>666920</v>
      </c>
      <c r="K21">
        <v>58691</v>
      </c>
      <c r="L21">
        <v>35019</v>
      </c>
      <c r="M21">
        <v>254964</v>
      </c>
      <c r="N21">
        <v>453707</v>
      </c>
      <c r="O21">
        <v>0</v>
      </c>
      <c r="P21">
        <v>35059</v>
      </c>
      <c r="Q21">
        <v>26997</v>
      </c>
      <c r="R21">
        <v>0</v>
      </c>
      <c r="S21">
        <v>0</v>
      </c>
      <c r="T21">
        <v>1382</v>
      </c>
      <c r="U21">
        <v>20761</v>
      </c>
      <c r="V21">
        <v>5379</v>
      </c>
      <c r="W21">
        <v>917480</v>
      </c>
      <c r="X21">
        <v>49638</v>
      </c>
      <c r="Y21">
        <v>52886</v>
      </c>
      <c r="Z21" s="1">
        <v>3092358</v>
      </c>
    </row>
    <row r="22" spans="1:26" x14ac:dyDescent="0.25">
      <c r="A22">
        <v>1991</v>
      </c>
      <c r="B22">
        <v>38550</v>
      </c>
      <c r="C22">
        <v>59555</v>
      </c>
      <c r="D22">
        <v>49573</v>
      </c>
      <c r="E22">
        <v>30980</v>
      </c>
      <c r="F22">
        <v>330035</v>
      </c>
      <c r="G22">
        <v>1235</v>
      </c>
      <c r="H22">
        <v>0</v>
      </c>
      <c r="I22">
        <v>0</v>
      </c>
      <c r="J22">
        <v>633520</v>
      </c>
      <c r="K22">
        <v>59803</v>
      </c>
      <c r="L22">
        <v>30980</v>
      </c>
      <c r="M22">
        <v>224242</v>
      </c>
      <c r="N22">
        <v>447309</v>
      </c>
      <c r="O22">
        <v>0</v>
      </c>
      <c r="P22">
        <v>38550</v>
      </c>
      <c r="Q22">
        <v>18987</v>
      </c>
      <c r="R22">
        <v>0</v>
      </c>
      <c r="S22">
        <v>0</v>
      </c>
      <c r="T22">
        <v>1235</v>
      </c>
      <c r="U22">
        <v>19705</v>
      </c>
      <c r="V22">
        <v>7542</v>
      </c>
      <c r="W22">
        <v>851920</v>
      </c>
      <c r="X22">
        <v>49613</v>
      </c>
      <c r="Y22">
        <v>53966</v>
      </c>
      <c r="Z22" s="1">
        <v>2947300</v>
      </c>
    </row>
    <row r="23" spans="1:26" x14ac:dyDescent="0.25">
      <c r="A23">
        <v>1992</v>
      </c>
      <c r="B23">
        <v>35719</v>
      </c>
      <c r="C23">
        <v>44775</v>
      </c>
      <c r="D23">
        <v>42242</v>
      </c>
      <c r="E23">
        <v>31271</v>
      </c>
      <c r="F23">
        <v>310602</v>
      </c>
      <c r="G23">
        <v>1586</v>
      </c>
      <c r="H23">
        <v>0</v>
      </c>
      <c r="I23">
        <v>0</v>
      </c>
      <c r="J23">
        <v>580360</v>
      </c>
      <c r="K23">
        <v>53684</v>
      </c>
      <c r="L23">
        <v>31271</v>
      </c>
      <c r="M23">
        <v>227515</v>
      </c>
      <c r="N23">
        <v>377094</v>
      </c>
      <c r="O23">
        <v>0</v>
      </c>
      <c r="P23">
        <v>35719</v>
      </c>
      <c r="Q23">
        <v>20273</v>
      </c>
      <c r="R23">
        <v>0</v>
      </c>
      <c r="S23">
        <v>0</v>
      </c>
      <c r="T23">
        <v>1586</v>
      </c>
      <c r="U23">
        <v>20605</v>
      </c>
      <c r="V23">
        <v>9793</v>
      </c>
      <c r="W23">
        <v>768160</v>
      </c>
      <c r="X23">
        <v>49572</v>
      </c>
      <c r="Y23">
        <v>46442</v>
      </c>
      <c r="Z23" s="1">
        <v>2688269</v>
      </c>
    </row>
    <row r="24" spans="1:26" x14ac:dyDescent="0.25">
      <c r="A24">
        <v>1993</v>
      </c>
      <c r="B24">
        <v>37620</v>
      </c>
      <c r="C24">
        <v>59574</v>
      </c>
      <c r="D24">
        <v>38611</v>
      </c>
      <c r="E24">
        <v>30410</v>
      </c>
      <c r="F24">
        <v>298975</v>
      </c>
      <c r="G24">
        <v>11564</v>
      </c>
      <c r="H24">
        <v>0</v>
      </c>
      <c r="I24">
        <v>0</v>
      </c>
      <c r="J24">
        <v>603372</v>
      </c>
      <c r="K24">
        <v>52443</v>
      </c>
      <c r="L24">
        <v>28839</v>
      </c>
      <c r="M24">
        <v>228347</v>
      </c>
      <c r="N24">
        <v>299981</v>
      </c>
      <c r="O24">
        <v>0</v>
      </c>
      <c r="P24">
        <v>37620</v>
      </c>
      <c r="Q24">
        <v>22145</v>
      </c>
      <c r="R24">
        <v>0</v>
      </c>
      <c r="S24">
        <v>0</v>
      </c>
      <c r="T24">
        <v>11564</v>
      </c>
      <c r="U24">
        <v>18726</v>
      </c>
      <c r="V24">
        <v>7787</v>
      </c>
      <c r="W24">
        <v>737100</v>
      </c>
      <c r="X24">
        <v>45475</v>
      </c>
      <c r="Y24">
        <v>51510</v>
      </c>
      <c r="Z24" s="1">
        <v>2621663</v>
      </c>
    </row>
    <row r="25" spans="1:26" x14ac:dyDescent="0.25">
      <c r="A25">
        <v>1994</v>
      </c>
      <c r="B25">
        <v>42428</v>
      </c>
      <c r="C25">
        <v>58841</v>
      </c>
      <c r="D25">
        <v>44024</v>
      </c>
      <c r="E25">
        <v>30751</v>
      </c>
      <c r="F25">
        <v>318487</v>
      </c>
      <c r="G25">
        <v>15796</v>
      </c>
      <c r="H25">
        <v>0</v>
      </c>
      <c r="I25">
        <v>0</v>
      </c>
      <c r="J25">
        <v>664550</v>
      </c>
      <c r="K25">
        <v>50858</v>
      </c>
      <c r="L25">
        <v>30751</v>
      </c>
      <c r="M25">
        <v>237520</v>
      </c>
      <c r="N25">
        <v>371689</v>
      </c>
      <c r="O25">
        <v>0</v>
      </c>
      <c r="P25">
        <v>42428</v>
      </c>
      <c r="Q25">
        <v>29546</v>
      </c>
      <c r="R25">
        <v>0</v>
      </c>
      <c r="S25">
        <v>0</v>
      </c>
      <c r="T25">
        <v>15796</v>
      </c>
      <c r="U25">
        <v>22497</v>
      </c>
      <c r="V25">
        <v>6699</v>
      </c>
      <c r="W25">
        <v>800370</v>
      </c>
      <c r="X25">
        <v>49374</v>
      </c>
      <c r="Y25">
        <v>55610</v>
      </c>
      <c r="Z25" s="1">
        <v>2888015</v>
      </c>
    </row>
    <row r="26" spans="1:26" x14ac:dyDescent="0.25">
      <c r="A26">
        <v>1995</v>
      </c>
      <c r="B26">
        <v>38398</v>
      </c>
      <c r="C26">
        <v>65152</v>
      </c>
      <c r="D26">
        <v>45674</v>
      </c>
      <c r="E26">
        <v>32173</v>
      </c>
      <c r="F26">
        <v>331613</v>
      </c>
      <c r="G26">
        <v>15765</v>
      </c>
      <c r="H26">
        <v>0</v>
      </c>
      <c r="I26">
        <v>0</v>
      </c>
      <c r="J26">
        <v>650840</v>
      </c>
      <c r="K26">
        <v>54694</v>
      </c>
      <c r="L26">
        <v>32173</v>
      </c>
      <c r="M26">
        <v>239250</v>
      </c>
      <c r="N26">
        <v>388701</v>
      </c>
      <c r="O26">
        <v>0</v>
      </c>
      <c r="P26">
        <v>38398</v>
      </c>
      <c r="Q26">
        <v>29210</v>
      </c>
      <c r="R26">
        <v>0</v>
      </c>
      <c r="S26">
        <v>0</v>
      </c>
      <c r="T26">
        <v>15765</v>
      </c>
      <c r="U26">
        <v>21364</v>
      </c>
      <c r="V26">
        <v>8840</v>
      </c>
      <c r="W26">
        <v>861800</v>
      </c>
      <c r="X26">
        <v>38939</v>
      </c>
      <c r="Y26">
        <v>52843</v>
      </c>
      <c r="Z26" s="1">
        <v>2961592</v>
      </c>
    </row>
    <row r="27" spans="1:26" x14ac:dyDescent="0.25">
      <c r="A27">
        <v>1996</v>
      </c>
      <c r="B27">
        <v>45793</v>
      </c>
      <c r="C27">
        <v>68030</v>
      </c>
      <c r="D27">
        <v>48573</v>
      </c>
      <c r="E27">
        <v>31344</v>
      </c>
      <c r="F27">
        <v>346544</v>
      </c>
      <c r="G27">
        <v>1368</v>
      </c>
      <c r="H27">
        <v>0</v>
      </c>
      <c r="I27">
        <v>0</v>
      </c>
      <c r="J27">
        <v>701010</v>
      </c>
      <c r="K27">
        <v>58817</v>
      </c>
      <c r="L27">
        <v>31344</v>
      </c>
      <c r="M27">
        <v>240916</v>
      </c>
      <c r="N27">
        <v>415131</v>
      </c>
      <c r="O27">
        <v>0</v>
      </c>
      <c r="P27">
        <v>45793</v>
      </c>
      <c r="Q27">
        <v>29224</v>
      </c>
      <c r="R27">
        <v>0</v>
      </c>
      <c r="S27">
        <v>0</v>
      </c>
      <c r="T27">
        <v>1368</v>
      </c>
      <c r="U27">
        <v>30190</v>
      </c>
      <c r="V27">
        <v>7321</v>
      </c>
      <c r="W27">
        <v>953010</v>
      </c>
      <c r="X27">
        <v>33196</v>
      </c>
      <c r="Y27">
        <v>56412</v>
      </c>
      <c r="Z27" s="1">
        <v>3145384</v>
      </c>
    </row>
    <row r="28" spans="1:26" x14ac:dyDescent="0.25">
      <c r="A28">
        <v>1997</v>
      </c>
      <c r="B28">
        <v>42600</v>
      </c>
      <c r="C28">
        <v>69966</v>
      </c>
      <c r="D28">
        <v>49843</v>
      </c>
      <c r="E28">
        <v>25996</v>
      </c>
      <c r="F28">
        <v>340299</v>
      </c>
      <c r="G28">
        <v>8855</v>
      </c>
      <c r="H28">
        <v>0</v>
      </c>
      <c r="I28">
        <v>0</v>
      </c>
      <c r="J28">
        <v>616380</v>
      </c>
      <c r="K28">
        <v>57330</v>
      </c>
      <c r="L28">
        <v>25996</v>
      </c>
      <c r="M28">
        <v>215234</v>
      </c>
      <c r="N28">
        <v>415190</v>
      </c>
      <c r="O28">
        <v>0</v>
      </c>
      <c r="P28">
        <v>42600</v>
      </c>
      <c r="Q28">
        <v>30883</v>
      </c>
      <c r="R28">
        <v>0</v>
      </c>
      <c r="S28">
        <v>0</v>
      </c>
      <c r="T28">
        <v>8855</v>
      </c>
      <c r="U28">
        <v>27240</v>
      </c>
      <c r="V28">
        <v>4497</v>
      </c>
      <c r="W28">
        <v>917520</v>
      </c>
      <c r="X28">
        <v>31008</v>
      </c>
      <c r="Y28">
        <v>53219</v>
      </c>
      <c r="Z28" s="1">
        <v>2983511</v>
      </c>
    </row>
    <row r="29" spans="1:26" x14ac:dyDescent="0.25">
      <c r="A29">
        <v>1998</v>
      </c>
      <c r="B29">
        <v>31668</v>
      </c>
      <c r="C29">
        <v>61888</v>
      </c>
      <c r="D29">
        <v>45611</v>
      </c>
      <c r="E29">
        <v>27370</v>
      </c>
      <c r="F29">
        <v>347048</v>
      </c>
      <c r="G29">
        <v>12894</v>
      </c>
      <c r="H29">
        <v>0</v>
      </c>
      <c r="I29">
        <v>0</v>
      </c>
      <c r="J29">
        <v>579850</v>
      </c>
      <c r="K29">
        <v>59567</v>
      </c>
      <c r="L29">
        <v>27370</v>
      </c>
      <c r="M29">
        <v>216226</v>
      </c>
      <c r="N29">
        <v>400029</v>
      </c>
      <c r="O29">
        <v>0</v>
      </c>
      <c r="P29">
        <v>31668</v>
      </c>
      <c r="Q29">
        <v>28953</v>
      </c>
      <c r="R29">
        <v>0</v>
      </c>
      <c r="S29">
        <v>0</v>
      </c>
      <c r="T29">
        <v>12894</v>
      </c>
      <c r="U29">
        <v>26276</v>
      </c>
      <c r="V29">
        <v>10937</v>
      </c>
      <c r="W29">
        <v>812800</v>
      </c>
      <c r="X29">
        <v>31386</v>
      </c>
      <c r="Y29">
        <v>49812</v>
      </c>
      <c r="Z29" s="1">
        <v>2814247</v>
      </c>
    </row>
    <row r="30" spans="1:26" x14ac:dyDescent="0.25">
      <c r="A30">
        <v>1999</v>
      </c>
      <c r="B30">
        <v>34981</v>
      </c>
      <c r="C30">
        <v>80252</v>
      </c>
      <c r="D30">
        <v>43977</v>
      </c>
      <c r="E30">
        <v>30158</v>
      </c>
      <c r="F30">
        <v>366474</v>
      </c>
      <c r="G30">
        <v>11505</v>
      </c>
      <c r="H30">
        <v>0</v>
      </c>
      <c r="I30">
        <v>0</v>
      </c>
      <c r="J30">
        <v>586060</v>
      </c>
      <c r="K30">
        <v>62175</v>
      </c>
      <c r="L30">
        <v>30158</v>
      </c>
      <c r="M30">
        <v>226000</v>
      </c>
      <c r="N30">
        <v>382901</v>
      </c>
      <c r="O30">
        <v>0</v>
      </c>
      <c r="P30">
        <v>34981</v>
      </c>
      <c r="Q30">
        <v>26923</v>
      </c>
      <c r="R30">
        <v>0</v>
      </c>
      <c r="S30">
        <v>0</v>
      </c>
      <c r="T30">
        <v>11505</v>
      </c>
      <c r="U30">
        <v>20959</v>
      </c>
      <c r="V30">
        <v>5788</v>
      </c>
      <c r="W30">
        <v>938870</v>
      </c>
      <c r="X30">
        <v>31353</v>
      </c>
      <c r="Y30">
        <v>48801</v>
      </c>
      <c r="Z30" s="1">
        <v>2973821</v>
      </c>
    </row>
    <row r="31" spans="1:26" x14ac:dyDescent="0.25">
      <c r="A31">
        <v>2000</v>
      </c>
      <c r="B31">
        <v>37432</v>
      </c>
      <c r="C31">
        <v>65883</v>
      </c>
      <c r="D31">
        <v>48965</v>
      </c>
      <c r="E31">
        <v>30394</v>
      </c>
      <c r="F31">
        <v>315453</v>
      </c>
      <c r="G31">
        <v>12061</v>
      </c>
      <c r="H31">
        <v>0</v>
      </c>
      <c r="I31">
        <v>0</v>
      </c>
      <c r="J31">
        <v>621087</v>
      </c>
      <c r="K31">
        <v>68177</v>
      </c>
      <c r="L31">
        <v>30394</v>
      </c>
      <c r="M31">
        <v>233862</v>
      </c>
      <c r="N31">
        <v>418784</v>
      </c>
      <c r="O31">
        <v>0</v>
      </c>
      <c r="P31">
        <v>37432</v>
      </c>
      <c r="Q31">
        <v>30085</v>
      </c>
      <c r="R31">
        <v>0</v>
      </c>
      <c r="S31">
        <v>0</v>
      </c>
      <c r="T31">
        <v>12061</v>
      </c>
      <c r="U31">
        <v>23304</v>
      </c>
      <c r="V31">
        <v>3558</v>
      </c>
      <c r="W31">
        <v>982760</v>
      </c>
      <c r="X31">
        <v>29785</v>
      </c>
      <c r="Y31">
        <v>50334</v>
      </c>
      <c r="Z31" s="1">
        <v>3051811</v>
      </c>
    </row>
    <row r="32" spans="1:26" x14ac:dyDescent="0.25">
      <c r="A32">
        <v>2001</v>
      </c>
      <c r="B32">
        <v>36869</v>
      </c>
      <c r="C32">
        <v>63446</v>
      </c>
      <c r="D32">
        <v>46150</v>
      </c>
      <c r="E32">
        <v>26422</v>
      </c>
      <c r="F32">
        <v>369729</v>
      </c>
      <c r="G32">
        <v>9958</v>
      </c>
      <c r="H32">
        <v>12953</v>
      </c>
      <c r="I32">
        <v>0</v>
      </c>
      <c r="J32">
        <v>578210</v>
      </c>
      <c r="K32">
        <v>62054</v>
      </c>
      <c r="L32">
        <v>26422</v>
      </c>
      <c r="M32">
        <v>212969</v>
      </c>
      <c r="N32">
        <v>406725</v>
      </c>
      <c r="O32">
        <v>12953</v>
      </c>
      <c r="P32">
        <v>36869</v>
      </c>
      <c r="Q32">
        <v>26303</v>
      </c>
      <c r="R32">
        <v>0</v>
      </c>
      <c r="S32">
        <v>12953</v>
      </c>
      <c r="T32">
        <v>9958</v>
      </c>
      <c r="U32">
        <v>18457</v>
      </c>
      <c r="V32">
        <v>4297</v>
      </c>
      <c r="W32">
        <v>944740</v>
      </c>
      <c r="X32">
        <v>40992</v>
      </c>
      <c r="Y32">
        <v>46180</v>
      </c>
      <c r="Z32" s="1">
        <v>3005609</v>
      </c>
    </row>
    <row r="33" spans="1:26" x14ac:dyDescent="0.25">
      <c r="A33">
        <v>2002</v>
      </c>
      <c r="B33">
        <v>35770</v>
      </c>
      <c r="C33">
        <v>61982</v>
      </c>
      <c r="D33">
        <v>48441</v>
      </c>
      <c r="E33">
        <v>28159</v>
      </c>
      <c r="F33">
        <v>371246</v>
      </c>
      <c r="G33">
        <v>16007</v>
      </c>
      <c r="H33">
        <v>12079</v>
      </c>
      <c r="I33">
        <v>0</v>
      </c>
      <c r="J33">
        <v>604000</v>
      </c>
      <c r="K33">
        <v>66569</v>
      </c>
      <c r="L33">
        <v>28159</v>
      </c>
      <c r="M33">
        <v>225532</v>
      </c>
      <c r="N33">
        <v>439584</v>
      </c>
      <c r="O33">
        <v>12079</v>
      </c>
      <c r="P33">
        <v>35770</v>
      </c>
      <c r="Q33">
        <v>27068</v>
      </c>
      <c r="R33">
        <v>0</v>
      </c>
      <c r="S33">
        <v>12079</v>
      </c>
      <c r="T33">
        <v>16007</v>
      </c>
      <c r="U33">
        <v>16494</v>
      </c>
      <c r="V33">
        <v>3059</v>
      </c>
      <c r="W33">
        <v>998610</v>
      </c>
      <c r="X33">
        <v>47084</v>
      </c>
      <c r="Y33">
        <v>47220</v>
      </c>
      <c r="Z33" s="1">
        <v>3152998</v>
      </c>
    </row>
    <row r="34" spans="1:26" x14ac:dyDescent="0.25">
      <c r="A34">
        <v>2003</v>
      </c>
      <c r="B34">
        <v>35581</v>
      </c>
      <c r="C34">
        <v>57442</v>
      </c>
      <c r="D34">
        <v>45191</v>
      </c>
      <c r="E34">
        <v>25794</v>
      </c>
      <c r="F34">
        <v>352225</v>
      </c>
      <c r="G34">
        <v>6445</v>
      </c>
      <c r="H34">
        <v>11349</v>
      </c>
      <c r="I34">
        <v>0</v>
      </c>
      <c r="J34">
        <v>595950</v>
      </c>
      <c r="K34">
        <v>64827</v>
      </c>
      <c r="L34">
        <v>25794</v>
      </c>
      <c r="M34">
        <v>199059</v>
      </c>
      <c r="N34">
        <v>414909</v>
      </c>
      <c r="O34">
        <v>11349</v>
      </c>
      <c r="P34">
        <v>35581</v>
      </c>
      <c r="Q34">
        <v>27069</v>
      </c>
      <c r="R34">
        <v>0</v>
      </c>
      <c r="S34">
        <v>11349</v>
      </c>
      <c r="T34">
        <v>6445</v>
      </c>
      <c r="U34">
        <v>16435</v>
      </c>
      <c r="V34">
        <v>2496</v>
      </c>
      <c r="W34">
        <v>917360</v>
      </c>
      <c r="X34">
        <v>46352</v>
      </c>
      <c r="Y34">
        <v>46977</v>
      </c>
      <c r="Z34" s="1">
        <v>2955979</v>
      </c>
    </row>
    <row r="35" spans="1:26" x14ac:dyDescent="0.25">
      <c r="A35">
        <v>2004</v>
      </c>
      <c r="B35">
        <v>35864</v>
      </c>
      <c r="C35">
        <v>69103</v>
      </c>
      <c r="D35">
        <v>43793</v>
      </c>
      <c r="E35">
        <v>23718</v>
      </c>
      <c r="F35">
        <v>346129</v>
      </c>
      <c r="G35">
        <v>3861</v>
      </c>
      <c r="H35">
        <v>10677</v>
      </c>
      <c r="I35">
        <v>0</v>
      </c>
      <c r="J35">
        <v>571760</v>
      </c>
      <c r="K35">
        <v>66486</v>
      </c>
      <c r="L35">
        <v>23718</v>
      </c>
      <c r="M35">
        <v>180680</v>
      </c>
      <c r="N35">
        <v>407699</v>
      </c>
      <c r="O35">
        <v>10677</v>
      </c>
      <c r="P35">
        <v>35864</v>
      </c>
      <c r="Q35">
        <v>27070</v>
      </c>
      <c r="R35">
        <v>0</v>
      </c>
      <c r="S35">
        <v>10677</v>
      </c>
      <c r="T35">
        <v>3861</v>
      </c>
      <c r="U35">
        <v>8617</v>
      </c>
      <c r="V35">
        <v>4754</v>
      </c>
      <c r="W35">
        <v>969040</v>
      </c>
      <c r="X35">
        <v>46259</v>
      </c>
      <c r="Y35">
        <v>37457</v>
      </c>
      <c r="Z35" s="1">
        <v>2937764</v>
      </c>
    </row>
    <row r="36" spans="1:26" x14ac:dyDescent="0.25">
      <c r="A36">
        <v>2005</v>
      </c>
      <c r="B36">
        <v>31929</v>
      </c>
      <c r="C36">
        <v>72364</v>
      </c>
      <c r="D36">
        <v>44827</v>
      </c>
      <c r="E36">
        <v>23944</v>
      </c>
      <c r="F36">
        <v>340556</v>
      </c>
      <c r="G36">
        <v>3643</v>
      </c>
      <c r="H36">
        <v>8539</v>
      </c>
      <c r="I36">
        <v>0</v>
      </c>
      <c r="J36">
        <v>575980</v>
      </c>
      <c r="K36">
        <v>63925</v>
      </c>
      <c r="L36">
        <v>23944</v>
      </c>
      <c r="M36">
        <v>198276</v>
      </c>
      <c r="N36">
        <v>372370</v>
      </c>
      <c r="O36">
        <v>8539</v>
      </c>
      <c r="P36">
        <v>31929</v>
      </c>
      <c r="Q36">
        <v>13424</v>
      </c>
      <c r="R36">
        <v>0</v>
      </c>
      <c r="S36">
        <v>8539</v>
      </c>
      <c r="T36">
        <v>3643</v>
      </c>
      <c r="U36">
        <v>16282</v>
      </c>
      <c r="V36">
        <v>5758</v>
      </c>
      <c r="W36">
        <v>800460</v>
      </c>
      <c r="X36">
        <v>44803</v>
      </c>
      <c r="Y36">
        <v>38537</v>
      </c>
      <c r="Z36" s="1">
        <v>2732211</v>
      </c>
    </row>
    <row r="37" spans="1:26" x14ac:dyDescent="0.25">
      <c r="A37">
        <v>2006</v>
      </c>
      <c r="B37">
        <v>36106</v>
      </c>
      <c r="C37">
        <v>59718</v>
      </c>
      <c r="D37">
        <v>45661</v>
      </c>
      <c r="E37">
        <v>27529</v>
      </c>
      <c r="F37">
        <v>353355</v>
      </c>
      <c r="G37">
        <v>5267</v>
      </c>
      <c r="H37">
        <v>9329</v>
      </c>
      <c r="I37">
        <v>950</v>
      </c>
      <c r="J37">
        <v>602910</v>
      </c>
      <c r="K37">
        <v>63552</v>
      </c>
      <c r="L37">
        <v>27529</v>
      </c>
      <c r="M37">
        <v>190449</v>
      </c>
      <c r="N37">
        <v>401996</v>
      </c>
      <c r="O37">
        <v>9329</v>
      </c>
      <c r="P37">
        <v>36106</v>
      </c>
      <c r="Q37">
        <v>19296</v>
      </c>
      <c r="R37">
        <v>0</v>
      </c>
      <c r="S37">
        <v>9329</v>
      </c>
      <c r="T37">
        <v>5267</v>
      </c>
      <c r="U37">
        <v>18795</v>
      </c>
      <c r="V37">
        <v>3307</v>
      </c>
      <c r="W37">
        <v>851320</v>
      </c>
      <c r="X37">
        <v>37934</v>
      </c>
      <c r="Y37">
        <v>40757</v>
      </c>
      <c r="Z37" s="1">
        <v>2855791</v>
      </c>
    </row>
    <row r="38" spans="1:26" x14ac:dyDescent="0.25">
      <c r="A38">
        <v>2007</v>
      </c>
      <c r="B38">
        <v>32748.720000000001</v>
      </c>
      <c r="C38">
        <v>63333.59</v>
      </c>
      <c r="D38">
        <v>47528</v>
      </c>
      <c r="E38">
        <v>29438</v>
      </c>
      <c r="F38">
        <v>347274</v>
      </c>
      <c r="G38">
        <v>3445</v>
      </c>
      <c r="H38">
        <v>9455</v>
      </c>
      <c r="I38">
        <v>821</v>
      </c>
      <c r="J38">
        <v>600890</v>
      </c>
      <c r="K38">
        <v>65809</v>
      </c>
      <c r="L38">
        <v>29438</v>
      </c>
      <c r="M38">
        <v>206469</v>
      </c>
      <c r="N38">
        <v>420160</v>
      </c>
      <c r="O38">
        <v>9455</v>
      </c>
      <c r="P38">
        <v>32748.720000000001</v>
      </c>
      <c r="Q38">
        <v>19348</v>
      </c>
      <c r="R38">
        <v>0</v>
      </c>
      <c r="S38">
        <v>9455</v>
      </c>
      <c r="T38">
        <v>3445</v>
      </c>
      <c r="U38">
        <v>21275</v>
      </c>
      <c r="V38">
        <v>4250</v>
      </c>
      <c r="W38">
        <v>917090</v>
      </c>
      <c r="X38">
        <v>44496</v>
      </c>
      <c r="Y38">
        <v>43454</v>
      </c>
      <c r="Z38" s="1">
        <v>2961826.0300000003</v>
      </c>
    </row>
    <row r="39" spans="1:26" x14ac:dyDescent="0.25">
      <c r="A39">
        <v>2008</v>
      </c>
      <c r="B39">
        <v>37088</v>
      </c>
      <c r="C39">
        <v>67264</v>
      </c>
      <c r="D39">
        <v>47917</v>
      </c>
      <c r="E39">
        <v>26807</v>
      </c>
      <c r="F39">
        <v>345720</v>
      </c>
      <c r="G39">
        <v>3874</v>
      </c>
      <c r="H39">
        <v>7252</v>
      </c>
      <c r="I39">
        <v>440</v>
      </c>
      <c r="J39">
        <v>631570</v>
      </c>
      <c r="K39">
        <v>69313</v>
      </c>
      <c r="L39">
        <v>26807</v>
      </c>
      <c r="M39">
        <v>191491</v>
      </c>
      <c r="N39">
        <v>401976</v>
      </c>
      <c r="O39">
        <v>7252</v>
      </c>
      <c r="P39">
        <v>37088</v>
      </c>
      <c r="Q39">
        <v>18919</v>
      </c>
      <c r="R39">
        <v>0</v>
      </c>
      <c r="S39">
        <v>7252</v>
      </c>
      <c r="T39">
        <v>3874</v>
      </c>
      <c r="U39">
        <v>14868</v>
      </c>
      <c r="V39">
        <v>4230</v>
      </c>
      <c r="W39">
        <v>881220</v>
      </c>
      <c r="X39">
        <v>44349</v>
      </c>
      <c r="Y39">
        <v>44568</v>
      </c>
      <c r="Z39" s="1">
        <v>2921139</v>
      </c>
    </row>
    <row r="40" spans="1:26" x14ac:dyDescent="0.25">
      <c r="A40">
        <v>2009</v>
      </c>
      <c r="B40">
        <v>29057</v>
      </c>
      <c r="C40">
        <v>64043</v>
      </c>
      <c r="D40">
        <v>46865</v>
      </c>
      <c r="E40">
        <v>28521</v>
      </c>
      <c r="F40">
        <v>341153</v>
      </c>
      <c r="G40">
        <v>4039</v>
      </c>
      <c r="H40">
        <v>8076</v>
      </c>
      <c r="I40">
        <v>620</v>
      </c>
      <c r="J40">
        <v>638190</v>
      </c>
      <c r="K40">
        <v>69523</v>
      </c>
      <c r="L40">
        <v>28521</v>
      </c>
      <c r="M40">
        <v>175935</v>
      </c>
      <c r="N40">
        <v>400884</v>
      </c>
      <c r="O40">
        <v>8076</v>
      </c>
      <c r="P40">
        <v>29057</v>
      </c>
      <c r="Q40">
        <v>26086</v>
      </c>
      <c r="R40">
        <v>0</v>
      </c>
      <c r="S40">
        <v>8076</v>
      </c>
      <c r="T40">
        <v>4039</v>
      </c>
      <c r="U40">
        <v>18099</v>
      </c>
      <c r="V40">
        <v>4230</v>
      </c>
      <c r="W40">
        <v>726790</v>
      </c>
      <c r="X40">
        <v>37023</v>
      </c>
      <c r="Y40">
        <v>43550</v>
      </c>
      <c r="Z40" s="1">
        <v>2740453</v>
      </c>
    </row>
    <row r="41" spans="1:26" x14ac:dyDescent="0.25">
      <c r="A41">
        <v>2010</v>
      </c>
      <c r="B41">
        <v>26000</v>
      </c>
      <c r="C41">
        <v>59218</v>
      </c>
      <c r="D41">
        <v>43868</v>
      </c>
      <c r="E41">
        <v>26333</v>
      </c>
      <c r="F41">
        <v>337088</v>
      </c>
      <c r="G41">
        <v>4971</v>
      </c>
      <c r="H41">
        <v>7457</v>
      </c>
      <c r="I41">
        <v>493</v>
      </c>
      <c r="J41">
        <v>632630</v>
      </c>
      <c r="K41">
        <v>64489</v>
      </c>
      <c r="L41">
        <v>26333</v>
      </c>
      <c r="M41">
        <v>187772</v>
      </c>
      <c r="N41">
        <v>379004</v>
      </c>
      <c r="O41">
        <v>7457</v>
      </c>
      <c r="P41">
        <v>26000</v>
      </c>
      <c r="Q41">
        <v>10609</v>
      </c>
      <c r="R41">
        <v>4898</v>
      </c>
      <c r="S41">
        <v>7457</v>
      </c>
      <c r="T41">
        <v>4971</v>
      </c>
      <c r="U41">
        <v>11720</v>
      </c>
      <c r="V41">
        <v>5693</v>
      </c>
      <c r="W41">
        <v>716600</v>
      </c>
      <c r="X41">
        <v>40761</v>
      </c>
      <c r="Y41">
        <v>39551</v>
      </c>
      <c r="Z41" s="1">
        <v>2671373</v>
      </c>
    </row>
    <row r="42" spans="1:26" x14ac:dyDescent="0.25">
      <c r="A42">
        <v>2011</v>
      </c>
      <c r="B42">
        <v>31742</v>
      </c>
      <c r="C42">
        <v>68116</v>
      </c>
      <c r="D42">
        <v>46321</v>
      </c>
      <c r="E42">
        <v>28647</v>
      </c>
      <c r="F42">
        <v>366517</v>
      </c>
      <c r="G42">
        <v>9090</v>
      </c>
      <c r="H42">
        <v>7847</v>
      </c>
      <c r="I42">
        <v>959</v>
      </c>
      <c r="J42">
        <v>643610</v>
      </c>
      <c r="K42">
        <v>73790</v>
      </c>
      <c r="L42">
        <v>28647</v>
      </c>
      <c r="M42">
        <v>186667</v>
      </c>
      <c r="N42">
        <v>394656</v>
      </c>
      <c r="O42">
        <v>7847</v>
      </c>
      <c r="P42">
        <v>31742</v>
      </c>
      <c r="Q42">
        <v>10609</v>
      </c>
      <c r="R42">
        <v>4899</v>
      </c>
      <c r="S42">
        <v>7847</v>
      </c>
      <c r="T42">
        <v>9090</v>
      </c>
      <c r="U42">
        <v>14762</v>
      </c>
      <c r="V42">
        <v>4717</v>
      </c>
      <c r="W42">
        <v>810260</v>
      </c>
      <c r="X42">
        <v>44247</v>
      </c>
      <c r="Y42">
        <v>49552</v>
      </c>
      <c r="Z42" s="1">
        <v>2882181</v>
      </c>
    </row>
    <row r="43" spans="1:26" x14ac:dyDescent="0.25">
      <c r="A43">
        <v>2012</v>
      </c>
      <c r="B43">
        <v>21229</v>
      </c>
      <c r="C43">
        <v>64700</v>
      </c>
      <c r="D43">
        <v>46499</v>
      </c>
      <c r="E43">
        <v>27766</v>
      </c>
      <c r="F43">
        <v>375241</v>
      </c>
      <c r="G43">
        <v>5568</v>
      </c>
      <c r="H43">
        <v>8243</v>
      </c>
      <c r="I43">
        <v>936</v>
      </c>
      <c r="J43">
        <v>636620</v>
      </c>
      <c r="K43">
        <v>70810</v>
      </c>
      <c r="L43">
        <v>27766</v>
      </c>
      <c r="M43">
        <v>203661</v>
      </c>
      <c r="N43">
        <v>397854</v>
      </c>
      <c r="O43">
        <v>8243</v>
      </c>
      <c r="P43">
        <v>21229</v>
      </c>
      <c r="Q43">
        <v>10865</v>
      </c>
      <c r="R43">
        <v>5019</v>
      </c>
      <c r="S43">
        <v>8243</v>
      </c>
      <c r="T43">
        <v>5568</v>
      </c>
      <c r="U43">
        <v>15782</v>
      </c>
      <c r="V43">
        <v>4740</v>
      </c>
      <c r="W43">
        <v>893880</v>
      </c>
      <c r="X43">
        <v>45443</v>
      </c>
      <c r="Y43">
        <v>50729</v>
      </c>
      <c r="Z43" s="1">
        <v>2956634</v>
      </c>
    </row>
    <row r="44" spans="1:26" x14ac:dyDescent="0.25">
      <c r="A44">
        <v>2013</v>
      </c>
      <c r="B44">
        <v>26793</v>
      </c>
      <c r="C44">
        <v>60966</v>
      </c>
      <c r="D44">
        <v>48577</v>
      </c>
      <c r="E44">
        <v>28521</v>
      </c>
      <c r="F44">
        <v>364271</v>
      </c>
      <c r="G44">
        <v>2080</v>
      </c>
      <c r="H44">
        <v>7908</v>
      </c>
      <c r="I44">
        <v>1352</v>
      </c>
      <c r="J44">
        <v>608970</v>
      </c>
      <c r="K44">
        <v>67572</v>
      </c>
      <c r="L44">
        <v>28521</v>
      </c>
      <c r="M44">
        <v>208911</v>
      </c>
      <c r="N44">
        <v>378894</v>
      </c>
      <c r="O44">
        <v>7908</v>
      </c>
      <c r="P44">
        <v>26793</v>
      </c>
      <c r="Q44">
        <v>8025</v>
      </c>
      <c r="R44">
        <v>4681</v>
      </c>
      <c r="S44">
        <v>7908</v>
      </c>
      <c r="T44">
        <v>2080</v>
      </c>
      <c r="U44">
        <v>15259</v>
      </c>
      <c r="V44">
        <v>4740</v>
      </c>
      <c r="W44">
        <v>972270</v>
      </c>
      <c r="X44">
        <v>46367</v>
      </c>
      <c r="Y44">
        <v>49512</v>
      </c>
      <c r="Z44" s="1">
        <v>2978879</v>
      </c>
    </row>
    <row r="45" spans="1:26" x14ac:dyDescent="0.25">
      <c r="A45">
        <v>2014</v>
      </c>
      <c r="B45">
        <v>35092</v>
      </c>
      <c r="C45">
        <v>64735</v>
      </c>
      <c r="D45">
        <v>48818</v>
      </c>
      <c r="E45">
        <v>28695</v>
      </c>
      <c r="F45">
        <v>357773</v>
      </c>
      <c r="G45">
        <v>1893</v>
      </c>
      <c r="H45">
        <v>7945</v>
      </c>
      <c r="I45">
        <v>1218</v>
      </c>
      <c r="J45">
        <v>615510</v>
      </c>
      <c r="K45">
        <v>69577</v>
      </c>
      <c r="L45">
        <v>28695</v>
      </c>
      <c r="M45">
        <v>193804</v>
      </c>
      <c r="N45">
        <v>385086</v>
      </c>
      <c r="O45">
        <v>7945</v>
      </c>
      <c r="P45">
        <v>35092</v>
      </c>
      <c r="Q45">
        <v>10598</v>
      </c>
      <c r="R45">
        <v>4900</v>
      </c>
      <c r="S45">
        <v>7945</v>
      </c>
      <c r="T45">
        <v>1893</v>
      </c>
      <c r="U45">
        <v>16460</v>
      </c>
      <c r="V45">
        <v>4821</v>
      </c>
      <c r="W45">
        <v>948630</v>
      </c>
      <c r="X45">
        <v>47195</v>
      </c>
      <c r="Y45">
        <v>51080</v>
      </c>
      <c r="Z45" s="1">
        <v>2975400</v>
      </c>
    </row>
    <row r="46" spans="1:26" x14ac:dyDescent="0.25">
      <c r="A46">
        <v>2015</v>
      </c>
      <c r="B46">
        <v>31640</v>
      </c>
      <c r="C46">
        <v>67074</v>
      </c>
      <c r="D46">
        <v>44082</v>
      </c>
      <c r="E46">
        <v>28283</v>
      </c>
      <c r="F46">
        <v>358718</v>
      </c>
      <c r="G46">
        <v>1684</v>
      </c>
      <c r="H46">
        <v>6020</v>
      </c>
      <c r="I46">
        <v>1244</v>
      </c>
      <c r="J46">
        <v>590180</v>
      </c>
      <c r="K46">
        <v>69289</v>
      </c>
      <c r="L46">
        <v>28283</v>
      </c>
      <c r="M46">
        <v>181151</v>
      </c>
      <c r="N46">
        <v>370907</v>
      </c>
      <c r="O46">
        <v>6020</v>
      </c>
      <c r="P46">
        <v>31640</v>
      </c>
      <c r="Q46">
        <v>10554</v>
      </c>
      <c r="R46">
        <v>4981</v>
      </c>
      <c r="S46">
        <v>6020</v>
      </c>
      <c r="T46">
        <v>1684</v>
      </c>
      <c r="U46">
        <v>15115</v>
      </c>
      <c r="V46">
        <v>4522</v>
      </c>
      <c r="W46">
        <v>866840</v>
      </c>
      <c r="X46">
        <v>47047</v>
      </c>
      <c r="Y46">
        <v>48561</v>
      </c>
      <c r="Z46" s="1">
        <v>2821539</v>
      </c>
    </row>
    <row r="47" spans="1:26" x14ac:dyDescent="0.25">
      <c r="A47">
        <v>2016</v>
      </c>
      <c r="B47">
        <v>36876</v>
      </c>
      <c r="C47">
        <v>61941</v>
      </c>
      <c r="D47">
        <v>42133</v>
      </c>
      <c r="E47">
        <v>27297</v>
      </c>
      <c r="F47">
        <v>348431</v>
      </c>
      <c r="G47">
        <v>2361</v>
      </c>
      <c r="H47">
        <v>6586</v>
      </c>
      <c r="I47">
        <v>1250</v>
      </c>
      <c r="J47">
        <v>564840</v>
      </c>
      <c r="K47">
        <v>69014</v>
      </c>
      <c r="L47">
        <v>27297</v>
      </c>
      <c r="M47">
        <v>192550</v>
      </c>
      <c r="N47">
        <v>384703</v>
      </c>
      <c r="O47">
        <v>6586</v>
      </c>
      <c r="P47">
        <v>36876</v>
      </c>
      <c r="Q47">
        <v>10348</v>
      </c>
      <c r="R47">
        <v>4900</v>
      </c>
      <c r="S47">
        <v>6586</v>
      </c>
      <c r="T47">
        <v>2361</v>
      </c>
      <c r="U47">
        <v>11500</v>
      </c>
      <c r="V47">
        <v>4654</v>
      </c>
      <c r="W47">
        <v>775220</v>
      </c>
      <c r="X47">
        <v>44781</v>
      </c>
      <c r="Y47">
        <v>47709</v>
      </c>
      <c r="Z47" s="1">
        <v>2716800</v>
      </c>
    </row>
    <row r="48" spans="1:26" x14ac:dyDescent="0.25">
      <c r="A48">
        <v>2017</v>
      </c>
      <c r="B48">
        <v>27693</v>
      </c>
      <c r="C48">
        <v>64847</v>
      </c>
      <c r="D48">
        <v>43294</v>
      </c>
      <c r="E48">
        <v>28056</v>
      </c>
      <c r="F48">
        <v>339737</v>
      </c>
      <c r="G48">
        <v>2619</v>
      </c>
      <c r="H48">
        <v>7356</v>
      </c>
      <c r="I48">
        <v>1715</v>
      </c>
      <c r="J48">
        <v>592882</v>
      </c>
      <c r="K48">
        <v>61400</v>
      </c>
      <c r="L48">
        <v>28056</v>
      </c>
      <c r="M48">
        <v>197254</v>
      </c>
      <c r="N48">
        <v>372697</v>
      </c>
      <c r="O48">
        <v>7356</v>
      </c>
      <c r="P48">
        <v>27693</v>
      </c>
      <c r="Q48">
        <v>8915</v>
      </c>
      <c r="R48">
        <v>4805</v>
      </c>
      <c r="S48">
        <v>7356</v>
      </c>
      <c r="T48">
        <v>2619</v>
      </c>
      <c r="U48">
        <v>13781</v>
      </c>
      <c r="V48">
        <v>2433</v>
      </c>
      <c r="W48">
        <v>732870</v>
      </c>
      <c r="X48">
        <v>44440</v>
      </c>
      <c r="Y48">
        <v>37986</v>
      </c>
      <c r="Z48" s="1">
        <v>2657860</v>
      </c>
    </row>
    <row r="49" spans="1:26" x14ac:dyDescent="0.25">
      <c r="A49">
        <v>2018</v>
      </c>
      <c r="B49">
        <v>28295</v>
      </c>
      <c r="C49">
        <v>96237</v>
      </c>
      <c r="D49">
        <v>42719</v>
      </c>
      <c r="E49">
        <v>23863</v>
      </c>
      <c r="F49">
        <v>343495</v>
      </c>
      <c r="G49">
        <v>2042</v>
      </c>
      <c r="H49">
        <v>7882</v>
      </c>
      <c r="I49">
        <v>1740</v>
      </c>
      <c r="J49">
        <v>595459</v>
      </c>
      <c r="K49">
        <v>65340</v>
      </c>
      <c r="L49">
        <v>23863</v>
      </c>
      <c r="M49">
        <v>216652</v>
      </c>
      <c r="N49">
        <v>373081</v>
      </c>
      <c r="O49">
        <v>7882</v>
      </c>
      <c r="P49">
        <v>28295</v>
      </c>
      <c r="Q49">
        <v>7432</v>
      </c>
      <c r="R49">
        <v>4798</v>
      </c>
      <c r="S49">
        <v>7882</v>
      </c>
      <c r="T49">
        <v>2042</v>
      </c>
      <c r="U49">
        <v>14200</v>
      </c>
      <c r="V49">
        <v>1853</v>
      </c>
      <c r="W49">
        <v>771370</v>
      </c>
      <c r="X49">
        <v>42639</v>
      </c>
      <c r="Y49">
        <v>42952</v>
      </c>
      <c r="Z49" s="1">
        <v>2752013</v>
      </c>
    </row>
    <row r="50" spans="1:26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activeCell="N2" sqref="N2"/>
    </sheetView>
  </sheetViews>
  <sheetFormatPr defaultRowHeight="15" x14ac:dyDescent="0.25"/>
  <cols>
    <col min="11" max="11" width="9.5703125" bestFit="1" customWidth="1"/>
    <col min="12" max="12" width="16" customWidth="1"/>
    <col min="14" max="14" width="16.85546875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s="4" t="s">
        <v>35</v>
      </c>
      <c r="M1" s="7" t="s">
        <v>38</v>
      </c>
      <c r="N1" t="s">
        <v>42</v>
      </c>
    </row>
    <row r="2" spans="1:14" x14ac:dyDescent="0.25">
      <c r="A2">
        <v>1971</v>
      </c>
      <c r="B2">
        <v>275.2</v>
      </c>
      <c r="C2">
        <v>500.4</v>
      </c>
      <c r="D2">
        <v>9.6</v>
      </c>
      <c r="E2">
        <v>39.200000000000003</v>
      </c>
      <c r="F2">
        <v>80.900000000000006</v>
      </c>
      <c r="G2">
        <v>130</v>
      </c>
      <c r="H2">
        <v>889.7</v>
      </c>
      <c r="I2">
        <v>164.3</v>
      </c>
      <c r="J2">
        <v>2.5</v>
      </c>
      <c r="K2" s="1">
        <f>SUM(B2:J2)</f>
        <v>2091.8000000000002</v>
      </c>
      <c r="L2" s="3">
        <f>K2*1000*2</f>
        <v>4183600.0000000005</v>
      </c>
      <c r="M2" s="7">
        <v>4621000</v>
      </c>
      <c r="N2" s="1">
        <f>M2*1233.5</f>
        <v>5700003500</v>
      </c>
    </row>
    <row r="3" spans="1:14" x14ac:dyDescent="0.25">
      <c r="A3">
        <v>1972</v>
      </c>
      <c r="B3">
        <v>238.2</v>
      </c>
      <c r="C3">
        <v>504</v>
      </c>
      <c r="D3">
        <v>8.9</v>
      </c>
      <c r="E3">
        <v>34.4</v>
      </c>
      <c r="F3">
        <v>93.3</v>
      </c>
      <c r="G3">
        <v>180.8</v>
      </c>
      <c r="H3">
        <v>891.1</v>
      </c>
      <c r="I3">
        <v>187</v>
      </c>
      <c r="J3">
        <v>2.9</v>
      </c>
      <c r="K3" s="1">
        <f t="shared" ref="K3:K49" si="0">SUM(B3:J3)</f>
        <v>2140.6</v>
      </c>
      <c r="L3" s="3">
        <f t="shared" ref="L3:L49" si="1">K3*1000*2</f>
        <v>4281200</v>
      </c>
    </row>
    <row r="4" spans="1:14" x14ac:dyDescent="0.25">
      <c r="A4">
        <v>1973</v>
      </c>
      <c r="B4">
        <v>235.3</v>
      </c>
      <c r="C4">
        <v>502.1</v>
      </c>
      <c r="D4">
        <v>9.1</v>
      </c>
      <c r="E4">
        <v>48.2</v>
      </c>
      <c r="F4">
        <v>87.8</v>
      </c>
      <c r="G4">
        <v>95.2</v>
      </c>
      <c r="H4">
        <v>732.3</v>
      </c>
      <c r="I4">
        <v>169.1</v>
      </c>
      <c r="J4">
        <v>4</v>
      </c>
      <c r="K4" s="1">
        <f t="shared" si="0"/>
        <v>1883.1</v>
      </c>
      <c r="L4" s="3">
        <f t="shared" si="1"/>
        <v>3766200</v>
      </c>
    </row>
    <row r="5" spans="1:14" x14ac:dyDescent="0.25">
      <c r="A5">
        <v>1974</v>
      </c>
      <c r="B5">
        <v>288.5</v>
      </c>
      <c r="C5">
        <v>524.5</v>
      </c>
      <c r="D5">
        <v>9.9</v>
      </c>
      <c r="E5">
        <v>41</v>
      </c>
      <c r="F5">
        <v>96.5</v>
      </c>
      <c r="G5">
        <v>112.6</v>
      </c>
      <c r="H5">
        <v>946.9</v>
      </c>
      <c r="I5">
        <v>191.8</v>
      </c>
      <c r="J5">
        <v>4.3</v>
      </c>
      <c r="K5" s="1">
        <f t="shared" si="0"/>
        <v>2216.0000000000005</v>
      </c>
      <c r="L5" s="3">
        <f t="shared" si="1"/>
        <v>4432000.0000000009</v>
      </c>
    </row>
    <row r="6" spans="1:14" x14ac:dyDescent="0.25">
      <c r="A6">
        <v>1975</v>
      </c>
      <c r="B6">
        <v>207.1</v>
      </c>
      <c r="C6">
        <v>393.8</v>
      </c>
      <c r="D6">
        <v>8.6999999999999993</v>
      </c>
      <c r="E6">
        <v>36.9</v>
      </c>
      <c r="F6">
        <v>89</v>
      </c>
      <c r="G6">
        <v>100.2</v>
      </c>
      <c r="H6">
        <v>826.1</v>
      </c>
      <c r="I6">
        <v>196.3</v>
      </c>
      <c r="J6">
        <v>5.0999999999999996</v>
      </c>
      <c r="K6" s="1">
        <f t="shared" si="0"/>
        <v>1863.2</v>
      </c>
      <c r="L6" s="3">
        <f t="shared" si="1"/>
        <v>3726400</v>
      </c>
    </row>
    <row r="7" spans="1:14" x14ac:dyDescent="0.25">
      <c r="A7">
        <v>1976</v>
      </c>
      <c r="B7">
        <v>204</v>
      </c>
      <c r="C7">
        <v>416.5</v>
      </c>
      <c r="D7">
        <v>10.4</v>
      </c>
      <c r="E7">
        <v>38.200000000000003</v>
      </c>
      <c r="F7">
        <v>141.4</v>
      </c>
      <c r="G7">
        <v>101.2</v>
      </c>
      <c r="H7">
        <v>839.9</v>
      </c>
      <c r="I7">
        <v>149.19999999999999</v>
      </c>
      <c r="J7">
        <v>2.7</v>
      </c>
      <c r="K7" s="1">
        <f t="shared" si="0"/>
        <v>1903.5</v>
      </c>
      <c r="L7" s="3">
        <f t="shared" si="1"/>
        <v>3807000</v>
      </c>
    </row>
    <row r="8" spans="1:14" x14ac:dyDescent="0.25">
      <c r="A8">
        <v>1977</v>
      </c>
      <c r="B8">
        <v>133.1</v>
      </c>
      <c r="C8">
        <v>228</v>
      </c>
      <c r="D8">
        <v>4</v>
      </c>
      <c r="E8">
        <v>15.9</v>
      </c>
      <c r="F8">
        <v>131.9</v>
      </c>
      <c r="G8">
        <v>89.3</v>
      </c>
      <c r="H8">
        <v>769.7</v>
      </c>
      <c r="I8">
        <v>118.6</v>
      </c>
      <c r="J8">
        <v>3.8</v>
      </c>
      <c r="K8" s="1">
        <f t="shared" si="0"/>
        <v>1494.3</v>
      </c>
      <c r="L8" s="3">
        <f t="shared" si="1"/>
        <v>2988600</v>
      </c>
    </row>
    <row r="9" spans="1:14" x14ac:dyDescent="0.25">
      <c r="A9">
        <v>1978</v>
      </c>
      <c r="B9">
        <v>244.8</v>
      </c>
      <c r="C9">
        <v>436.8</v>
      </c>
      <c r="D9">
        <v>12.4</v>
      </c>
      <c r="E9">
        <v>44.2</v>
      </c>
      <c r="F9">
        <v>157.1</v>
      </c>
      <c r="G9">
        <v>121.3</v>
      </c>
      <c r="H9">
        <v>921.1</v>
      </c>
      <c r="I9">
        <v>140</v>
      </c>
      <c r="J9">
        <v>4.3</v>
      </c>
      <c r="K9" s="1">
        <f t="shared" si="0"/>
        <v>2082</v>
      </c>
      <c r="L9" s="3">
        <f t="shared" si="1"/>
        <v>4164000</v>
      </c>
    </row>
    <row r="10" spans="1:14" x14ac:dyDescent="0.25">
      <c r="A10">
        <v>1979</v>
      </c>
      <c r="B10">
        <v>253.5</v>
      </c>
      <c r="C10">
        <v>450.1</v>
      </c>
      <c r="D10">
        <v>13.8</v>
      </c>
      <c r="E10">
        <v>56.3</v>
      </c>
      <c r="F10">
        <v>174.8</v>
      </c>
      <c r="G10">
        <v>119.9</v>
      </c>
      <c r="H10">
        <v>911.9</v>
      </c>
      <c r="I10">
        <v>171.2</v>
      </c>
      <c r="J10">
        <v>5.3</v>
      </c>
      <c r="K10" s="1">
        <f t="shared" si="0"/>
        <v>2156.8000000000002</v>
      </c>
      <c r="L10" s="3">
        <f t="shared" si="1"/>
        <v>4313600</v>
      </c>
    </row>
    <row r="11" spans="1:14" x14ac:dyDescent="0.25">
      <c r="A11">
        <v>1980</v>
      </c>
      <c r="B11">
        <v>239.3</v>
      </c>
      <c r="C11">
        <v>418.6</v>
      </c>
      <c r="D11">
        <v>13</v>
      </c>
      <c r="E11">
        <v>52.5</v>
      </c>
      <c r="F11">
        <v>204.8</v>
      </c>
      <c r="G11">
        <v>116.3</v>
      </c>
      <c r="H11">
        <v>937.2</v>
      </c>
      <c r="I11">
        <v>160.19999999999999</v>
      </c>
      <c r="J11">
        <v>6.3</v>
      </c>
      <c r="K11" s="1">
        <f t="shared" si="0"/>
        <v>2148.2000000000003</v>
      </c>
      <c r="L11" s="3">
        <f t="shared" si="1"/>
        <v>4296400.0000000009</v>
      </c>
    </row>
    <row r="12" spans="1:14" x14ac:dyDescent="0.25">
      <c r="A12">
        <v>1981</v>
      </c>
      <c r="B12">
        <v>237.1</v>
      </c>
      <c r="C12">
        <v>409.1</v>
      </c>
      <c r="D12">
        <v>9.1</v>
      </c>
      <c r="E12">
        <v>42.9</v>
      </c>
      <c r="F12">
        <v>175.7</v>
      </c>
      <c r="G12">
        <v>154.9</v>
      </c>
      <c r="H12">
        <v>1059.4000000000001</v>
      </c>
      <c r="I12">
        <v>187.3</v>
      </c>
      <c r="J12">
        <v>4.5999999999999996</v>
      </c>
      <c r="K12" s="1">
        <f t="shared" si="0"/>
        <v>2280.1000000000004</v>
      </c>
      <c r="L12" s="3">
        <f t="shared" si="1"/>
        <v>4560200.0000000009</v>
      </c>
    </row>
    <row r="13" spans="1:14" x14ac:dyDescent="0.25">
      <c r="A13">
        <v>1982</v>
      </c>
      <c r="B13">
        <v>224.3</v>
      </c>
      <c r="C13">
        <v>403.5</v>
      </c>
      <c r="D13">
        <v>7.8</v>
      </c>
      <c r="E13">
        <v>46.8</v>
      </c>
      <c r="F13">
        <v>179.4</v>
      </c>
      <c r="G13">
        <v>140.80000000000001</v>
      </c>
      <c r="H13">
        <v>1016.9</v>
      </c>
      <c r="I13">
        <v>204.1</v>
      </c>
      <c r="J13">
        <v>5.7</v>
      </c>
      <c r="K13" s="1">
        <f t="shared" si="0"/>
        <v>2229.2999999999997</v>
      </c>
      <c r="L13" s="3">
        <f t="shared" si="1"/>
        <v>4458599.9999999991</v>
      </c>
    </row>
    <row r="14" spans="1:14" x14ac:dyDescent="0.25">
      <c r="A14">
        <v>1983</v>
      </c>
      <c r="B14">
        <v>253.2</v>
      </c>
      <c r="C14">
        <v>407.3</v>
      </c>
      <c r="D14">
        <v>9.1</v>
      </c>
      <c r="E14">
        <v>58.8</v>
      </c>
      <c r="F14">
        <v>185.2</v>
      </c>
      <c r="G14">
        <v>138.19999999999999</v>
      </c>
      <c r="H14">
        <v>1009.5</v>
      </c>
      <c r="I14">
        <v>209.3</v>
      </c>
      <c r="J14">
        <v>6.5</v>
      </c>
      <c r="K14" s="1">
        <f t="shared" si="0"/>
        <v>2277.1000000000004</v>
      </c>
      <c r="L14" s="3">
        <f t="shared" si="1"/>
        <v>4554200.0000000009</v>
      </c>
    </row>
    <row r="15" spans="1:14" x14ac:dyDescent="0.25">
      <c r="A15">
        <v>1984</v>
      </c>
      <c r="B15">
        <v>225.2</v>
      </c>
      <c r="C15">
        <v>438.7</v>
      </c>
      <c r="D15">
        <v>10.1</v>
      </c>
      <c r="E15">
        <v>60.3</v>
      </c>
      <c r="F15">
        <v>186.7</v>
      </c>
      <c r="G15">
        <v>134.69999999999999</v>
      </c>
      <c r="H15">
        <v>922.5</v>
      </c>
      <c r="I15">
        <v>224.1</v>
      </c>
      <c r="J15">
        <v>5.8</v>
      </c>
      <c r="K15" s="1">
        <f t="shared" si="0"/>
        <v>2208.1000000000004</v>
      </c>
      <c r="L15" s="3">
        <f t="shared" si="1"/>
        <v>4416200.0000000009</v>
      </c>
    </row>
    <row r="16" spans="1:14" x14ac:dyDescent="0.25">
      <c r="A16">
        <v>1985</v>
      </c>
      <c r="B16">
        <v>245.9</v>
      </c>
      <c r="C16">
        <v>510.7</v>
      </c>
      <c r="D16">
        <v>9.6</v>
      </c>
      <c r="E16">
        <v>63.5</v>
      </c>
      <c r="F16">
        <v>198.6</v>
      </c>
      <c r="G16">
        <v>129.80000000000001</v>
      </c>
      <c r="H16">
        <v>1011.3</v>
      </c>
      <c r="I16">
        <v>202</v>
      </c>
      <c r="J16">
        <v>5.8</v>
      </c>
      <c r="K16" s="1">
        <f t="shared" si="0"/>
        <v>2377.1999999999998</v>
      </c>
      <c r="L16" s="3">
        <f t="shared" si="1"/>
        <v>4754400</v>
      </c>
    </row>
    <row r="17" spans="1:12" x14ac:dyDescent="0.25">
      <c r="A17">
        <v>1986</v>
      </c>
      <c r="B17">
        <v>380.7</v>
      </c>
      <c r="C17">
        <v>473.1</v>
      </c>
      <c r="D17">
        <v>9.6</v>
      </c>
      <c r="E17">
        <v>60.3</v>
      </c>
      <c r="F17">
        <v>199.3</v>
      </c>
      <c r="G17">
        <v>120.2</v>
      </c>
      <c r="H17">
        <v>836.1</v>
      </c>
      <c r="I17">
        <v>196.2</v>
      </c>
      <c r="J17">
        <v>3.9</v>
      </c>
      <c r="K17" s="1">
        <f t="shared" si="0"/>
        <v>2279.4</v>
      </c>
      <c r="L17" s="3">
        <f t="shared" si="1"/>
        <v>4558800</v>
      </c>
    </row>
    <row r="18" spans="1:12" x14ac:dyDescent="0.25">
      <c r="A18">
        <v>1987</v>
      </c>
      <c r="B18">
        <v>378.4</v>
      </c>
      <c r="C18">
        <v>461.3</v>
      </c>
      <c r="D18">
        <v>10.3</v>
      </c>
      <c r="E18">
        <v>54.2</v>
      </c>
      <c r="F18">
        <v>167.5</v>
      </c>
      <c r="G18">
        <v>138</v>
      </c>
      <c r="H18">
        <v>964.5</v>
      </c>
      <c r="I18">
        <v>285.10000000000002</v>
      </c>
      <c r="J18">
        <v>3.4</v>
      </c>
      <c r="K18" s="1">
        <f t="shared" si="0"/>
        <v>2462.6999999999998</v>
      </c>
      <c r="L18" s="3">
        <f t="shared" si="1"/>
        <v>4925400</v>
      </c>
    </row>
    <row r="19" spans="1:12" x14ac:dyDescent="0.25">
      <c r="A19">
        <v>1988</v>
      </c>
      <c r="B19">
        <v>463.7</v>
      </c>
      <c r="C19">
        <v>440.4</v>
      </c>
      <c r="D19">
        <v>9.6999999999999993</v>
      </c>
      <c r="E19">
        <v>53.5</v>
      </c>
      <c r="F19">
        <v>161.9</v>
      </c>
      <c r="G19">
        <v>185.8</v>
      </c>
      <c r="H19">
        <v>1089.7</v>
      </c>
      <c r="I19">
        <v>318</v>
      </c>
      <c r="J19">
        <v>3.3</v>
      </c>
      <c r="K19" s="1">
        <f t="shared" si="0"/>
        <v>2726</v>
      </c>
      <c r="L19" s="3">
        <f t="shared" si="1"/>
        <v>5452000</v>
      </c>
    </row>
    <row r="20" spans="1:12" x14ac:dyDescent="0.25">
      <c r="A20">
        <v>1989</v>
      </c>
      <c r="B20">
        <v>369</v>
      </c>
      <c r="C20">
        <v>421.8</v>
      </c>
      <c r="D20">
        <v>9.1</v>
      </c>
      <c r="E20">
        <v>53.8</v>
      </c>
      <c r="F20">
        <v>213.9</v>
      </c>
      <c r="G20">
        <v>167.1</v>
      </c>
      <c r="H20">
        <v>1125.8</v>
      </c>
      <c r="I20">
        <v>393.4</v>
      </c>
      <c r="J20">
        <v>3.4</v>
      </c>
      <c r="K20" s="1">
        <f t="shared" si="0"/>
        <v>2757.3</v>
      </c>
      <c r="L20" s="3">
        <f t="shared" si="1"/>
        <v>5514600</v>
      </c>
    </row>
    <row r="21" spans="1:12" x14ac:dyDescent="0.25">
      <c r="A21">
        <v>1990</v>
      </c>
      <c r="B21">
        <v>401.1</v>
      </c>
      <c r="C21">
        <v>463.4</v>
      </c>
      <c r="D21">
        <v>10.6</v>
      </c>
      <c r="E21">
        <v>48.9</v>
      </c>
      <c r="F21">
        <v>194.8</v>
      </c>
      <c r="G21">
        <v>169.8</v>
      </c>
      <c r="H21">
        <v>1033.2</v>
      </c>
      <c r="I21">
        <v>309.89999999999998</v>
      </c>
      <c r="J21">
        <v>3.6</v>
      </c>
      <c r="K21" s="1">
        <f t="shared" si="0"/>
        <v>2635.3</v>
      </c>
      <c r="L21" s="3">
        <f t="shared" si="1"/>
        <v>5270600</v>
      </c>
    </row>
    <row r="22" spans="1:12" x14ac:dyDescent="0.25">
      <c r="A22">
        <v>1991</v>
      </c>
      <c r="B22">
        <v>325.39999999999998</v>
      </c>
      <c r="C22">
        <v>509.2</v>
      </c>
      <c r="D22">
        <v>13.8</v>
      </c>
      <c r="E22">
        <v>68.900000000000006</v>
      </c>
      <c r="F22">
        <v>192.8</v>
      </c>
      <c r="G22">
        <v>168.1</v>
      </c>
      <c r="H22">
        <v>1079.5</v>
      </c>
      <c r="I22">
        <v>269.60000000000002</v>
      </c>
      <c r="J22">
        <v>4.5</v>
      </c>
      <c r="K22" s="1">
        <f t="shared" si="0"/>
        <v>2631.7999999999997</v>
      </c>
      <c r="L22" s="3">
        <f t="shared" si="1"/>
        <v>5263599.9999999991</v>
      </c>
    </row>
    <row r="23" spans="1:12" x14ac:dyDescent="0.25">
      <c r="A23">
        <v>1992</v>
      </c>
      <c r="B23">
        <v>431.6</v>
      </c>
      <c r="C23">
        <v>520.4</v>
      </c>
      <c r="D23">
        <v>13.5</v>
      </c>
      <c r="E23">
        <v>68.2</v>
      </c>
      <c r="F23">
        <v>179.3</v>
      </c>
      <c r="G23">
        <v>190.9</v>
      </c>
      <c r="H23">
        <v>1104</v>
      </c>
      <c r="I23">
        <v>273.10000000000002</v>
      </c>
      <c r="J23">
        <v>3.8</v>
      </c>
      <c r="K23" s="1">
        <f t="shared" si="0"/>
        <v>2784.8</v>
      </c>
      <c r="L23" s="3">
        <f t="shared" si="1"/>
        <v>5569600</v>
      </c>
    </row>
    <row r="24" spans="1:12" x14ac:dyDescent="0.25">
      <c r="A24">
        <v>1993</v>
      </c>
      <c r="B24">
        <v>295.89999999999998</v>
      </c>
      <c r="C24">
        <v>481.3</v>
      </c>
      <c r="D24">
        <v>12.9</v>
      </c>
      <c r="E24">
        <v>68.599999999999994</v>
      </c>
      <c r="F24">
        <v>193</v>
      </c>
      <c r="G24">
        <v>137.1</v>
      </c>
      <c r="H24">
        <v>912.6</v>
      </c>
      <c r="I24">
        <v>273.60000000000002</v>
      </c>
      <c r="J24">
        <v>4.5</v>
      </c>
      <c r="K24" s="1">
        <f t="shared" si="0"/>
        <v>2379.5</v>
      </c>
      <c r="L24" s="3">
        <f t="shared" si="1"/>
        <v>4759000</v>
      </c>
    </row>
    <row r="25" spans="1:12" x14ac:dyDescent="0.25">
      <c r="A25">
        <v>1994</v>
      </c>
      <c r="B25">
        <v>489.9</v>
      </c>
      <c r="C25">
        <v>633.9</v>
      </c>
      <c r="D25">
        <v>13.5</v>
      </c>
      <c r="E25">
        <v>76.900000000000006</v>
      </c>
      <c r="F25">
        <v>203.5</v>
      </c>
      <c r="G25">
        <v>151.80000000000001</v>
      </c>
      <c r="H25">
        <v>1111.3</v>
      </c>
      <c r="I25">
        <v>288.10000000000002</v>
      </c>
      <c r="J25">
        <v>4.9000000000000004</v>
      </c>
      <c r="K25" s="1">
        <f t="shared" si="0"/>
        <v>2973.8</v>
      </c>
      <c r="L25" s="3">
        <f t="shared" si="1"/>
        <v>5947600</v>
      </c>
    </row>
    <row r="26" spans="1:12" x14ac:dyDescent="0.25">
      <c r="A26">
        <v>1995</v>
      </c>
      <c r="B26">
        <v>342.9</v>
      </c>
      <c r="C26">
        <v>487.5</v>
      </c>
      <c r="D26">
        <v>9.6</v>
      </c>
      <c r="E26">
        <v>85.4</v>
      </c>
      <c r="F26">
        <v>197.8</v>
      </c>
      <c r="G26">
        <v>107.4</v>
      </c>
      <c r="H26">
        <v>762.8</v>
      </c>
      <c r="I26">
        <v>244.8</v>
      </c>
      <c r="J26">
        <v>4.3</v>
      </c>
      <c r="K26" s="1">
        <f t="shared" si="0"/>
        <v>2242.5000000000005</v>
      </c>
      <c r="L26" s="3">
        <f t="shared" si="1"/>
        <v>4485000.0000000009</v>
      </c>
    </row>
    <row r="27" spans="1:12" x14ac:dyDescent="0.25">
      <c r="A27">
        <v>1996</v>
      </c>
      <c r="B27">
        <v>387.3</v>
      </c>
      <c r="C27">
        <v>443.7</v>
      </c>
      <c r="D27">
        <v>12.9</v>
      </c>
      <c r="E27">
        <v>64.400000000000006</v>
      </c>
      <c r="F27">
        <v>208.2</v>
      </c>
      <c r="G27">
        <v>191.9</v>
      </c>
      <c r="H27">
        <v>1013.8</v>
      </c>
      <c r="I27">
        <v>321.60000000000002</v>
      </c>
      <c r="J27">
        <v>0.4</v>
      </c>
      <c r="K27" s="1">
        <f t="shared" si="0"/>
        <v>2644.2</v>
      </c>
      <c r="L27" s="3">
        <f t="shared" si="1"/>
        <v>5288400</v>
      </c>
    </row>
    <row r="28" spans="1:12" x14ac:dyDescent="0.25">
      <c r="A28">
        <v>1997</v>
      </c>
      <c r="B28">
        <v>336.9</v>
      </c>
      <c r="C28">
        <v>442.7</v>
      </c>
      <c r="D28">
        <v>20.2</v>
      </c>
      <c r="E28">
        <v>62.2</v>
      </c>
      <c r="F28">
        <v>183.5</v>
      </c>
      <c r="G28">
        <v>131.4</v>
      </c>
      <c r="H28">
        <v>835.4</v>
      </c>
      <c r="I28">
        <v>277.10000000000002</v>
      </c>
      <c r="J28">
        <v>0.4</v>
      </c>
      <c r="K28" s="1">
        <f t="shared" si="0"/>
        <v>2289.8000000000002</v>
      </c>
      <c r="L28" s="3">
        <f t="shared" si="1"/>
        <v>4579600</v>
      </c>
    </row>
    <row r="29" spans="1:12" x14ac:dyDescent="0.25">
      <c r="A29">
        <v>1998</v>
      </c>
      <c r="B29">
        <v>279.10000000000002</v>
      </c>
      <c r="C29">
        <v>516</v>
      </c>
      <c r="D29">
        <v>19.3</v>
      </c>
      <c r="E29">
        <v>70.3</v>
      </c>
      <c r="F29">
        <v>194.1</v>
      </c>
      <c r="G29">
        <v>162.30000000000001</v>
      </c>
      <c r="H29">
        <v>964.4</v>
      </c>
      <c r="I29">
        <v>322.10000000000002</v>
      </c>
      <c r="J29">
        <v>0.5</v>
      </c>
      <c r="K29" s="1">
        <f t="shared" si="0"/>
        <v>2528.1</v>
      </c>
      <c r="L29" s="3">
        <f t="shared" si="1"/>
        <v>5056200</v>
      </c>
    </row>
    <row r="30" spans="1:12" x14ac:dyDescent="0.25">
      <c r="A30">
        <v>1999</v>
      </c>
      <c r="B30">
        <v>309.3</v>
      </c>
      <c r="C30">
        <v>523.5</v>
      </c>
      <c r="D30">
        <v>17.899999999999999</v>
      </c>
      <c r="E30">
        <v>59</v>
      </c>
      <c r="F30">
        <v>155.6</v>
      </c>
      <c r="G30">
        <v>150.80000000000001</v>
      </c>
      <c r="H30">
        <v>850.1</v>
      </c>
      <c r="I30">
        <v>263.39999999999998</v>
      </c>
      <c r="J30">
        <v>0.5</v>
      </c>
      <c r="K30" s="1">
        <f t="shared" si="0"/>
        <v>2330.1</v>
      </c>
      <c r="L30" s="3">
        <f t="shared" si="1"/>
        <v>4660200</v>
      </c>
    </row>
    <row r="31" spans="1:12" x14ac:dyDescent="0.25">
      <c r="A31">
        <v>2000</v>
      </c>
      <c r="B31">
        <v>319.8</v>
      </c>
      <c r="C31">
        <v>429</v>
      </c>
      <c r="D31">
        <v>14.1</v>
      </c>
      <c r="E31">
        <v>69.5</v>
      </c>
      <c r="F31">
        <v>181.1</v>
      </c>
      <c r="G31">
        <v>190.5</v>
      </c>
      <c r="H31">
        <v>1080.4000000000001</v>
      </c>
      <c r="I31">
        <v>359.5</v>
      </c>
      <c r="J31">
        <v>0.6</v>
      </c>
      <c r="K31" s="1">
        <f t="shared" si="0"/>
        <v>2644.5</v>
      </c>
      <c r="L31" s="3">
        <f t="shared" si="1"/>
        <v>5289000</v>
      </c>
    </row>
    <row r="32" spans="1:12" x14ac:dyDescent="0.25">
      <c r="A32">
        <v>2001</v>
      </c>
      <c r="B32">
        <v>342.7</v>
      </c>
      <c r="C32">
        <v>535.70000000000005</v>
      </c>
      <c r="D32">
        <v>21.6</v>
      </c>
      <c r="E32">
        <v>72.599999999999994</v>
      </c>
      <c r="F32">
        <v>195.5</v>
      </c>
      <c r="G32">
        <v>177.1</v>
      </c>
      <c r="H32">
        <v>1077.0999999999999</v>
      </c>
      <c r="I32">
        <v>353.1</v>
      </c>
      <c r="J32">
        <v>0.5</v>
      </c>
      <c r="K32" s="1">
        <f t="shared" si="0"/>
        <v>2775.9</v>
      </c>
      <c r="L32" s="3">
        <f t="shared" si="1"/>
        <v>5551800</v>
      </c>
    </row>
    <row r="33" spans="1:12" x14ac:dyDescent="0.25">
      <c r="A33">
        <v>2002</v>
      </c>
      <c r="B33">
        <v>350.1</v>
      </c>
      <c r="C33">
        <v>403.8</v>
      </c>
      <c r="D33">
        <v>9.9</v>
      </c>
      <c r="E33">
        <v>51.9</v>
      </c>
      <c r="F33">
        <v>238.5</v>
      </c>
      <c r="G33">
        <v>215.1</v>
      </c>
      <c r="H33">
        <v>1006.9</v>
      </c>
      <c r="I33">
        <v>317.2</v>
      </c>
      <c r="J33">
        <v>0.4</v>
      </c>
      <c r="K33" s="1">
        <f t="shared" si="0"/>
        <v>2593.7999999999997</v>
      </c>
      <c r="L33" s="3">
        <f t="shared" si="1"/>
        <v>5187599.9999999991</v>
      </c>
    </row>
    <row r="34" spans="1:12" x14ac:dyDescent="0.25">
      <c r="A34">
        <v>2003</v>
      </c>
      <c r="B34">
        <v>317.60000000000002</v>
      </c>
      <c r="C34">
        <v>478.1</v>
      </c>
      <c r="D34">
        <v>12.5</v>
      </c>
      <c r="E34">
        <v>60.1</v>
      </c>
      <c r="F34">
        <v>231.2</v>
      </c>
      <c r="G34">
        <v>180.8</v>
      </c>
      <c r="H34">
        <v>947.4</v>
      </c>
      <c r="I34">
        <v>322.2</v>
      </c>
      <c r="J34">
        <v>0.5</v>
      </c>
      <c r="K34" s="1">
        <f t="shared" si="0"/>
        <v>2550.3999999999996</v>
      </c>
      <c r="L34" s="3">
        <f t="shared" si="1"/>
        <v>5100799.9999999991</v>
      </c>
    </row>
    <row r="35" spans="1:12" x14ac:dyDescent="0.25">
      <c r="A35">
        <v>2004</v>
      </c>
      <c r="B35">
        <v>285.7</v>
      </c>
      <c r="C35">
        <v>455</v>
      </c>
      <c r="D35">
        <v>12.2</v>
      </c>
      <c r="E35">
        <v>50.1</v>
      </c>
      <c r="F35">
        <v>229.1</v>
      </c>
      <c r="G35">
        <v>131.4</v>
      </c>
      <c r="H35">
        <v>847.5</v>
      </c>
      <c r="I35">
        <v>262.60000000000002</v>
      </c>
      <c r="J35">
        <v>0.6</v>
      </c>
      <c r="K35" s="1">
        <f t="shared" si="0"/>
        <v>2274.2000000000003</v>
      </c>
      <c r="L35" s="3">
        <f t="shared" si="1"/>
        <v>4548400.0000000009</v>
      </c>
    </row>
    <row r="36" spans="1:12" x14ac:dyDescent="0.25">
      <c r="A36">
        <v>2005</v>
      </c>
      <c r="B36">
        <v>314.60000000000002</v>
      </c>
      <c r="C36">
        <v>490.3</v>
      </c>
      <c r="D36">
        <v>10.199999999999999</v>
      </c>
      <c r="E36">
        <v>71.7</v>
      </c>
      <c r="F36">
        <v>210.1</v>
      </c>
      <c r="G36">
        <v>118.6</v>
      </c>
      <c r="H36">
        <v>808</v>
      </c>
      <c r="I36">
        <v>292.89999999999998</v>
      </c>
      <c r="J36">
        <v>0.6</v>
      </c>
      <c r="K36" s="1">
        <f t="shared" si="0"/>
        <v>2317</v>
      </c>
      <c r="L36" s="3">
        <f t="shared" si="1"/>
        <v>4634000</v>
      </c>
    </row>
    <row r="37" spans="1:12" x14ac:dyDescent="0.25">
      <c r="A37">
        <v>2006</v>
      </c>
      <c r="B37">
        <v>213.8</v>
      </c>
      <c r="C37">
        <v>529.9</v>
      </c>
      <c r="D37">
        <v>24.5</v>
      </c>
      <c r="E37">
        <v>123</v>
      </c>
      <c r="F37">
        <v>211.8</v>
      </c>
      <c r="G37">
        <v>153.6</v>
      </c>
      <c r="H37">
        <v>884.3</v>
      </c>
      <c r="I37">
        <v>282.2</v>
      </c>
      <c r="J37">
        <v>0.6</v>
      </c>
      <c r="K37" s="1">
        <f t="shared" si="0"/>
        <v>2423.6999999999994</v>
      </c>
      <c r="L37" s="3">
        <f t="shared" si="1"/>
        <v>4847399.9999999991</v>
      </c>
    </row>
    <row r="38" spans="1:12" x14ac:dyDescent="0.25">
      <c r="A38">
        <v>2007</v>
      </c>
      <c r="B38">
        <v>322.8</v>
      </c>
      <c r="C38">
        <v>513.9</v>
      </c>
      <c r="D38">
        <v>18.899999999999999</v>
      </c>
      <c r="E38">
        <v>155.19999999999999</v>
      </c>
      <c r="F38">
        <v>212.2</v>
      </c>
      <c r="G38">
        <v>159.5</v>
      </c>
      <c r="H38">
        <v>1054.5999999999999</v>
      </c>
      <c r="I38">
        <v>352.5</v>
      </c>
      <c r="J38">
        <v>0.8</v>
      </c>
      <c r="K38" s="1">
        <f t="shared" si="0"/>
        <v>2790.4</v>
      </c>
      <c r="L38" s="3">
        <f t="shared" si="1"/>
        <v>5580800</v>
      </c>
    </row>
    <row r="39" spans="1:12" x14ac:dyDescent="0.25">
      <c r="A39">
        <v>2008</v>
      </c>
      <c r="B39">
        <v>286.89999999999998</v>
      </c>
      <c r="C39">
        <v>465</v>
      </c>
      <c r="D39">
        <v>17.2</v>
      </c>
      <c r="E39">
        <v>138.30000000000001</v>
      </c>
      <c r="F39">
        <v>212.2</v>
      </c>
      <c r="G39">
        <v>163.5</v>
      </c>
      <c r="H39">
        <v>980.9</v>
      </c>
      <c r="I39">
        <v>410.1</v>
      </c>
      <c r="J39">
        <v>1</v>
      </c>
      <c r="K39" s="1">
        <f t="shared" si="0"/>
        <v>2675.1</v>
      </c>
      <c r="L39" s="3">
        <f t="shared" si="1"/>
        <v>5350200</v>
      </c>
    </row>
    <row r="40" spans="1:12" x14ac:dyDescent="0.25">
      <c r="A40">
        <v>2009</v>
      </c>
      <c r="B40">
        <v>300.2</v>
      </c>
      <c r="C40">
        <v>466.6</v>
      </c>
      <c r="D40">
        <v>14.3</v>
      </c>
      <c r="E40">
        <v>134.5</v>
      </c>
      <c r="F40">
        <v>212.2</v>
      </c>
      <c r="G40">
        <v>221</v>
      </c>
      <c r="H40">
        <v>969.7</v>
      </c>
      <c r="I40">
        <v>405.6</v>
      </c>
      <c r="J40">
        <v>0.8</v>
      </c>
      <c r="K40" s="1">
        <f t="shared" si="0"/>
        <v>2724.9</v>
      </c>
      <c r="L40" s="3">
        <f t="shared" si="1"/>
        <v>5449800</v>
      </c>
    </row>
    <row r="41" spans="1:12" x14ac:dyDescent="0.25">
      <c r="A41">
        <v>2010</v>
      </c>
      <c r="B41">
        <v>280.10000000000002</v>
      </c>
      <c r="C41">
        <v>452.1</v>
      </c>
      <c r="D41">
        <v>27.2</v>
      </c>
      <c r="E41">
        <v>131</v>
      </c>
      <c r="F41">
        <v>212.2</v>
      </c>
      <c r="G41">
        <v>203.7</v>
      </c>
      <c r="H41">
        <v>976.1</v>
      </c>
      <c r="I41">
        <v>391.3</v>
      </c>
      <c r="J41">
        <v>1.3</v>
      </c>
      <c r="K41" s="1">
        <f t="shared" si="0"/>
        <v>2675.0000000000005</v>
      </c>
      <c r="L41" s="3">
        <f t="shared" si="1"/>
        <v>5350000.0000000009</v>
      </c>
    </row>
    <row r="42" spans="1:12" x14ac:dyDescent="0.25">
      <c r="A42">
        <v>2011</v>
      </c>
      <c r="B42">
        <v>305.60000000000002</v>
      </c>
      <c r="C42">
        <v>472.5</v>
      </c>
      <c r="D42">
        <v>18.899999999999999</v>
      </c>
      <c r="E42">
        <v>90.6</v>
      </c>
      <c r="F42">
        <v>208.4</v>
      </c>
      <c r="G42">
        <v>198</v>
      </c>
      <c r="H42">
        <v>889.5</v>
      </c>
      <c r="I42">
        <v>367.4</v>
      </c>
      <c r="J42">
        <v>1</v>
      </c>
      <c r="K42" s="1">
        <f t="shared" si="0"/>
        <v>2551.9</v>
      </c>
      <c r="L42" s="3">
        <f t="shared" si="1"/>
        <v>5103800</v>
      </c>
    </row>
    <row r="43" spans="1:12" x14ac:dyDescent="0.25">
      <c r="A43">
        <v>2012</v>
      </c>
      <c r="B43">
        <v>277.5</v>
      </c>
      <c r="C43">
        <v>549.20000000000005</v>
      </c>
      <c r="D43">
        <v>19.100000000000001</v>
      </c>
      <c r="E43">
        <v>93.7</v>
      </c>
      <c r="F43">
        <v>208.4</v>
      </c>
      <c r="G43">
        <v>276.39999999999998</v>
      </c>
      <c r="H43">
        <v>1116.3</v>
      </c>
      <c r="I43">
        <v>506.9</v>
      </c>
      <c r="J43">
        <v>0.6</v>
      </c>
      <c r="K43" s="1">
        <f t="shared" si="0"/>
        <v>3048.1000000000004</v>
      </c>
      <c r="L43" s="3">
        <f t="shared" si="1"/>
        <v>6096200.0000000009</v>
      </c>
    </row>
    <row r="44" spans="1:12" x14ac:dyDescent="0.25">
      <c r="A44">
        <v>2013</v>
      </c>
      <c r="B44">
        <v>269.8</v>
      </c>
      <c r="C44">
        <v>570.4</v>
      </c>
      <c r="D44">
        <v>21.4</v>
      </c>
      <c r="E44">
        <v>93.7</v>
      </c>
      <c r="F44">
        <v>208.4</v>
      </c>
      <c r="G44">
        <v>181.4</v>
      </c>
      <c r="H44">
        <v>802.3</v>
      </c>
      <c r="I44">
        <v>344.3</v>
      </c>
      <c r="J44">
        <v>1.1000000000000001</v>
      </c>
      <c r="K44" s="1">
        <f t="shared" si="0"/>
        <v>2492.8000000000002</v>
      </c>
      <c r="L44" s="3">
        <f t="shared" si="1"/>
        <v>4985600</v>
      </c>
    </row>
    <row r="45" spans="1:12" x14ac:dyDescent="0.25">
      <c r="A45">
        <v>2014</v>
      </c>
      <c r="B45">
        <v>263.10000000000002</v>
      </c>
      <c r="C45">
        <v>442.2</v>
      </c>
      <c r="D45">
        <v>21</v>
      </c>
      <c r="E45">
        <v>74.2</v>
      </c>
      <c r="F45">
        <v>208.4</v>
      </c>
      <c r="G45">
        <v>154.1</v>
      </c>
      <c r="H45">
        <v>715.9</v>
      </c>
      <c r="I45">
        <v>433.2</v>
      </c>
      <c r="J45">
        <v>1</v>
      </c>
      <c r="K45" s="1">
        <f t="shared" si="0"/>
        <v>2313.1</v>
      </c>
      <c r="L45" s="3">
        <f t="shared" si="1"/>
        <v>4626200</v>
      </c>
    </row>
    <row r="46" spans="1:12" x14ac:dyDescent="0.25">
      <c r="A46">
        <v>2015</v>
      </c>
      <c r="B46">
        <v>258.3</v>
      </c>
      <c r="C46">
        <v>418</v>
      </c>
      <c r="D46">
        <v>9.1</v>
      </c>
      <c r="E46">
        <v>69.3</v>
      </c>
      <c r="F46">
        <v>208.4</v>
      </c>
      <c r="G46">
        <v>169.3</v>
      </c>
      <c r="H46">
        <v>655.4</v>
      </c>
      <c r="I46">
        <v>345.9</v>
      </c>
      <c r="J46">
        <v>1.2</v>
      </c>
      <c r="K46" s="1">
        <f t="shared" si="0"/>
        <v>2134.8999999999996</v>
      </c>
      <c r="L46" s="3">
        <f t="shared" si="1"/>
        <v>4269799.9999999991</v>
      </c>
    </row>
    <row r="47" spans="1:12" x14ac:dyDescent="0.25">
      <c r="A47">
        <v>2016</v>
      </c>
      <c r="B47">
        <v>322.5</v>
      </c>
      <c r="C47">
        <v>564.5</v>
      </c>
      <c r="D47">
        <v>16.5</v>
      </c>
      <c r="E47">
        <v>81.599999999999994</v>
      </c>
      <c r="F47">
        <v>201.3</v>
      </c>
      <c r="G47">
        <v>172.3</v>
      </c>
      <c r="H47">
        <v>1014.5</v>
      </c>
      <c r="I47">
        <v>316.7</v>
      </c>
      <c r="J47">
        <v>1.1000000000000001</v>
      </c>
      <c r="K47" s="1">
        <f t="shared" si="0"/>
        <v>2690.9999999999995</v>
      </c>
      <c r="L47" s="3">
        <f t="shared" si="1"/>
        <v>5381999.9999999991</v>
      </c>
    </row>
    <row r="48" spans="1:12" x14ac:dyDescent="0.25">
      <c r="A48">
        <v>2017</v>
      </c>
      <c r="B48">
        <v>365.2</v>
      </c>
      <c r="C48">
        <v>597.9</v>
      </c>
      <c r="D48">
        <v>16.5</v>
      </c>
      <c r="E48">
        <v>85</v>
      </c>
      <c r="F48">
        <v>235.1</v>
      </c>
      <c r="G48">
        <v>164.8</v>
      </c>
      <c r="H48">
        <v>1036.8</v>
      </c>
      <c r="I48">
        <v>335.2</v>
      </c>
      <c r="J48">
        <v>1.1000000000000001</v>
      </c>
      <c r="K48" s="1">
        <f t="shared" si="0"/>
        <v>2837.5999999999995</v>
      </c>
      <c r="L48" s="3">
        <f t="shared" si="1"/>
        <v>5675199.9999999991</v>
      </c>
    </row>
    <row r="49" spans="1:12" x14ac:dyDescent="0.25">
      <c r="A49">
        <v>2018</v>
      </c>
      <c r="B49">
        <v>345.1</v>
      </c>
      <c r="C49">
        <v>686.4</v>
      </c>
      <c r="D49">
        <v>11.4</v>
      </c>
      <c r="E49">
        <v>79.2</v>
      </c>
      <c r="F49">
        <v>235.1</v>
      </c>
      <c r="G49">
        <v>201.2</v>
      </c>
      <c r="H49">
        <v>1148.9000000000001</v>
      </c>
      <c r="I49">
        <v>346.1</v>
      </c>
      <c r="J49">
        <v>1</v>
      </c>
      <c r="K49" s="1">
        <f t="shared" si="0"/>
        <v>3054.4</v>
      </c>
      <c r="L49" s="3">
        <f t="shared" si="1"/>
        <v>6108800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LB_(AF)</vt:lpstr>
      <vt:lpstr>UB_(AF)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2021-06-20T20:33:06Z</dcterms:created>
  <dcterms:modified xsi:type="dcterms:W3CDTF">2021-11-15T20:00:33Z</dcterms:modified>
</cp:coreProperties>
</file>