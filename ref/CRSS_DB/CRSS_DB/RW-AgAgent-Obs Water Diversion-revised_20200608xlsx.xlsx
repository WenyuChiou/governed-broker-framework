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RegionalABM\CRSS\CRSS_DB\"/>
    </mc:Choice>
  </mc:AlternateContent>
  <bookViews>
    <workbookView xWindow="0" yWindow="0" windowWidth="21135" windowHeight="11325" firstSheet="2" activeTab="2"/>
  </bookViews>
  <sheets>
    <sheet name="CRSS agent group" sheetId="5" r:id="rId1"/>
    <sheet name="SJ-CRSS linkage" sheetId="4" r:id="rId2"/>
    <sheet name="UC-AgAgent Water USE" sheetId="3" r:id="rId3"/>
    <sheet name="LC-AgAgent Water Use" sheetId="1" r:id="rId4"/>
    <sheet name="MexicoDelivery" sheetId="2" r:id="rId5"/>
    <sheet name="Sheet1" sheetId="6" r:id="rId6"/>
    <sheet name="UC-AgAgent Water USE (2)" sheetId="7" r:id="rId7"/>
  </sheets>
  <definedNames>
    <definedName name="_xlchart.v1.0" hidden="1">Sheet1!$L$4:$L$29</definedName>
    <definedName name="_xlchart.v1.1" hidden="1">Sheet1!$K$4:$K$24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6" i="7" l="1"/>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4" i="7"/>
  <c r="D25" i="6" l="1"/>
  <c r="E25" i="6" s="1"/>
  <c r="D24" i="6"/>
  <c r="E24" i="6" s="1"/>
  <c r="D23" i="6"/>
  <c r="E23" i="6" s="1"/>
  <c r="D22" i="6"/>
  <c r="E22" i="6" s="1"/>
  <c r="D21" i="6"/>
  <c r="E21" i="6" s="1"/>
  <c r="D20" i="6"/>
  <c r="E20" i="6" s="1"/>
  <c r="D19" i="6"/>
  <c r="E19" i="6" s="1"/>
  <c r="D18" i="6"/>
  <c r="E18" i="6" s="1"/>
  <c r="D17" i="6"/>
  <c r="E17" i="6" s="1"/>
  <c r="D16" i="6"/>
  <c r="E16" i="6" s="1"/>
  <c r="D15" i="6"/>
  <c r="E15" i="6" s="1"/>
  <c r="D14" i="6"/>
  <c r="E14" i="6" s="1"/>
  <c r="E6" i="6"/>
  <c r="E7" i="6"/>
  <c r="E8" i="6"/>
  <c r="D3" i="6"/>
  <c r="E3" i="6" s="1"/>
  <c r="D4" i="6"/>
  <c r="E4" i="6" s="1"/>
  <c r="D5" i="6"/>
  <c r="E5" i="6" s="1"/>
  <c r="D6" i="6"/>
  <c r="D7" i="6"/>
  <c r="D8" i="6"/>
  <c r="D9" i="6"/>
  <c r="E9" i="6" s="1"/>
  <c r="D10" i="6"/>
  <c r="E10" i="6" s="1"/>
  <c r="D11" i="6"/>
  <c r="E11" i="6" s="1"/>
  <c r="D12" i="6"/>
  <c r="E12" i="6" s="1"/>
  <c r="D13" i="6"/>
  <c r="E13" i="6" s="1"/>
  <c r="D2" i="6"/>
  <c r="E2" i="6" s="1"/>
  <c r="AP581" i="1" l="1"/>
  <c r="AQ581" i="1"/>
  <c r="AR581" i="1"/>
  <c r="AS581" i="1"/>
  <c r="AT581" i="1"/>
  <c r="AU581" i="1"/>
  <c r="AV581" i="1"/>
  <c r="AW581" i="1"/>
  <c r="AX581" i="1"/>
  <c r="AY581" i="1"/>
  <c r="AZ581" i="1"/>
  <c r="BA581" i="1"/>
  <c r="BC581" i="1"/>
  <c r="BD581" i="1"/>
  <c r="BE581" i="1"/>
  <c r="BF581" i="1"/>
  <c r="BG581" i="1"/>
  <c r="BH581" i="1"/>
  <c r="BI581" i="1"/>
  <c r="BJ581" i="1"/>
  <c r="BK581" i="1"/>
  <c r="BL581" i="1"/>
  <c r="BM581" i="1"/>
  <c r="BN581" i="1"/>
  <c r="BO581" i="1"/>
  <c r="BP581" i="1"/>
  <c r="BQ581" i="1"/>
  <c r="BR581" i="1"/>
  <c r="BS581" i="1"/>
  <c r="BT581" i="1"/>
  <c r="BU581" i="1"/>
  <c r="C581" i="1"/>
  <c r="D581" i="1"/>
  <c r="E581" i="1"/>
  <c r="F581" i="1"/>
  <c r="G581" i="1"/>
  <c r="H581" i="1"/>
  <c r="I581" i="1"/>
  <c r="J581" i="1"/>
  <c r="K581" i="1"/>
  <c r="L581" i="1"/>
  <c r="M581" i="1"/>
  <c r="N581" i="1"/>
  <c r="O581" i="1"/>
  <c r="P581" i="1"/>
  <c r="Q581" i="1"/>
  <c r="R581" i="1"/>
  <c r="S581" i="1"/>
  <c r="T581" i="1"/>
  <c r="U581" i="1"/>
  <c r="V581" i="1"/>
  <c r="W581" i="1"/>
  <c r="X581" i="1"/>
  <c r="Y581" i="1"/>
  <c r="Z581" i="1"/>
  <c r="AA581" i="1"/>
  <c r="AB581" i="1"/>
  <c r="AC581" i="1"/>
  <c r="AD581" i="1"/>
  <c r="AE581" i="1"/>
  <c r="AF581" i="1"/>
  <c r="AG581" i="1"/>
  <c r="AH581" i="1"/>
  <c r="AI581" i="1"/>
  <c r="AJ581" i="1"/>
  <c r="AK581" i="1"/>
  <c r="AL581" i="1"/>
  <c r="AM581" i="1"/>
  <c r="AN581" i="1"/>
  <c r="AO581" i="1"/>
  <c r="BP497" i="1" l="1"/>
  <c r="BP498" i="1"/>
  <c r="BP499" i="1"/>
  <c r="BP500" i="1"/>
  <c r="BP501" i="1"/>
  <c r="BP502" i="1"/>
  <c r="BP503" i="1"/>
  <c r="BP504" i="1"/>
  <c r="BP505" i="1"/>
  <c r="BP506" i="1"/>
  <c r="BP507" i="1"/>
  <c r="BP508" i="1"/>
  <c r="BP509" i="1"/>
  <c r="BP510" i="1"/>
  <c r="AH497" i="1"/>
  <c r="AI497" i="1"/>
  <c r="AH498" i="1"/>
  <c r="AI498" i="1"/>
  <c r="AT353" i="1" l="1"/>
  <c r="AU353" i="1"/>
  <c r="AT354" i="1"/>
  <c r="AU354" i="1"/>
  <c r="AT355" i="1"/>
  <c r="AU355" i="1"/>
  <c r="AT356" i="1"/>
  <c r="AU356" i="1"/>
  <c r="AT357" i="1"/>
  <c r="AU357" i="1"/>
  <c r="AT358" i="1"/>
  <c r="AU358" i="1"/>
  <c r="AT359" i="1"/>
  <c r="AU359" i="1"/>
  <c r="AT360" i="1"/>
  <c r="AU360" i="1"/>
  <c r="AT361" i="1"/>
  <c r="AU361" i="1"/>
  <c r="AT362" i="1"/>
  <c r="AU362" i="1"/>
  <c r="AT363" i="1"/>
  <c r="AU363" i="1"/>
  <c r="AT364" i="1"/>
  <c r="AU364" i="1"/>
  <c r="AH280" i="1" l="1"/>
  <c r="AO52" i="1" l="1"/>
  <c r="AO51" i="1"/>
  <c r="AO50" i="1"/>
  <c r="AO49" i="1"/>
  <c r="AO48" i="1"/>
  <c r="AO47" i="1"/>
  <c r="AO46" i="1"/>
  <c r="AO45" i="1"/>
  <c r="AO44" i="1"/>
  <c r="AO43" i="1"/>
  <c r="AO42" i="1"/>
  <c r="AO41" i="1"/>
  <c r="AO40" i="1"/>
  <c r="AO39" i="1"/>
  <c r="AO38" i="1"/>
  <c r="AO37" i="1"/>
  <c r="AO36" i="1"/>
  <c r="AO35" i="1"/>
  <c r="AO34" i="1"/>
  <c r="AO33" i="1"/>
  <c r="AO32" i="1"/>
  <c r="AO31" i="1"/>
  <c r="AO30" i="1"/>
  <c r="AO29" i="1"/>
  <c r="AO28" i="1"/>
  <c r="AO27" i="1"/>
  <c r="AO26" i="1"/>
  <c r="AO25" i="1"/>
  <c r="AO24" i="1"/>
  <c r="AO23" i="1"/>
  <c r="AO22" i="1"/>
  <c r="AO21" i="1"/>
  <c r="AO20" i="1"/>
  <c r="AO19" i="1"/>
  <c r="AO18" i="1"/>
  <c r="AO17" i="1"/>
  <c r="AZ6" i="1"/>
  <c r="BA6" i="1"/>
  <c r="AZ8" i="1"/>
  <c r="BA8" i="1"/>
  <c r="AZ10" i="1"/>
  <c r="BA10" i="1"/>
  <c r="AZ12" i="1"/>
  <c r="BA12" i="1"/>
  <c r="AZ14" i="1"/>
  <c r="BA14" i="1"/>
  <c r="AZ16" i="1"/>
  <c r="BA16" i="1"/>
  <c r="BA61" i="1"/>
  <c r="BA65" i="1"/>
  <c r="BA73" i="1"/>
  <c r="AT5" i="1"/>
  <c r="AZ5" i="1" s="1"/>
  <c r="AU5" i="1"/>
  <c r="BA5" i="1" s="1"/>
  <c r="AT6" i="1"/>
  <c r="AU6" i="1"/>
  <c r="AT7" i="1"/>
  <c r="AZ7" i="1" s="1"/>
  <c r="AU7" i="1"/>
  <c r="BA7" i="1" s="1"/>
  <c r="AT8" i="1"/>
  <c r="AU8" i="1"/>
  <c r="AT9" i="1"/>
  <c r="AZ9" i="1" s="1"/>
  <c r="AU9" i="1"/>
  <c r="BA9" i="1" s="1"/>
  <c r="AT10" i="1"/>
  <c r="AU10" i="1"/>
  <c r="AT11" i="1"/>
  <c r="AZ11" i="1" s="1"/>
  <c r="AU11" i="1"/>
  <c r="BA11" i="1" s="1"/>
  <c r="AT12" i="1"/>
  <c r="AU12" i="1"/>
  <c r="AT13" i="1"/>
  <c r="AZ13" i="1" s="1"/>
  <c r="AU13" i="1"/>
  <c r="BA13" i="1" s="1"/>
  <c r="AT14" i="1"/>
  <c r="AU14" i="1"/>
  <c r="AT15" i="1"/>
  <c r="AZ15" i="1" s="1"/>
  <c r="AU15" i="1"/>
  <c r="BA15" i="1" s="1"/>
  <c r="AT16" i="1"/>
  <c r="AU16" i="1"/>
  <c r="AT17" i="1"/>
  <c r="AZ17" i="1" s="1"/>
  <c r="AU17" i="1"/>
  <c r="BA17" i="1" s="1"/>
  <c r="AT18" i="1"/>
  <c r="AZ18" i="1" s="1"/>
  <c r="AU18" i="1"/>
  <c r="BA18" i="1" s="1"/>
  <c r="AT19" i="1"/>
  <c r="AZ19" i="1" s="1"/>
  <c r="AU19" i="1"/>
  <c r="BA19" i="1" s="1"/>
  <c r="AT20" i="1"/>
  <c r="AZ20" i="1" s="1"/>
  <c r="AU20" i="1"/>
  <c r="BA20" i="1" s="1"/>
  <c r="AT21" i="1"/>
  <c r="AZ21" i="1" s="1"/>
  <c r="AU21" i="1"/>
  <c r="BA21" i="1" s="1"/>
  <c r="AT22" i="1"/>
  <c r="AZ22" i="1" s="1"/>
  <c r="AU22" i="1"/>
  <c r="BA22" i="1" s="1"/>
  <c r="AT23" i="1"/>
  <c r="AZ23" i="1" s="1"/>
  <c r="AU23" i="1"/>
  <c r="BA23" i="1" s="1"/>
  <c r="AT24" i="1"/>
  <c r="AZ24" i="1" s="1"/>
  <c r="AU24" i="1"/>
  <c r="BA24" i="1" s="1"/>
  <c r="AT25" i="1"/>
  <c r="AZ25" i="1" s="1"/>
  <c r="AU25" i="1"/>
  <c r="BA25" i="1" s="1"/>
  <c r="AT26" i="1"/>
  <c r="AZ26" i="1" s="1"/>
  <c r="AU26" i="1"/>
  <c r="BA26" i="1" s="1"/>
  <c r="AT27" i="1"/>
  <c r="AZ27" i="1" s="1"/>
  <c r="AU27" i="1"/>
  <c r="BA27" i="1" s="1"/>
  <c r="AT28" i="1"/>
  <c r="AZ28" i="1" s="1"/>
  <c r="AU28" i="1"/>
  <c r="BA28" i="1" s="1"/>
  <c r="AT29" i="1"/>
  <c r="AZ29" i="1" s="1"/>
  <c r="AU29" i="1"/>
  <c r="BA29" i="1" s="1"/>
  <c r="AT30" i="1"/>
  <c r="AZ30" i="1" s="1"/>
  <c r="AU30" i="1"/>
  <c r="BA30" i="1" s="1"/>
  <c r="AT31" i="1"/>
  <c r="AZ31" i="1" s="1"/>
  <c r="AU31" i="1"/>
  <c r="BA31" i="1" s="1"/>
  <c r="AT32" i="1"/>
  <c r="AZ32" i="1" s="1"/>
  <c r="AU32" i="1"/>
  <c r="BA32" i="1" s="1"/>
  <c r="AT33" i="1"/>
  <c r="AZ33" i="1" s="1"/>
  <c r="AU33" i="1"/>
  <c r="BA33" i="1" s="1"/>
  <c r="AT34" i="1"/>
  <c r="AZ34" i="1" s="1"/>
  <c r="AU34" i="1"/>
  <c r="BA34" i="1" s="1"/>
  <c r="AT35" i="1"/>
  <c r="AZ35" i="1" s="1"/>
  <c r="AU35" i="1"/>
  <c r="BA35" i="1" s="1"/>
  <c r="AT36" i="1"/>
  <c r="AZ36" i="1" s="1"/>
  <c r="AU36" i="1"/>
  <c r="BA36" i="1" s="1"/>
  <c r="AT37" i="1"/>
  <c r="AZ37" i="1" s="1"/>
  <c r="AU37" i="1"/>
  <c r="BA37" i="1" s="1"/>
  <c r="AT38" i="1"/>
  <c r="AZ38" i="1" s="1"/>
  <c r="AU38" i="1"/>
  <c r="BA38" i="1" s="1"/>
  <c r="AT39" i="1"/>
  <c r="AZ39" i="1" s="1"/>
  <c r="AU39" i="1"/>
  <c r="BA39" i="1" s="1"/>
  <c r="AT40" i="1"/>
  <c r="AZ40" i="1" s="1"/>
  <c r="AU40" i="1"/>
  <c r="BA40" i="1" s="1"/>
  <c r="AT41" i="1"/>
  <c r="AZ41" i="1" s="1"/>
  <c r="AU41" i="1"/>
  <c r="BA41" i="1" s="1"/>
  <c r="AT42" i="1"/>
  <c r="AZ42" i="1" s="1"/>
  <c r="AU42" i="1"/>
  <c r="BA42" i="1" s="1"/>
  <c r="AT43" i="1"/>
  <c r="AZ43" i="1" s="1"/>
  <c r="AU43" i="1"/>
  <c r="BA43" i="1" s="1"/>
  <c r="AT44" i="1"/>
  <c r="AZ44" i="1" s="1"/>
  <c r="AU44" i="1"/>
  <c r="BA44" i="1" s="1"/>
  <c r="AT45" i="1"/>
  <c r="AZ45" i="1" s="1"/>
  <c r="AU45" i="1"/>
  <c r="BA45" i="1" s="1"/>
  <c r="AT46" i="1"/>
  <c r="AZ46" i="1" s="1"/>
  <c r="AU46" i="1"/>
  <c r="BA46" i="1" s="1"/>
  <c r="AT47" i="1"/>
  <c r="AZ47" i="1" s="1"/>
  <c r="AU47" i="1"/>
  <c r="BA47" i="1" s="1"/>
  <c r="AT48" i="1"/>
  <c r="AZ48" i="1" s="1"/>
  <c r="AU48" i="1"/>
  <c r="BA48" i="1" s="1"/>
  <c r="AT49" i="1"/>
  <c r="AZ49" i="1" s="1"/>
  <c r="AU49" i="1"/>
  <c r="BA49" i="1" s="1"/>
  <c r="AT50" i="1"/>
  <c r="AZ50" i="1" s="1"/>
  <c r="AU50" i="1"/>
  <c r="BA50" i="1" s="1"/>
  <c r="AT51" i="1"/>
  <c r="AZ51" i="1" s="1"/>
  <c r="AU51" i="1"/>
  <c r="BA51" i="1" s="1"/>
  <c r="AT52" i="1"/>
  <c r="AZ52" i="1" s="1"/>
  <c r="AU52" i="1"/>
  <c r="BA52" i="1" s="1"/>
  <c r="AT53" i="1"/>
  <c r="AZ53" i="1" s="1"/>
  <c r="AU53" i="1"/>
  <c r="BA53" i="1" s="1"/>
  <c r="AT54" i="1"/>
  <c r="AZ54" i="1" s="1"/>
  <c r="AU54" i="1"/>
  <c r="BA54" i="1" s="1"/>
  <c r="AT55" i="1"/>
  <c r="AZ55" i="1" s="1"/>
  <c r="AU55" i="1"/>
  <c r="BA55" i="1" s="1"/>
  <c r="AT56" i="1"/>
  <c r="AZ56" i="1" s="1"/>
  <c r="AU56" i="1"/>
  <c r="BA56" i="1" s="1"/>
  <c r="AT57" i="1"/>
  <c r="AZ57" i="1" s="1"/>
  <c r="AU57" i="1"/>
  <c r="BA57" i="1" s="1"/>
  <c r="AT58" i="1"/>
  <c r="AZ58" i="1" s="1"/>
  <c r="AU58" i="1"/>
  <c r="BA58" i="1" s="1"/>
  <c r="AT59" i="1"/>
  <c r="AZ59" i="1" s="1"/>
  <c r="AU59" i="1"/>
  <c r="BA59" i="1" s="1"/>
  <c r="AT60" i="1"/>
  <c r="AZ60" i="1" s="1"/>
  <c r="AU60" i="1"/>
  <c r="BA60" i="1" s="1"/>
  <c r="AT61" i="1"/>
  <c r="AZ61" i="1" s="1"/>
  <c r="AU61" i="1"/>
  <c r="AT62" i="1"/>
  <c r="AZ62" i="1" s="1"/>
  <c r="AU62" i="1"/>
  <c r="BA62" i="1" s="1"/>
  <c r="AT63" i="1"/>
  <c r="AZ63" i="1" s="1"/>
  <c r="AU63" i="1"/>
  <c r="BA63" i="1" s="1"/>
  <c r="AT64" i="1"/>
  <c r="AZ64" i="1" s="1"/>
  <c r="AU64" i="1"/>
  <c r="BA64" i="1" s="1"/>
  <c r="AT65" i="1"/>
  <c r="AZ65" i="1" s="1"/>
  <c r="AU65" i="1"/>
  <c r="AT66" i="1"/>
  <c r="AZ66" i="1" s="1"/>
  <c r="AU66" i="1"/>
  <c r="BA66" i="1" s="1"/>
  <c r="AT67" i="1"/>
  <c r="AZ67" i="1" s="1"/>
  <c r="AU67" i="1"/>
  <c r="BA67" i="1" s="1"/>
  <c r="AT68" i="1"/>
  <c r="AZ68" i="1" s="1"/>
  <c r="AU68" i="1"/>
  <c r="BA68" i="1" s="1"/>
  <c r="AT69" i="1"/>
  <c r="AZ69" i="1" s="1"/>
  <c r="AU69" i="1"/>
  <c r="BA69" i="1" s="1"/>
  <c r="AT70" i="1"/>
  <c r="AZ70" i="1" s="1"/>
  <c r="AU70" i="1"/>
  <c r="BA70" i="1" s="1"/>
  <c r="AT71" i="1"/>
  <c r="AZ71" i="1" s="1"/>
  <c r="AU71" i="1"/>
  <c r="BA71" i="1" s="1"/>
  <c r="AT72" i="1"/>
  <c r="AZ72" i="1" s="1"/>
  <c r="AU72" i="1"/>
  <c r="BA72" i="1" s="1"/>
  <c r="AT73" i="1"/>
  <c r="AZ73" i="1" s="1"/>
  <c r="AU73" i="1"/>
  <c r="AT74" i="1"/>
  <c r="AZ74" i="1" s="1"/>
  <c r="AU74" i="1"/>
  <c r="BA74" i="1" s="1"/>
  <c r="AT75" i="1"/>
  <c r="AZ75" i="1" s="1"/>
  <c r="AU75" i="1"/>
  <c r="BA75" i="1" s="1"/>
  <c r="AT76" i="1"/>
  <c r="AZ76" i="1" s="1"/>
  <c r="AU76" i="1"/>
  <c r="BA76" i="1" s="1"/>
  <c r="AT77" i="1"/>
  <c r="AZ77" i="1" s="1"/>
  <c r="AU77" i="1"/>
  <c r="BA77" i="1" s="1"/>
  <c r="AT78" i="1"/>
  <c r="AZ78" i="1" s="1"/>
  <c r="AU78" i="1"/>
  <c r="BA78" i="1" s="1"/>
  <c r="AT79" i="1"/>
  <c r="AZ79" i="1" s="1"/>
  <c r="AU79" i="1"/>
  <c r="BA79" i="1" s="1"/>
  <c r="AT80" i="1"/>
  <c r="AZ80" i="1" s="1"/>
  <c r="AU80" i="1"/>
  <c r="BA80" i="1" s="1"/>
  <c r="AT81" i="1"/>
  <c r="AZ81" i="1" s="1"/>
  <c r="AU81" i="1"/>
  <c r="BA81" i="1" s="1"/>
  <c r="AT82" i="1"/>
  <c r="AZ82" i="1" s="1"/>
  <c r="AU82" i="1"/>
  <c r="BA82" i="1" s="1"/>
  <c r="AT83" i="1"/>
  <c r="AZ83" i="1" s="1"/>
  <c r="AU83" i="1"/>
  <c r="BA83" i="1" s="1"/>
  <c r="AT84" i="1"/>
  <c r="AZ84" i="1" s="1"/>
  <c r="AU84" i="1"/>
  <c r="BA84" i="1" s="1"/>
  <c r="AT85" i="1"/>
  <c r="AZ85" i="1" s="1"/>
  <c r="AU85" i="1"/>
  <c r="BA85" i="1" s="1"/>
  <c r="AT86" i="1"/>
  <c r="AZ86" i="1" s="1"/>
  <c r="AU86" i="1"/>
  <c r="BA86" i="1" s="1"/>
  <c r="AT87" i="1"/>
  <c r="AZ87" i="1" s="1"/>
  <c r="AU87" i="1"/>
  <c r="BA87" i="1" s="1"/>
  <c r="AT88" i="1"/>
  <c r="AZ88" i="1" s="1"/>
  <c r="AU88" i="1"/>
  <c r="BA88" i="1" s="1"/>
  <c r="AT89" i="1"/>
  <c r="AZ89" i="1" s="1"/>
  <c r="AU89" i="1"/>
  <c r="BA89" i="1" s="1"/>
  <c r="AT90" i="1"/>
  <c r="AZ90" i="1" s="1"/>
  <c r="AU90" i="1"/>
  <c r="BA90" i="1" s="1"/>
  <c r="AT91" i="1"/>
  <c r="AZ91" i="1" s="1"/>
  <c r="AU91" i="1"/>
  <c r="BA91" i="1" s="1"/>
  <c r="AT92" i="1"/>
  <c r="AZ92" i="1" s="1"/>
  <c r="AU92" i="1"/>
  <c r="BA92" i="1" s="1"/>
  <c r="AT93" i="1"/>
  <c r="AZ93" i="1" s="1"/>
  <c r="AU93" i="1"/>
  <c r="BA93" i="1" s="1"/>
  <c r="AT94" i="1"/>
  <c r="AZ94" i="1" s="1"/>
  <c r="AU94" i="1"/>
  <c r="BA94" i="1" s="1"/>
  <c r="AT95" i="1"/>
  <c r="AZ95" i="1" s="1"/>
  <c r="AU95" i="1"/>
  <c r="BA95" i="1" s="1"/>
  <c r="AT96" i="1"/>
  <c r="AZ96" i="1" s="1"/>
  <c r="AU96" i="1"/>
  <c r="BA96" i="1" s="1"/>
  <c r="AT97" i="1"/>
  <c r="AZ97" i="1" s="1"/>
  <c r="AU97" i="1"/>
  <c r="BA97" i="1" s="1"/>
  <c r="AT98" i="1"/>
  <c r="AZ98" i="1" s="1"/>
  <c r="AU98" i="1"/>
  <c r="BA98" i="1" s="1"/>
  <c r="AT99" i="1"/>
  <c r="AZ99" i="1" s="1"/>
  <c r="AU99" i="1"/>
  <c r="BA99" i="1" s="1"/>
  <c r="AT100" i="1"/>
  <c r="AZ100" i="1" s="1"/>
  <c r="AU100" i="1"/>
  <c r="BA100" i="1" s="1"/>
  <c r="AT101" i="1"/>
  <c r="AZ101" i="1" s="1"/>
  <c r="AU101" i="1"/>
  <c r="BA101" i="1" s="1"/>
  <c r="AT102" i="1"/>
  <c r="AZ102" i="1" s="1"/>
  <c r="AU102" i="1"/>
  <c r="BA102" i="1" s="1"/>
  <c r="AT103" i="1"/>
  <c r="AZ103" i="1" s="1"/>
  <c r="AU103" i="1"/>
  <c r="BA103" i="1" s="1"/>
  <c r="AT104" i="1"/>
  <c r="AZ104" i="1" s="1"/>
  <c r="AU104" i="1"/>
  <c r="BA104" i="1" s="1"/>
  <c r="AT105" i="1"/>
  <c r="AZ105" i="1" s="1"/>
  <c r="AU105" i="1"/>
  <c r="BA105" i="1" s="1"/>
  <c r="AT106" i="1"/>
  <c r="AZ106" i="1" s="1"/>
  <c r="AU106" i="1"/>
  <c r="BA106" i="1" s="1"/>
  <c r="AT107" i="1"/>
  <c r="AZ107" i="1" s="1"/>
  <c r="AU107" i="1"/>
  <c r="BA107" i="1" s="1"/>
  <c r="AT108" i="1"/>
  <c r="AZ108" i="1" s="1"/>
  <c r="AU108" i="1"/>
  <c r="BA108" i="1" s="1"/>
  <c r="AT109" i="1"/>
  <c r="AZ109" i="1" s="1"/>
  <c r="AU109" i="1"/>
  <c r="BA109" i="1" s="1"/>
  <c r="AT110" i="1"/>
  <c r="AZ110" i="1" s="1"/>
  <c r="AU110" i="1"/>
  <c r="BA110" i="1" s="1"/>
  <c r="AT111" i="1"/>
  <c r="AZ111" i="1" s="1"/>
  <c r="AU111" i="1"/>
  <c r="BA111" i="1" s="1"/>
  <c r="AT112" i="1"/>
  <c r="AZ112" i="1" s="1"/>
  <c r="AU112" i="1"/>
  <c r="BA112" i="1" s="1"/>
  <c r="AT113" i="1"/>
  <c r="AZ113" i="1" s="1"/>
  <c r="AU113" i="1"/>
  <c r="BA113" i="1" s="1"/>
  <c r="AT114" i="1"/>
  <c r="AZ114" i="1" s="1"/>
  <c r="AU114" i="1"/>
  <c r="BA114" i="1" s="1"/>
  <c r="AT115" i="1"/>
  <c r="AZ115" i="1" s="1"/>
  <c r="AU115" i="1"/>
  <c r="BA115" i="1" s="1"/>
  <c r="AT116" i="1"/>
  <c r="AZ116" i="1" s="1"/>
  <c r="AU116" i="1"/>
  <c r="BA116" i="1" s="1"/>
  <c r="AT117" i="1"/>
  <c r="AZ117" i="1" s="1"/>
  <c r="AU117" i="1"/>
  <c r="BA117" i="1" s="1"/>
  <c r="AT118" i="1"/>
  <c r="AZ118" i="1" s="1"/>
  <c r="AU118" i="1"/>
  <c r="BA118" i="1" s="1"/>
  <c r="AT119" i="1"/>
  <c r="AZ119" i="1" s="1"/>
  <c r="AU119" i="1"/>
  <c r="BA119" i="1" s="1"/>
  <c r="AT120" i="1"/>
  <c r="AZ120" i="1" s="1"/>
  <c r="AU120" i="1"/>
  <c r="BA120" i="1" s="1"/>
  <c r="AT121" i="1"/>
  <c r="AZ121" i="1" s="1"/>
  <c r="AU121" i="1"/>
  <c r="BA121" i="1" s="1"/>
  <c r="AT122" i="1"/>
  <c r="AZ122" i="1" s="1"/>
  <c r="AU122" i="1"/>
  <c r="BA122" i="1" s="1"/>
  <c r="AT123" i="1"/>
  <c r="AZ123" i="1" s="1"/>
  <c r="AU123" i="1"/>
  <c r="BA123" i="1" s="1"/>
  <c r="AT124" i="1"/>
  <c r="AZ124" i="1" s="1"/>
  <c r="AU124" i="1"/>
  <c r="BA124" i="1" s="1"/>
  <c r="AZ125" i="1"/>
  <c r="BA126" i="1"/>
  <c r="AZ127" i="1"/>
  <c r="AZ129" i="1"/>
  <c r="BA130" i="1"/>
  <c r="AZ131" i="1"/>
  <c r="AZ133" i="1"/>
  <c r="BA134" i="1"/>
  <c r="AZ135" i="1"/>
  <c r="BA173" i="1"/>
  <c r="BA186" i="1"/>
  <c r="BA194" i="1"/>
  <c r="AT125" i="1"/>
  <c r="AU125" i="1"/>
  <c r="BA125" i="1" s="1"/>
  <c r="AT126" i="1"/>
  <c r="AZ126" i="1" s="1"/>
  <c r="AU126" i="1"/>
  <c r="AT127" i="1"/>
  <c r="AU127" i="1"/>
  <c r="BA127" i="1" s="1"/>
  <c r="AT128" i="1"/>
  <c r="AZ128" i="1" s="1"/>
  <c r="AU128" i="1"/>
  <c r="BA128" i="1" s="1"/>
  <c r="AT129" i="1"/>
  <c r="AU129" i="1"/>
  <c r="BA129" i="1" s="1"/>
  <c r="AT130" i="1"/>
  <c r="AZ130" i="1" s="1"/>
  <c r="AU130" i="1"/>
  <c r="AT131" i="1"/>
  <c r="AU131" i="1"/>
  <c r="BA131" i="1" s="1"/>
  <c r="AT132" i="1"/>
  <c r="AZ132" i="1" s="1"/>
  <c r="AU132" i="1"/>
  <c r="BA132" i="1" s="1"/>
  <c r="AT133" i="1"/>
  <c r="AU133" i="1"/>
  <c r="BA133" i="1" s="1"/>
  <c r="AT134" i="1"/>
  <c r="AZ134" i="1" s="1"/>
  <c r="AU134" i="1"/>
  <c r="AT135" i="1"/>
  <c r="AU135" i="1"/>
  <c r="BA135" i="1" s="1"/>
  <c r="AT136" i="1"/>
  <c r="AZ136" i="1" s="1"/>
  <c r="AU136" i="1"/>
  <c r="BA136" i="1" s="1"/>
  <c r="AT137" i="1"/>
  <c r="AZ137" i="1" s="1"/>
  <c r="AU137" i="1"/>
  <c r="BA137" i="1" s="1"/>
  <c r="AT138" i="1"/>
  <c r="AZ138" i="1" s="1"/>
  <c r="AU138" i="1"/>
  <c r="BA138" i="1" s="1"/>
  <c r="AT139" i="1"/>
  <c r="AZ139" i="1" s="1"/>
  <c r="AU139" i="1"/>
  <c r="BA139" i="1" s="1"/>
  <c r="AT140" i="1"/>
  <c r="AZ140" i="1" s="1"/>
  <c r="AU140" i="1"/>
  <c r="BA140" i="1" s="1"/>
  <c r="AT141" i="1"/>
  <c r="AZ141" i="1" s="1"/>
  <c r="AU141" i="1"/>
  <c r="BA141" i="1" s="1"/>
  <c r="AT142" i="1"/>
  <c r="AZ142" i="1" s="1"/>
  <c r="AU142" i="1"/>
  <c r="BA142" i="1" s="1"/>
  <c r="AT143" i="1"/>
  <c r="AZ143" i="1" s="1"/>
  <c r="AU143" i="1"/>
  <c r="BA143" i="1" s="1"/>
  <c r="AT144" i="1"/>
  <c r="AZ144" i="1" s="1"/>
  <c r="AU144" i="1"/>
  <c r="BA144" i="1" s="1"/>
  <c r="AT145" i="1"/>
  <c r="AZ145" i="1" s="1"/>
  <c r="AU145" i="1"/>
  <c r="BA145" i="1" s="1"/>
  <c r="AT146" i="1"/>
  <c r="AZ146" i="1" s="1"/>
  <c r="AU146" i="1"/>
  <c r="BA146" i="1" s="1"/>
  <c r="AT147" i="1"/>
  <c r="AZ147" i="1" s="1"/>
  <c r="AU147" i="1"/>
  <c r="BA147" i="1" s="1"/>
  <c r="AT148" i="1"/>
  <c r="AZ148" i="1" s="1"/>
  <c r="AU148" i="1"/>
  <c r="BA148" i="1" s="1"/>
  <c r="AT149" i="1"/>
  <c r="AZ149" i="1" s="1"/>
  <c r="AU149" i="1"/>
  <c r="BA149" i="1" s="1"/>
  <c r="AT150" i="1"/>
  <c r="AZ150" i="1" s="1"/>
  <c r="AU150" i="1"/>
  <c r="BA150" i="1" s="1"/>
  <c r="AT151" i="1"/>
  <c r="AZ151" i="1" s="1"/>
  <c r="AU151" i="1"/>
  <c r="BA151" i="1" s="1"/>
  <c r="AT152" i="1"/>
  <c r="AZ152" i="1" s="1"/>
  <c r="AU152" i="1"/>
  <c r="BA152" i="1" s="1"/>
  <c r="AT153" i="1"/>
  <c r="AZ153" i="1" s="1"/>
  <c r="AU153" i="1"/>
  <c r="BA153" i="1" s="1"/>
  <c r="AT154" i="1"/>
  <c r="AZ154" i="1" s="1"/>
  <c r="AU154" i="1"/>
  <c r="BA154" i="1" s="1"/>
  <c r="AT155" i="1"/>
  <c r="AZ155" i="1" s="1"/>
  <c r="AU155" i="1"/>
  <c r="BA155" i="1" s="1"/>
  <c r="AT156" i="1"/>
  <c r="AZ156" i="1" s="1"/>
  <c r="AU156" i="1"/>
  <c r="BA156" i="1" s="1"/>
  <c r="AT157" i="1"/>
  <c r="AZ157" i="1" s="1"/>
  <c r="AU157" i="1"/>
  <c r="BA157" i="1" s="1"/>
  <c r="AT158" i="1"/>
  <c r="AZ158" i="1" s="1"/>
  <c r="AU158" i="1"/>
  <c r="BA158" i="1" s="1"/>
  <c r="AT159" i="1"/>
  <c r="AZ159" i="1" s="1"/>
  <c r="AU159" i="1"/>
  <c r="BA159" i="1" s="1"/>
  <c r="AT160" i="1"/>
  <c r="AZ160" i="1" s="1"/>
  <c r="AU160" i="1"/>
  <c r="BA160" i="1" s="1"/>
  <c r="AT161" i="1"/>
  <c r="AZ161" i="1" s="1"/>
  <c r="AU161" i="1"/>
  <c r="BA161" i="1" s="1"/>
  <c r="AT162" i="1"/>
  <c r="AZ162" i="1" s="1"/>
  <c r="AU162" i="1"/>
  <c r="BA162" i="1" s="1"/>
  <c r="AT163" i="1"/>
  <c r="AZ163" i="1" s="1"/>
  <c r="AU163" i="1"/>
  <c r="BA163" i="1" s="1"/>
  <c r="AT164" i="1"/>
  <c r="AZ164" i="1" s="1"/>
  <c r="AU164" i="1"/>
  <c r="BA164" i="1" s="1"/>
  <c r="AT165" i="1"/>
  <c r="AZ165" i="1" s="1"/>
  <c r="AU165" i="1"/>
  <c r="BA165" i="1" s="1"/>
  <c r="AT166" i="1"/>
  <c r="AZ166" i="1" s="1"/>
  <c r="AU166" i="1"/>
  <c r="BA166" i="1" s="1"/>
  <c r="AT167" i="1"/>
  <c r="AZ167" i="1" s="1"/>
  <c r="AU167" i="1"/>
  <c r="BA167" i="1" s="1"/>
  <c r="AT168" i="1"/>
  <c r="AZ168" i="1" s="1"/>
  <c r="AU168" i="1"/>
  <c r="BA168" i="1" s="1"/>
  <c r="AT169" i="1"/>
  <c r="AZ169" i="1" s="1"/>
  <c r="AU169" i="1"/>
  <c r="BA169" i="1" s="1"/>
  <c r="AT170" i="1"/>
  <c r="AZ170" i="1" s="1"/>
  <c r="AU170" i="1"/>
  <c r="BA170" i="1" s="1"/>
  <c r="AT171" i="1"/>
  <c r="AZ171" i="1" s="1"/>
  <c r="AU171" i="1"/>
  <c r="BA171" i="1" s="1"/>
  <c r="AT172" i="1"/>
  <c r="AZ172" i="1" s="1"/>
  <c r="AU172" i="1"/>
  <c r="BA172" i="1" s="1"/>
  <c r="AT173" i="1"/>
  <c r="AZ173" i="1" s="1"/>
  <c r="AU173" i="1"/>
  <c r="AT174" i="1"/>
  <c r="AZ174" i="1" s="1"/>
  <c r="AU174" i="1"/>
  <c r="BA174" i="1" s="1"/>
  <c r="AT175" i="1"/>
  <c r="AZ175" i="1" s="1"/>
  <c r="AU175" i="1"/>
  <c r="BA175" i="1" s="1"/>
  <c r="AT176" i="1"/>
  <c r="AZ176" i="1" s="1"/>
  <c r="AU176" i="1"/>
  <c r="BA176" i="1" s="1"/>
  <c r="AT177" i="1"/>
  <c r="AZ177" i="1" s="1"/>
  <c r="AU177" i="1"/>
  <c r="BA177" i="1" s="1"/>
  <c r="AT178" i="1"/>
  <c r="AZ178" i="1" s="1"/>
  <c r="AU178" i="1"/>
  <c r="BA178" i="1" s="1"/>
  <c r="AT179" i="1"/>
  <c r="AZ179" i="1" s="1"/>
  <c r="AU179" i="1"/>
  <c r="BA179" i="1" s="1"/>
  <c r="AT180" i="1"/>
  <c r="AZ180" i="1" s="1"/>
  <c r="AU180" i="1"/>
  <c r="BA180" i="1" s="1"/>
  <c r="AT181" i="1"/>
  <c r="AZ181" i="1" s="1"/>
  <c r="AU181" i="1"/>
  <c r="BA181" i="1" s="1"/>
  <c r="AT182" i="1"/>
  <c r="AZ182" i="1" s="1"/>
  <c r="AU182" i="1"/>
  <c r="BA182" i="1" s="1"/>
  <c r="AT183" i="1"/>
  <c r="AZ183" i="1" s="1"/>
  <c r="AU183" i="1"/>
  <c r="BA183" i="1" s="1"/>
  <c r="AT184" i="1"/>
  <c r="AZ184" i="1" s="1"/>
  <c r="AU184" i="1"/>
  <c r="BA184" i="1" s="1"/>
  <c r="AT185" i="1"/>
  <c r="AZ185" i="1" s="1"/>
  <c r="AU185" i="1"/>
  <c r="BA185" i="1" s="1"/>
  <c r="AT186" i="1"/>
  <c r="AZ186" i="1" s="1"/>
  <c r="AU186" i="1"/>
  <c r="AT187" i="1"/>
  <c r="AZ187" i="1" s="1"/>
  <c r="AU187" i="1"/>
  <c r="BA187" i="1" s="1"/>
  <c r="AT188" i="1"/>
  <c r="AZ188" i="1" s="1"/>
  <c r="AU188" i="1"/>
  <c r="BA188" i="1" s="1"/>
  <c r="AT189" i="1"/>
  <c r="AZ189" i="1" s="1"/>
  <c r="AU189" i="1"/>
  <c r="BA189" i="1" s="1"/>
  <c r="AT190" i="1"/>
  <c r="AZ190" i="1" s="1"/>
  <c r="AU190" i="1"/>
  <c r="BA190" i="1" s="1"/>
  <c r="AT191" i="1"/>
  <c r="AZ191" i="1" s="1"/>
  <c r="AU191" i="1"/>
  <c r="BA191" i="1" s="1"/>
  <c r="AT192" i="1"/>
  <c r="AZ192" i="1" s="1"/>
  <c r="AU192" i="1"/>
  <c r="BA192" i="1" s="1"/>
  <c r="AT193" i="1"/>
  <c r="AZ193" i="1" s="1"/>
  <c r="AU193" i="1"/>
  <c r="BA193" i="1" s="1"/>
  <c r="AT194" i="1"/>
  <c r="AZ194" i="1" s="1"/>
  <c r="AU194" i="1"/>
  <c r="AT195" i="1"/>
  <c r="AZ195" i="1" s="1"/>
  <c r="AU195" i="1"/>
  <c r="BA195" i="1" s="1"/>
  <c r="AT196" i="1"/>
  <c r="AZ196" i="1" s="1"/>
  <c r="AU196" i="1"/>
  <c r="BA196" i="1" s="1"/>
  <c r="AT197" i="1"/>
  <c r="AZ197" i="1" s="1"/>
  <c r="AU197" i="1"/>
  <c r="BA197" i="1" s="1"/>
  <c r="AT198" i="1"/>
  <c r="AZ198" i="1" s="1"/>
  <c r="AU198" i="1"/>
  <c r="BA198" i="1" s="1"/>
  <c r="AT199" i="1"/>
  <c r="AZ199" i="1" s="1"/>
  <c r="AU199" i="1"/>
  <c r="BA199" i="1" s="1"/>
  <c r="AT200" i="1"/>
  <c r="AZ200" i="1" s="1"/>
  <c r="AU200" i="1"/>
  <c r="BA200" i="1" s="1"/>
  <c r="AT201" i="1"/>
  <c r="AZ201" i="1" s="1"/>
  <c r="AU201" i="1"/>
  <c r="BA201" i="1" s="1"/>
  <c r="AT202" i="1"/>
  <c r="AZ202" i="1" s="1"/>
  <c r="AU202" i="1"/>
  <c r="BA202" i="1" s="1"/>
  <c r="AT203" i="1"/>
  <c r="AZ203" i="1" s="1"/>
  <c r="AU203" i="1"/>
  <c r="BA203" i="1" s="1"/>
  <c r="AT204" i="1"/>
  <c r="AZ204" i="1" s="1"/>
  <c r="AU204" i="1"/>
  <c r="BA204" i="1" s="1"/>
  <c r="AT205" i="1"/>
  <c r="AZ205" i="1" s="1"/>
  <c r="AU205" i="1"/>
  <c r="BA205" i="1" s="1"/>
  <c r="AT206" i="1"/>
  <c r="AZ206" i="1" s="1"/>
  <c r="AU206" i="1"/>
  <c r="BA206" i="1" s="1"/>
  <c r="AT207" i="1"/>
  <c r="AZ207" i="1" s="1"/>
  <c r="AU207" i="1"/>
  <c r="BA207" i="1" s="1"/>
  <c r="AT208" i="1"/>
  <c r="AZ208" i="1" s="1"/>
  <c r="AU208" i="1"/>
  <c r="BA208" i="1" s="1"/>
  <c r="AT209" i="1"/>
  <c r="AZ209" i="1" s="1"/>
  <c r="AU209" i="1"/>
  <c r="BA209" i="1" s="1"/>
  <c r="AT210" i="1"/>
  <c r="AZ210" i="1" s="1"/>
  <c r="AU210" i="1"/>
  <c r="BA210" i="1" s="1"/>
  <c r="AT211" i="1"/>
  <c r="AZ211" i="1" s="1"/>
  <c r="AU211" i="1"/>
  <c r="BA211" i="1" s="1"/>
  <c r="AT212" i="1"/>
  <c r="AZ212" i="1" s="1"/>
  <c r="AU212" i="1"/>
  <c r="BA212" i="1" s="1"/>
  <c r="AT213" i="1"/>
  <c r="AZ213" i="1" s="1"/>
  <c r="AU213" i="1"/>
  <c r="BA213" i="1" s="1"/>
  <c r="AT214" i="1"/>
  <c r="AZ214" i="1" s="1"/>
  <c r="AU214" i="1"/>
  <c r="BA214" i="1" s="1"/>
  <c r="AT215" i="1"/>
  <c r="AZ215" i="1" s="1"/>
  <c r="AU215" i="1"/>
  <c r="BA215" i="1" s="1"/>
  <c r="AT216" i="1"/>
  <c r="AZ216" i="1" s="1"/>
  <c r="AU216" i="1"/>
  <c r="BA216" i="1" s="1"/>
  <c r="AT217" i="1"/>
  <c r="AZ217" i="1" s="1"/>
  <c r="AU217" i="1"/>
  <c r="BA217" i="1" s="1"/>
  <c r="AT218" i="1"/>
  <c r="AZ218" i="1" s="1"/>
  <c r="AU218" i="1"/>
  <c r="BA218" i="1" s="1"/>
  <c r="AT219" i="1"/>
  <c r="AZ219" i="1" s="1"/>
  <c r="AU219" i="1"/>
  <c r="BA219" i="1" s="1"/>
  <c r="AT220" i="1"/>
  <c r="AZ220" i="1" s="1"/>
  <c r="AU220" i="1"/>
  <c r="BA220" i="1" s="1"/>
  <c r="AT221" i="1"/>
  <c r="AZ221" i="1" s="1"/>
  <c r="AU221" i="1"/>
  <c r="BA221" i="1" s="1"/>
  <c r="AT222" i="1"/>
  <c r="AZ222" i="1" s="1"/>
  <c r="AU222" i="1"/>
  <c r="BA222" i="1" s="1"/>
  <c r="AT223" i="1"/>
  <c r="AZ223" i="1" s="1"/>
  <c r="AU223" i="1"/>
  <c r="BA223" i="1" s="1"/>
  <c r="AT224" i="1"/>
  <c r="AZ224" i="1" s="1"/>
  <c r="AU224" i="1"/>
  <c r="BA224" i="1" s="1"/>
  <c r="AT225" i="1"/>
  <c r="AZ225" i="1" s="1"/>
  <c r="AU225" i="1"/>
  <c r="BA225" i="1" s="1"/>
  <c r="AT226" i="1"/>
  <c r="AZ226" i="1" s="1"/>
  <c r="AU226" i="1"/>
  <c r="BA226" i="1" s="1"/>
  <c r="AT227" i="1"/>
  <c r="AZ227" i="1" s="1"/>
  <c r="AU227" i="1"/>
  <c r="BA227" i="1" s="1"/>
  <c r="AT228" i="1"/>
  <c r="AZ228" i="1" s="1"/>
  <c r="AU228" i="1"/>
  <c r="BA228" i="1" s="1"/>
  <c r="AT229" i="1"/>
  <c r="AZ229" i="1" s="1"/>
  <c r="AU229" i="1"/>
  <c r="BA229" i="1" s="1"/>
  <c r="AT230" i="1"/>
  <c r="AZ230" i="1" s="1"/>
  <c r="AU230" i="1"/>
  <c r="BA230" i="1" s="1"/>
  <c r="AT231" i="1"/>
  <c r="AZ231" i="1" s="1"/>
  <c r="AU231" i="1"/>
  <c r="BA231" i="1" s="1"/>
  <c r="AT232" i="1"/>
  <c r="AZ232" i="1" s="1"/>
  <c r="AU232" i="1"/>
  <c r="BA232" i="1" s="1"/>
  <c r="AT233" i="1"/>
  <c r="AZ233" i="1" s="1"/>
  <c r="AU233" i="1"/>
  <c r="BA233" i="1" s="1"/>
  <c r="AT234" i="1"/>
  <c r="AZ234" i="1" s="1"/>
  <c r="AU234" i="1"/>
  <c r="BA234" i="1" s="1"/>
  <c r="AT235" i="1"/>
  <c r="AZ235" i="1" s="1"/>
  <c r="AU235" i="1"/>
  <c r="BA235" i="1" s="1"/>
  <c r="AT236" i="1"/>
  <c r="AZ236" i="1" s="1"/>
  <c r="AU236" i="1"/>
  <c r="BA236" i="1" s="1"/>
  <c r="AT237" i="1"/>
  <c r="AZ237" i="1" s="1"/>
  <c r="AU237" i="1"/>
  <c r="BA237" i="1" s="1"/>
  <c r="AT238" i="1"/>
  <c r="AZ238" i="1" s="1"/>
  <c r="AU238" i="1"/>
  <c r="BA238" i="1" s="1"/>
  <c r="AT239" i="1"/>
  <c r="AZ239" i="1" s="1"/>
  <c r="AU239" i="1"/>
  <c r="BA239" i="1" s="1"/>
  <c r="AT240" i="1"/>
  <c r="AZ240" i="1" s="1"/>
  <c r="AU240" i="1"/>
  <c r="BA240" i="1" s="1"/>
  <c r="AT241" i="1"/>
  <c r="AZ241" i="1" s="1"/>
  <c r="AU241" i="1"/>
  <c r="BA241" i="1" s="1"/>
  <c r="AT242" i="1"/>
  <c r="AZ242" i="1" s="1"/>
  <c r="AU242" i="1"/>
  <c r="BA242" i="1" s="1"/>
  <c r="AT243" i="1"/>
  <c r="AZ243" i="1" s="1"/>
  <c r="AU243" i="1"/>
  <c r="BA243" i="1" s="1"/>
  <c r="AT244" i="1"/>
  <c r="AZ244" i="1" s="1"/>
  <c r="AU244" i="1"/>
  <c r="BA244" i="1" s="1"/>
  <c r="AZ353" i="1" l="1"/>
  <c r="BA353" i="1"/>
  <c r="AZ354" i="1"/>
  <c r="BA354" i="1"/>
  <c r="AZ355" i="1"/>
  <c r="BA355" i="1"/>
  <c r="AZ356" i="1"/>
  <c r="BA356" i="1"/>
  <c r="AZ357" i="1"/>
  <c r="BA357" i="1"/>
  <c r="AZ358" i="1"/>
  <c r="BA358" i="1"/>
  <c r="AZ359" i="1"/>
  <c r="BA359" i="1"/>
  <c r="AZ360" i="1"/>
  <c r="BA360" i="1"/>
  <c r="AZ361" i="1"/>
  <c r="BA361" i="1"/>
  <c r="AZ362" i="1"/>
  <c r="BA362" i="1"/>
  <c r="AZ363" i="1"/>
  <c r="BA363" i="1"/>
  <c r="AZ364" i="1"/>
  <c r="BA364" i="1"/>
  <c r="AT245" i="1"/>
  <c r="AZ245" i="1" s="1"/>
  <c r="AU245" i="1"/>
  <c r="BA245" i="1" s="1"/>
  <c r="AT246" i="1"/>
  <c r="AZ246" i="1" s="1"/>
  <c r="AU246" i="1"/>
  <c r="BA246" i="1" s="1"/>
  <c r="AT247" i="1"/>
  <c r="AZ247" i="1" s="1"/>
  <c r="AU247" i="1"/>
  <c r="BA247" i="1" s="1"/>
  <c r="AT248" i="1"/>
  <c r="AZ248" i="1" s="1"/>
  <c r="AU248" i="1"/>
  <c r="BA248" i="1" s="1"/>
  <c r="AT249" i="1"/>
  <c r="AZ249" i="1" s="1"/>
  <c r="AU249" i="1"/>
  <c r="BA249" i="1" s="1"/>
  <c r="AT250" i="1"/>
  <c r="AZ250" i="1" s="1"/>
  <c r="AU250" i="1"/>
  <c r="BA250" i="1" s="1"/>
  <c r="AT251" i="1"/>
  <c r="AZ251" i="1" s="1"/>
  <c r="AU251" i="1"/>
  <c r="BA251" i="1" s="1"/>
  <c r="AT252" i="1"/>
  <c r="AZ252" i="1" s="1"/>
  <c r="AU252" i="1"/>
  <c r="BA252" i="1" s="1"/>
  <c r="AT253" i="1"/>
  <c r="AZ253" i="1" s="1"/>
  <c r="AU253" i="1"/>
  <c r="BA253" i="1" s="1"/>
  <c r="AT254" i="1"/>
  <c r="AZ254" i="1" s="1"/>
  <c r="AU254" i="1"/>
  <c r="BA254" i="1" s="1"/>
  <c r="AT255" i="1"/>
  <c r="AZ255" i="1" s="1"/>
  <c r="AU255" i="1"/>
  <c r="BA255" i="1" s="1"/>
  <c r="AT256" i="1"/>
  <c r="AZ256" i="1" s="1"/>
  <c r="AU256" i="1"/>
  <c r="BA256" i="1" s="1"/>
  <c r="AT257" i="1"/>
  <c r="AZ257" i="1" s="1"/>
  <c r="AU257" i="1"/>
  <c r="BA257" i="1" s="1"/>
  <c r="AT258" i="1"/>
  <c r="AZ258" i="1" s="1"/>
  <c r="AU258" i="1"/>
  <c r="BA258" i="1" s="1"/>
  <c r="AT259" i="1"/>
  <c r="AZ259" i="1" s="1"/>
  <c r="AU259" i="1"/>
  <c r="BA259" i="1" s="1"/>
  <c r="AT260" i="1"/>
  <c r="AZ260" i="1" s="1"/>
  <c r="AU260" i="1"/>
  <c r="BA260" i="1" s="1"/>
  <c r="AT261" i="1"/>
  <c r="AZ261" i="1" s="1"/>
  <c r="AU261" i="1"/>
  <c r="BA261" i="1" s="1"/>
  <c r="AT262" i="1"/>
  <c r="AZ262" i="1" s="1"/>
  <c r="AU262" i="1"/>
  <c r="BA262" i="1" s="1"/>
  <c r="AT263" i="1"/>
  <c r="AZ263" i="1" s="1"/>
  <c r="AU263" i="1"/>
  <c r="BA263" i="1" s="1"/>
  <c r="AT264" i="1"/>
  <c r="AZ264" i="1" s="1"/>
  <c r="AU264" i="1"/>
  <c r="BA264" i="1" s="1"/>
  <c r="AT265" i="1"/>
  <c r="AZ265" i="1" s="1"/>
  <c r="AU265" i="1"/>
  <c r="BA265" i="1" s="1"/>
  <c r="AT266" i="1"/>
  <c r="AZ266" i="1" s="1"/>
  <c r="AU266" i="1"/>
  <c r="BA266" i="1" s="1"/>
  <c r="AT267" i="1"/>
  <c r="AZ267" i="1" s="1"/>
  <c r="AU267" i="1"/>
  <c r="BA267" i="1" s="1"/>
  <c r="AT268" i="1"/>
  <c r="AZ268" i="1" s="1"/>
  <c r="AU268" i="1"/>
  <c r="BA268" i="1" s="1"/>
  <c r="AT269" i="1"/>
  <c r="AZ269" i="1" s="1"/>
  <c r="AU269" i="1"/>
  <c r="BA269" i="1" s="1"/>
  <c r="AT270" i="1"/>
  <c r="AZ270" i="1" s="1"/>
  <c r="AU270" i="1"/>
  <c r="BA270" i="1" s="1"/>
  <c r="AT271" i="1"/>
  <c r="AZ271" i="1" s="1"/>
  <c r="AU271" i="1"/>
  <c r="BA271" i="1" s="1"/>
  <c r="AT272" i="1"/>
  <c r="AZ272" i="1" s="1"/>
  <c r="AU272" i="1"/>
  <c r="BA272" i="1" s="1"/>
  <c r="AT273" i="1"/>
  <c r="AZ273" i="1" s="1"/>
  <c r="AU273" i="1"/>
  <c r="BA273" i="1" s="1"/>
  <c r="AT274" i="1"/>
  <c r="AZ274" i="1" s="1"/>
  <c r="AU274" i="1"/>
  <c r="BA274" i="1" s="1"/>
  <c r="AT275" i="1"/>
  <c r="AZ275" i="1" s="1"/>
  <c r="AU275" i="1"/>
  <c r="BA275" i="1" s="1"/>
  <c r="AT276" i="1"/>
  <c r="AZ276" i="1" s="1"/>
  <c r="AU276" i="1"/>
  <c r="BA276" i="1" s="1"/>
  <c r="AT277" i="1"/>
  <c r="AZ277" i="1" s="1"/>
  <c r="AU277" i="1"/>
  <c r="BA277" i="1" s="1"/>
  <c r="AT278" i="1"/>
  <c r="AZ278" i="1" s="1"/>
  <c r="AU278" i="1"/>
  <c r="BA278" i="1" s="1"/>
  <c r="AT279" i="1"/>
  <c r="AZ279" i="1" s="1"/>
  <c r="AU279" i="1"/>
  <c r="BA279" i="1" s="1"/>
  <c r="AT280" i="1"/>
  <c r="AZ280" i="1" s="1"/>
  <c r="AU280" i="1"/>
  <c r="BA280" i="1" s="1"/>
  <c r="AT281" i="1"/>
  <c r="AZ281" i="1" s="1"/>
  <c r="AU281" i="1"/>
  <c r="BA281" i="1" s="1"/>
  <c r="AT282" i="1"/>
  <c r="AZ282" i="1" s="1"/>
  <c r="AU282" i="1"/>
  <c r="BA282" i="1" s="1"/>
  <c r="AT283" i="1"/>
  <c r="AZ283" i="1" s="1"/>
  <c r="AU283" i="1"/>
  <c r="BA283" i="1" s="1"/>
  <c r="AT284" i="1"/>
  <c r="AZ284" i="1" s="1"/>
  <c r="AU284" i="1"/>
  <c r="BA284" i="1" s="1"/>
  <c r="AT285" i="1"/>
  <c r="AZ285" i="1" s="1"/>
  <c r="AU285" i="1"/>
  <c r="BA285" i="1" s="1"/>
  <c r="AT286" i="1"/>
  <c r="AZ286" i="1" s="1"/>
  <c r="AU286" i="1"/>
  <c r="BA286" i="1" s="1"/>
  <c r="AT287" i="1"/>
  <c r="AZ287" i="1" s="1"/>
  <c r="AU287" i="1"/>
  <c r="BA287" i="1" s="1"/>
  <c r="AT288" i="1"/>
  <c r="AZ288" i="1" s="1"/>
  <c r="AU288" i="1"/>
  <c r="BA288" i="1" s="1"/>
  <c r="AT289" i="1"/>
  <c r="AZ289" i="1" s="1"/>
  <c r="AU289" i="1"/>
  <c r="BA289" i="1" s="1"/>
  <c r="AT290" i="1"/>
  <c r="AZ290" i="1" s="1"/>
  <c r="AU290" i="1"/>
  <c r="BA290" i="1" s="1"/>
  <c r="AT291" i="1"/>
  <c r="AZ291" i="1" s="1"/>
  <c r="AU291" i="1"/>
  <c r="BA291" i="1" s="1"/>
  <c r="AT292" i="1"/>
  <c r="AZ292" i="1" s="1"/>
  <c r="AU292" i="1"/>
  <c r="BA292" i="1" s="1"/>
  <c r="AT293" i="1"/>
  <c r="AZ293" i="1" s="1"/>
  <c r="AU293" i="1"/>
  <c r="BA293" i="1" s="1"/>
  <c r="AT294" i="1"/>
  <c r="AZ294" i="1" s="1"/>
  <c r="AU294" i="1"/>
  <c r="BA294" i="1" s="1"/>
  <c r="AT295" i="1"/>
  <c r="AZ295" i="1" s="1"/>
  <c r="AU295" i="1"/>
  <c r="BA295" i="1" s="1"/>
  <c r="AT296" i="1"/>
  <c r="AZ296" i="1" s="1"/>
  <c r="AU296" i="1"/>
  <c r="BA296" i="1" s="1"/>
  <c r="AT297" i="1"/>
  <c r="AZ297" i="1" s="1"/>
  <c r="AU297" i="1"/>
  <c r="BA297" i="1" s="1"/>
  <c r="AT298" i="1"/>
  <c r="AZ298" i="1" s="1"/>
  <c r="AU298" i="1"/>
  <c r="BA298" i="1" s="1"/>
  <c r="AT299" i="1"/>
  <c r="AZ299" i="1" s="1"/>
  <c r="AU299" i="1"/>
  <c r="BA299" i="1" s="1"/>
  <c r="AT300" i="1"/>
  <c r="AZ300" i="1" s="1"/>
  <c r="AU300" i="1"/>
  <c r="BA300" i="1" s="1"/>
  <c r="AT301" i="1"/>
  <c r="AZ301" i="1" s="1"/>
  <c r="AU301" i="1"/>
  <c r="BA301" i="1" s="1"/>
  <c r="AT302" i="1"/>
  <c r="AZ302" i="1" s="1"/>
  <c r="AU302" i="1"/>
  <c r="BA302" i="1" s="1"/>
  <c r="AT303" i="1"/>
  <c r="AZ303" i="1" s="1"/>
  <c r="AU303" i="1"/>
  <c r="BA303" i="1" s="1"/>
  <c r="AT304" i="1"/>
  <c r="AZ304" i="1" s="1"/>
  <c r="AU304" i="1"/>
  <c r="BA304" i="1" s="1"/>
  <c r="AT305" i="1"/>
  <c r="AZ305" i="1" s="1"/>
  <c r="AU305" i="1"/>
  <c r="BA305" i="1" s="1"/>
  <c r="AT306" i="1"/>
  <c r="AZ306" i="1" s="1"/>
  <c r="AU306" i="1"/>
  <c r="BA306" i="1" s="1"/>
  <c r="AT307" i="1"/>
  <c r="AZ307" i="1" s="1"/>
  <c r="AU307" i="1"/>
  <c r="BA307" i="1" s="1"/>
  <c r="AT308" i="1"/>
  <c r="AZ308" i="1" s="1"/>
  <c r="AU308" i="1"/>
  <c r="BA308" i="1" s="1"/>
  <c r="AT309" i="1"/>
  <c r="AZ309" i="1" s="1"/>
  <c r="AU309" i="1"/>
  <c r="BA309" i="1" s="1"/>
  <c r="AT310" i="1"/>
  <c r="AZ310" i="1" s="1"/>
  <c r="AU310" i="1"/>
  <c r="BA310" i="1" s="1"/>
  <c r="AT311" i="1"/>
  <c r="AZ311" i="1" s="1"/>
  <c r="AU311" i="1"/>
  <c r="BA311" i="1" s="1"/>
  <c r="AT312" i="1"/>
  <c r="AZ312" i="1" s="1"/>
  <c r="AU312" i="1"/>
  <c r="BA312" i="1" s="1"/>
  <c r="AT313" i="1"/>
  <c r="AZ313" i="1" s="1"/>
  <c r="AU313" i="1"/>
  <c r="BA313" i="1" s="1"/>
  <c r="AT314" i="1"/>
  <c r="AZ314" i="1" s="1"/>
  <c r="AU314" i="1"/>
  <c r="BA314" i="1" s="1"/>
  <c r="AT315" i="1"/>
  <c r="AZ315" i="1" s="1"/>
  <c r="AU315" i="1"/>
  <c r="BA315" i="1" s="1"/>
  <c r="AT316" i="1"/>
  <c r="AZ316" i="1" s="1"/>
  <c r="AU316" i="1"/>
  <c r="BA316" i="1" s="1"/>
  <c r="AT317" i="1"/>
  <c r="AZ317" i="1" s="1"/>
  <c r="AU317" i="1"/>
  <c r="BA317" i="1" s="1"/>
  <c r="AT318" i="1"/>
  <c r="AZ318" i="1" s="1"/>
  <c r="AU318" i="1"/>
  <c r="BA318" i="1" s="1"/>
  <c r="AT319" i="1"/>
  <c r="AZ319" i="1" s="1"/>
  <c r="AU319" i="1"/>
  <c r="BA319" i="1" s="1"/>
  <c r="AT320" i="1"/>
  <c r="AZ320" i="1" s="1"/>
  <c r="AU320" i="1"/>
  <c r="BA320" i="1" s="1"/>
  <c r="AT321" i="1"/>
  <c r="AZ321" i="1" s="1"/>
  <c r="AU321" i="1"/>
  <c r="BA321" i="1" s="1"/>
  <c r="AT322" i="1"/>
  <c r="AZ322" i="1" s="1"/>
  <c r="AU322" i="1"/>
  <c r="BA322" i="1" s="1"/>
  <c r="AT323" i="1"/>
  <c r="AZ323" i="1" s="1"/>
  <c r="AU323" i="1"/>
  <c r="BA323" i="1" s="1"/>
  <c r="AT324" i="1"/>
  <c r="AZ324" i="1" s="1"/>
  <c r="AU324" i="1"/>
  <c r="BA324" i="1" s="1"/>
  <c r="AT325" i="1"/>
  <c r="AZ325" i="1" s="1"/>
  <c r="AU325" i="1"/>
  <c r="BA325" i="1" s="1"/>
  <c r="AT326" i="1"/>
  <c r="AZ326" i="1" s="1"/>
  <c r="AU326" i="1"/>
  <c r="BA326" i="1" s="1"/>
  <c r="AT327" i="1"/>
  <c r="AZ327" i="1" s="1"/>
  <c r="AU327" i="1"/>
  <c r="BA327" i="1" s="1"/>
  <c r="AT328" i="1"/>
  <c r="AZ328" i="1" s="1"/>
  <c r="AU328" i="1"/>
  <c r="BA328" i="1" s="1"/>
  <c r="AT329" i="1"/>
  <c r="AZ329" i="1" s="1"/>
  <c r="AU329" i="1"/>
  <c r="BA329" i="1" s="1"/>
  <c r="AT330" i="1"/>
  <c r="AZ330" i="1" s="1"/>
  <c r="AU330" i="1"/>
  <c r="BA330" i="1" s="1"/>
  <c r="AT331" i="1"/>
  <c r="AZ331" i="1" s="1"/>
  <c r="AU331" i="1"/>
  <c r="BA331" i="1" s="1"/>
  <c r="AT332" i="1"/>
  <c r="AZ332" i="1" s="1"/>
  <c r="AU332" i="1"/>
  <c r="BA332" i="1" s="1"/>
  <c r="AT333" i="1"/>
  <c r="AZ333" i="1" s="1"/>
  <c r="AU333" i="1"/>
  <c r="BA333" i="1" s="1"/>
  <c r="AT334" i="1"/>
  <c r="AZ334" i="1" s="1"/>
  <c r="AU334" i="1"/>
  <c r="BA334" i="1" s="1"/>
  <c r="AT335" i="1"/>
  <c r="AZ335" i="1" s="1"/>
  <c r="AU335" i="1"/>
  <c r="BA335" i="1" s="1"/>
  <c r="AT336" i="1"/>
  <c r="AZ336" i="1" s="1"/>
  <c r="AU336" i="1"/>
  <c r="BA336" i="1" s="1"/>
  <c r="AT337" i="1"/>
  <c r="AZ337" i="1" s="1"/>
  <c r="AU337" i="1"/>
  <c r="BA337" i="1" s="1"/>
  <c r="AT338" i="1"/>
  <c r="AZ338" i="1" s="1"/>
  <c r="AU338" i="1"/>
  <c r="BA338" i="1" s="1"/>
  <c r="AT339" i="1"/>
  <c r="AZ339" i="1" s="1"/>
  <c r="AU339" i="1"/>
  <c r="BA339" i="1" s="1"/>
  <c r="AT340" i="1"/>
  <c r="AZ340" i="1" s="1"/>
  <c r="AU340" i="1"/>
  <c r="BA340" i="1" s="1"/>
  <c r="AT341" i="1"/>
  <c r="AZ341" i="1" s="1"/>
  <c r="AU341" i="1"/>
  <c r="BA341" i="1" s="1"/>
  <c r="AT342" i="1"/>
  <c r="AZ342" i="1" s="1"/>
  <c r="AU342" i="1"/>
  <c r="BA342" i="1" s="1"/>
  <c r="AT343" i="1"/>
  <c r="AZ343" i="1" s="1"/>
  <c r="AU343" i="1"/>
  <c r="BA343" i="1" s="1"/>
  <c r="AT344" i="1"/>
  <c r="AZ344" i="1" s="1"/>
  <c r="AU344" i="1"/>
  <c r="BA344" i="1" s="1"/>
  <c r="AT345" i="1"/>
  <c r="AZ345" i="1" s="1"/>
  <c r="AU345" i="1"/>
  <c r="BA345" i="1" s="1"/>
  <c r="AT346" i="1"/>
  <c r="AZ346" i="1" s="1"/>
  <c r="AU346" i="1"/>
  <c r="BA346" i="1" s="1"/>
  <c r="AT347" i="1"/>
  <c r="AZ347" i="1" s="1"/>
  <c r="AU347" i="1"/>
  <c r="BA347" i="1" s="1"/>
  <c r="AT348" i="1"/>
  <c r="AZ348" i="1" s="1"/>
  <c r="AU348" i="1"/>
  <c r="BA348" i="1" s="1"/>
  <c r="AT349" i="1"/>
  <c r="AZ349" i="1" s="1"/>
  <c r="AU349" i="1"/>
  <c r="BA349" i="1" s="1"/>
  <c r="AT350" i="1"/>
  <c r="AZ350" i="1" s="1"/>
  <c r="AU350" i="1"/>
  <c r="BA350" i="1" s="1"/>
  <c r="AT351" i="1"/>
  <c r="AZ351" i="1" s="1"/>
  <c r="AU351" i="1"/>
  <c r="BA351" i="1" s="1"/>
  <c r="AT352" i="1"/>
  <c r="AZ352" i="1" s="1"/>
  <c r="AU352" i="1"/>
  <c r="BA352" i="1" s="1"/>
  <c r="BP5" i="1" l="1"/>
  <c r="BQ5" i="1"/>
  <c r="BP6" i="1"/>
  <c r="BQ6" i="1"/>
  <c r="BP7" i="1"/>
  <c r="BQ7" i="1"/>
  <c r="BP8" i="1"/>
  <c r="BQ8" i="1"/>
  <c r="BP9" i="1"/>
  <c r="BQ9" i="1"/>
  <c r="BP10" i="1"/>
  <c r="BQ10" i="1"/>
  <c r="BP11" i="1"/>
  <c r="BQ11" i="1"/>
  <c r="BP12" i="1"/>
  <c r="BQ12" i="1"/>
  <c r="BP13" i="1"/>
  <c r="BQ13" i="1"/>
  <c r="BP14" i="1"/>
  <c r="BQ14" i="1"/>
  <c r="BP15" i="1"/>
  <c r="BQ15" i="1"/>
  <c r="BP16" i="1"/>
  <c r="BQ16" i="1"/>
  <c r="BP17" i="1"/>
  <c r="BQ17" i="1"/>
  <c r="BP18" i="1"/>
  <c r="BQ18" i="1"/>
  <c r="BP19" i="1"/>
  <c r="BQ19" i="1"/>
  <c r="BP20" i="1"/>
  <c r="BQ20" i="1"/>
  <c r="BP21" i="1"/>
  <c r="BQ21" i="1"/>
  <c r="BP22" i="1"/>
  <c r="BQ22" i="1"/>
  <c r="BP23" i="1"/>
  <c r="BQ23" i="1"/>
  <c r="BP24" i="1"/>
  <c r="BQ24" i="1"/>
  <c r="BP25" i="1"/>
  <c r="BQ25" i="1"/>
  <c r="BP26" i="1"/>
  <c r="BQ26" i="1"/>
  <c r="BP27" i="1"/>
  <c r="BQ27" i="1"/>
  <c r="BP28" i="1"/>
  <c r="BQ28" i="1"/>
  <c r="BP29" i="1"/>
  <c r="BQ29" i="1"/>
  <c r="BP30" i="1"/>
  <c r="BQ30" i="1"/>
  <c r="BP31" i="1"/>
  <c r="BQ31" i="1"/>
  <c r="BP32" i="1"/>
  <c r="BQ32" i="1"/>
  <c r="BP33" i="1"/>
  <c r="BQ33" i="1"/>
  <c r="BP34" i="1"/>
  <c r="BQ34" i="1"/>
  <c r="BP35" i="1"/>
  <c r="BQ35" i="1"/>
  <c r="BP36" i="1"/>
  <c r="BQ36" i="1"/>
  <c r="BP37" i="1"/>
  <c r="BQ37" i="1"/>
  <c r="BP38" i="1"/>
  <c r="BQ38" i="1"/>
  <c r="BP39" i="1"/>
  <c r="BQ39" i="1"/>
  <c r="BP40" i="1"/>
  <c r="BQ40" i="1"/>
  <c r="BP41" i="1"/>
  <c r="BQ41" i="1"/>
  <c r="BP42" i="1"/>
  <c r="BQ42" i="1"/>
  <c r="BP43" i="1"/>
  <c r="BQ43" i="1"/>
  <c r="BP44" i="1"/>
  <c r="BQ44" i="1"/>
  <c r="BP45" i="1"/>
  <c r="BQ45" i="1"/>
  <c r="BP46" i="1"/>
  <c r="BQ46" i="1"/>
  <c r="BP47" i="1"/>
  <c r="BQ47" i="1"/>
  <c r="BP48" i="1"/>
  <c r="BQ48" i="1"/>
  <c r="BP49" i="1"/>
  <c r="BQ49" i="1"/>
  <c r="BP50" i="1"/>
  <c r="BQ50" i="1"/>
  <c r="BP51" i="1"/>
  <c r="BQ51" i="1"/>
  <c r="BP52" i="1"/>
  <c r="BQ52" i="1"/>
  <c r="BP53" i="1"/>
  <c r="BQ53" i="1"/>
  <c r="BP54" i="1"/>
  <c r="BQ54" i="1"/>
  <c r="BP55" i="1"/>
  <c r="BQ55" i="1"/>
  <c r="BP56" i="1"/>
  <c r="BQ56" i="1"/>
  <c r="BP57" i="1"/>
  <c r="BQ57" i="1"/>
  <c r="BP58" i="1"/>
  <c r="BQ58" i="1"/>
  <c r="BP59" i="1"/>
  <c r="BQ59" i="1"/>
  <c r="BP60" i="1"/>
  <c r="BQ60" i="1"/>
  <c r="BP61" i="1"/>
  <c r="BQ61" i="1"/>
  <c r="BP62" i="1"/>
  <c r="BQ62" i="1"/>
  <c r="BP63" i="1"/>
  <c r="BQ63" i="1"/>
  <c r="BP64" i="1"/>
  <c r="BQ64" i="1"/>
  <c r="BP65" i="1"/>
  <c r="BQ65" i="1"/>
  <c r="BP66" i="1"/>
  <c r="BQ66" i="1"/>
  <c r="BP67" i="1"/>
  <c r="BQ67" i="1"/>
  <c r="BP68" i="1"/>
  <c r="BQ68" i="1"/>
  <c r="BP69" i="1"/>
  <c r="BQ69" i="1"/>
  <c r="BP70" i="1"/>
  <c r="BQ70" i="1"/>
  <c r="BP71" i="1"/>
  <c r="BQ71" i="1"/>
  <c r="BP72" i="1"/>
  <c r="BQ72" i="1"/>
  <c r="BP73" i="1"/>
  <c r="BQ73" i="1"/>
  <c r="BP74" i="1"/>
  <c r="BQ74" i="1"/>
  <c r="BP75" i="1"/>
  <c r="BQ75" i="1"/>
  <c r="BP76" i="1"/>
  <c r="BQ76" i="1"/>
  <c r="BP77" i="1"/>
  <c r="BQ77" i="1"/>
  <c r="BP78" i="1"/>
  <c r="BQ78" i="1"/>
  <c r="BP79" i="1"/>
  <c r="BQ79" i="1"/>
  <c r="BP80" i="1"/>
  <c r="BQ80" i="1"/>
  <c r="BP81" i="1"/>
  <c r="BQ81" i="1"/>
  <c r="BP82" i="1"/>
  <c r="BQ82" i="1"/>
  <c r="BP83" i="1"/>
  <c r="BQ83" i="1"/>
  <c r="BP84" i="1"/>
  <c r="BQ84" i="1"/>
  <c r="BP85" i="1"/>
  <c r="BQ85" i="1"/>
  <c r="BP86" i="1"/>
  <c r="BQ86" i="1"/>
  <c r="BP87" i="1"/>
  <c r="BQ87" i="1"/>
  <c r="BP88" i="1"/>
  <c r="BQ88" i="1"/>
  <c r="BP89" i="1"/>
  <c r="BQ89" i="1"/>
  <c r="BP90" i="1"/>
  <c r="BQ90" i="1"/>
  <c r="BP91" i="1"/>
  <c r="BQ91" i="1"/>
  <c r="BP92" i="1"/>
  <c r="BQ92" i="1"/>
  <c r="BP93" i="1"/>
  <c r="BQ93" i="1"/>
  <c r="BP94" i="1"/>
  <c r="BQ94" i="1"/>
  <c r="BP95" i="1"/>
  <c r="BQ95" i="1"/>
  <c r="BP96" i="1"/>
  <c r="BQ96" i="1"/>
  <c r="BP97" i="1"/>
  <c r="BQ97" i="1"/>
  <c r="BP98" i="1"/>
  <c r="BQ98" i="1"/>
  <c r="BP99" i="1"/>
  <c r="BQ99" i="1"/>
  <c r="BP100" i="1"/>
  <c r="BQ100" i="1"/>
  <c r="BP101" i="1"/>
  <c r="BQ101" i="1"/>
  <c r="BP102" i="1"/>
  <c r="BQ102" i="1"/>
  <c r="BP103" i="1"/>
  <c r="BQ103" i="1"/>
  <c r="BP104" i="1"/>
  <c r="BQ104" i="1"/>
  <c r="BP105" i="1"/>
  <c r="BQ105" i="1"/>
  <c r="BP106" i="1"/>
  <c r="BQ106" i="1"/>
  <c r="BP107" i="1"/>
  <c r="BQ107" i="1"/>
  <c r="BP108" i="1"/>
  <c r="BQ108" i="1"/>
  <c r="BP109" i="1"/>
  <c r="BQ109" i="1"/>
  <c r="BP110" i="1"/>
  <c r="BQ110" i="1"/>
  <c r="BP111" i="1"/>
  <c r="BQ111" i="1"/>
  <c r="BP112" i="1"/>
  <c r="BQ112" i="1"/>
  <c r="BP113" i="1"/>
  <c r="BQ113" i="1"/>
  <c r="BP114" i="1"/>
  <c r="BQ114" i="1"/>
  <c r="BP115" i="1"/>
  <c r="BQ115" i="1"/>
  <c r="BP116" i="1"/>
  <c r="BQ116" i="1"/>
  <c r="BP117" i="1"/>
  <c r="BQ117" i="1"/>
  <c r="BP118" i="1"/>
  <c r="BQ118" i="1"/>
  <c r="BP119" i="1"/>
  <c r="BQ119" i="1"/>
  <c r="BP120" i="1"/>
  <c r="BQ120" i="1"/>
  <c r="BP121" i="1"/>
  <c r="BQ121" i="1"/>
  <c r="BP122" i="1"/>
  <c r="BQ122" i="1"/>
  <c r="BP123" i="1"/>
  <c r="BQ123" i="1"/>
  <c r="BP124" i="1"/>
  <c r="BQ124" i="1"/>
  <c r="BP125" i="1"/>
  <c r="BQ125" i="1"/>
  <c r="BP126" i="1"/>
  <c r="BQ126" i="1"/>
  <c r="BP127" i="1"/>
  <c r="BQ127" i="1"/>
  <c r="BP128" i="1"/>
  <c r="BQ128" i="1"/>
  <c r="BP129" i="1"/>
  <c r="BQ129" i="1"/>
  <c r="BP130" i="1"/>
  <c r="BQ130" i="1"/>
  <c r="BP131" i="1"/>
  <c r="BQ131" i="1"/>
  <c r="BP132" i="1"/>
  <c r="BQ132" i="1"/>
  <c r="BP133" i="1"/>
  <c r="BQ133" i="1"/>
  <c r="BP134" i="1"/>
  <c r="BQ134" i="1"/>
  <c r="BP135" i="1"/>
  <c r="BQ135" i="1"/>
  <c r="BP136" i="1"/>
  <c r="BQ136" i="1"/>
  <c r="BP137" i="1"/>
  <c r="BQ137" i="1"/>
  <c r="BP138" i="1"/>
  <c r="BQ138" i="1"/>
  <c r="BP139" i="1"/>
  <c r="BQ139" i="1"/>
  <c r="BP140" i="1"/>
  <c r="BQ140" i="1"/>
  <c r="BP141" i="1"/>
  <c r="BQ141" i="1"/>
  <c r="BP142" i="1"/>
  <c r="BQ142" i="1"/>
  <c r="BP143" i="1"/>
  <c r="BQ143" i="1"/>
  <c r="BP144" i="1"/>
  <c r="BQ144" i="1"/>
  <c r="BP145" i="1"/>
  <c r="BQ145" i="1"/>
  <c r="BP146" i="1"/>
  <c r="BQ146" i="1"/>
  <c r="BP147" i="1"/>
  <c r="BQ147" i="1"/>
  <c r="BP148" i="1"/>
  <c r="BQ148" i="1"/>
  <c r="BP149" i="1"/>
  <c r="BQ149" i="1"/>
  <c r="BP150" i="1"/>
  <c r="BQ150" i="1"/>
  <c r="BP151" i="1"/>
  <c r="BQ151" i="1"/>
  <c r="BP152" i="1"/>
  <c r="BQ152" i="1"/>
  <c r="BP153" i="1"/>
  <c r="BQ153" i="1"/>
  <c r="BP154" i="1"/>
  <c r="BQ154" i="1"/>
  <c r="BP155" i="1"/>
  <c r="BQ155" i="1"/>
  <c r="BP156" i="1"/>
  <c r="BQ156" i="1"/>
  <c r="BP157" i="1"/>
  <c r="BQ157" i="1"/>
  <c r="BP158" i="1"/>
  <c r="BQ158" i="1"/>
  <c r="BP159" i="1"/>
  <c r="BQ159" i="1"/>
  <c r="BP160" i="1"/>
  <c r="BQ160" i="1"/>
  <c r="BP161" i="1"/>
  <c r="BQ161" i="1"/>
  <c r="BP162" i="1"/>
  <c r="BQ162" i="1"/>
  <c r="BP163" i="1"/>
  <c r="BQ163" i="1"/>
  <c r="BP164" i="1"/>
  <c r="BQ164" i="1"/>
  <c r="BP165" i="1"/>
  <c r="BQ165" i="1"/>
  <c r="BP166" i="1"/>
  <c r="BQ166" i="1"/>
  <c r="BP167" i="1"/>
  <c r="BQ167" i="1"/>
  <c r="BP168" i="1"/>
  <c r="BQ168" i="1"/>
  <c r="BP169" i="1"/>
  <c r="BQ169" i="1"/>
  <c r="BP170" i="1"/>
  <c r="BQ170" i="1"/>
  <c r="BP171" i="1"/>
  <c r="BQ171" i="1"/>
  <c r="BP172" i="1"/>
  <c r="BQ172" i="1"/>
  <c r="BP173" i="1"/>
  <c r="BQ173" i="1"/>
  <c r="BP174" i="1"/>
  <c r="BQ174" i="1"/>
  <c r="BP175" i="1"/>
  <c r="BQ175" i="1"/>
  <c r="BP176" i="1"/>
  <c r="BQ176" i="1"/>
  <c r="BP177" i="1"/>
  <c r="BQ177" i="1"/>
  <c r="BP178" i="1"/>
  <c r="BQ178" i="1"/>
  <c r="BP179" i="1"/>
  <c r="BQ179" i="1"/>
  <c r="BP180" i="1"/>
  <c r="BQ180" i="1"/>
  <c r="BP181" i="1"/>
  <c r="BQ181" i="1"/>
  <c r="BP182" i="1"/>
  <c r="BQ182" i="1"/>
  <c r="BP183" i="1"/>
  <c r="BQ183" i="1"/>
  <c r="BP184" i="1"/>
  <c r="BQ184" i="1"/>
  <c r="BP185" i="1"/>
  <c r="BQ185" i="1"/>
  <c r="BP186" i="1"/>
  <c r="BQ186" i="1"/>
  <c r="BP187" i="1"/>
  <c r="BQ187" i="1"/>
  <c r="BP188" i="1"/>
  <c r="BQ188" i="1"/>
  <c r="BP189" i="1"/>
  <c r="BQ189" i="1"/>
  <c r="BP190" i="1"/>
  <c r="BQ190" i="1"/>
  <c r="BP191" i="1"/>
  <c r="BQ191" i="1"/>
  <c r="BP192" i="1"/>
  <c r="BQ192" i="1"/>
  <c r="BP193" i="1"/>
  <c r="BQ193" i="1"/>
  <c r="BP194" i="1"/>
  <c r="BQ194" i="1"/>
  <c r="BP195" i="1"/>
  <c r="BQ195" i="1"/>
  <c r="BP196" i="1"/>
  <c r="BQ196" i="1"/>
  <c r="BP197" i="1"/>
  <c r="BQ197" i="1"/>
  <c r="BP198" i="1"/>
  <c r="BQ198" i="1"/>
  <c r="BP199" i="1"/>
  <c r="BQ199" i="1"/>
  <c r="BP200" i="1"/>
  <c r="BQ200" i="1"/>
  <c r="BP201" i="1"/>
  <c r="BQ201" i="1"/>
  <c r="BP202" i="1"/>
  <c r="BQ202" i="1"/>
  <c r="BP203" i="1"/>
  <c r="BQ203" i="1"/>
  <c r="BP204" i="1"/>
  <c r="BQ204" i="1"/>
  <c r="BP205" i="1"/>
  <c r="BQ205" i="1"/>
  <c r="BP206" i="1"/>
  <c r="BQ206" i="1"/>
  <c r="BP207" i="1"/>
  <c r="BQ207" i="1"/>
  <c r="BP208" i="1"/>
  <c r="BQ208" i="1"/>
  <c r="BP209" i="1"/>
  <c r="BQ209" i="1"/>
  <c r="BP210" i="1"/>
  <c r="BQ210" i="1"/>
  <c r="BP211" i="1"/>
  <c r="BQ211" i="1"/>
  <c r="BP212" i="1"/>
  <c r="BQ212" i="1"/>
  <c r="BP213" i="1"/>
  <c r="BQ213" i="1"/>
  <c r="BP214" i="1"/>
  <c r="BQ214" i="1"/>
  <c r="BP215" i="1"/>
  <c r="BQ215" i="1"/>
  <c r="BP216" i="1"/>
  <c r="BQ216" i="1"/>
  <c r="BP217" i="1"/>
  <c r="BQ217" i="1"/>
  <c r="BP218" i="1"/>
  <c r="BQ218" i="1"/>
  <c r="BP219" i="1"/>
  <c r="BQ219" i="1"/>
  <c r="BP220" i="1"/>
  <c r="BQ220" i="1"/>
  <c r="BP221" i="1"/>
  <c r="BQ221" i="1"/>
  <c r="BP222" i="1"/>
  <c r="BQ222" i="1"/>
  <c r="BP223" i="1"/>
  <c r="BQ223" i="1"/>
  <c r="BP224" i="1"/>
  <c r="BQ224" i="1"/>
  <c r="BP225" i="1"/>
  <c r="BQ225" i="1"/>
  <c r="BP226" i="1"/>
  <c r="BQ226" i="1"/>
  <c r="BP227" i="1"/>
  <c r="BQ227" i="1"/>
  <c r="BP228" i="1"/>
  <c r="BQ228" i="1"/>
  <c r="BP229" i="1"/>
  <c r="BQ229" i="1"/>
  <c r="BP230" i="1"/>
  <c r="BQ230" i="1"/>
  <c r="BP231" i="1"/>
  <c r="BQ231" i="1"/>
  <c r="BP232" i="1"/>
  <c r="BQ232" i="1"/>
  <c r="BP233" i="1"/>
  <c r="BQ233" i="1"/>
  <c r="BP234" i="1"/>
  <c r="BQ234" i="1"/>
  <c r="BP235" i="1"/>
  <c r="BQ235" i="1"/>
  <c r="BP236" i="1"/>
  <c r="BQ236" i="1"/>
  <c r="BP237" i="1"/>
  <c r="BQ237" i="1"/>
  <c r="BP238" i="1"/>
  <c r="BQ238" i="1"/>
  <c r="BP239" i="1"/>
  <c r="BQ239" i="1"/>
  <c r="BP240" i="1"/>
  <c r="BQ240" i="1"/>
  <c r="BP241" i="1"/>
  <c r="BQ241" i="1"/>
  <c r="BP242" i="1"/>
  <c r="BQ242" i="1"/>
  <c r="BP243" i="1"/>
  <c r="BQ243" i="1"/>
  <c r="BP244" i="1"/>
  <c r="BQ244" i="1"/>
  <c r="BP245" i="1"/>
  <c r="BQ245" i="1"/>
  <c r="BP246" i="1"/>
  <c r="BQ246" i="1"/>
  <c r="BP247" i="1"/>
  <c r="BQ247" i="1"/>
  <c r="BP248" i="1"/>
  <c r="BQ248" i="1"/>
  <c r="BP249" i="1"/>
  <c r="BQ249" i="1"/>
  <c r="BP250" i="1"/>
  <c r="BQ250" i="1"/>
  <c r="BP251" i="1"/>
  <c r="BQ251" i="1"/>
  <c r="BP252" i="1"/>
  <c r="BQ252" i="1"/>
  <c r="BP253" i="1"/>
  <c r="BQ253" i="1"/>
  <c r="BP254" i="1"/>
  <c r="BQ254" i="1"/>
  <c r="BP255" i="1"/>
  <c r="BQ255" i="1"/>
  <c r="BP256" i="1"/>
  <c r="BQ256" i="1"/>
  <c r="BP257" i="1"/>
  <c r="BQ257" i="1"/>
  <c r="BP258" i="1"/>
  <c r="BQ258" i="1"/>
  <c r="BP259" i="1"/>
  <c r="BQ259" i="1"/>
  <c r="BP260" i="1"/>
  <c r="BQ260" i="1"/>
  <c r="BP261" i="1"/>
  <c r="BQ261" i="1"/>
  <c r="BP262" i="1"/>
  <c r="BQ262" i="1"/>
  <c r="BP263" i="1"/>
  <c r="BQ263" i="1"/>
  <c r="BP264" i="1"/>
  <c r="BQ264" i="1"/>
  <c r="BP265" i="1"/>
  <c r="BQ265" i="1"/>
  <c r="BP266" i="1"/>
  <c r="BQ266" i="1"/>
  <c r="BP267" i="1"/>
  <c r="BQ267" i="1"/>
  <c r="BP268" i="1"/>
  <c r="BQ268" i="1"/>
  <c r="BP269" i="1"/>
  <c r="BQ269" i="1"/>
  <c r="BP270" i="1"/>
  <c r="BQ270" i="1"/>
  <c r="BP271" i="1"/>
  <c r="BQ271" i="1"/>
  <c r="BP272" i="1"/>
  <c r="BQ272" i="1"/>
  <c r="BP273" i="1"/>
  <c r="BQ273" i="1"/>
  <c r="BP274" i="1"/>
  <c r="BQ274" i="1"/>
  <c r="BP275" i="1"/>
  <c r="BQ275" i="1"/>
  <c r="BP276" i="1"/>
  <c r="BQ276" i="1"/>
  <c r="BP277" i="1"/>
  <c r="BQ277" i="1"/>
  <c r="BP278" i="1"/>
  <c r="BQ278" i="1"/>
  <c r="BP279" i="1"/>
  <c r="BQ279" i="1"/>
  <c r="BP280" i="1"/>
  <c r="BQ280" i="1"/>
  <c r="BP281" i="1"/>
  <c r="BQ281" i="1"/>
  <c r="BP282" i="1"/>
  <c r="BQ282" i="1"/>
  <c r="BP283" i="1"/>
  <c r="BQ283" i="1"/>
  <c r="BP284" i="1"/>
  <c r="BQ284" i="1"/>
  <c r="BP285" i="1"/>
  <c r="BQ285" i="1"/>
  <c r="BP286" i="1"/>
  <c r="BQ286" i="1"/>
  <c r="BP287" i="1"/>
  <c r="BQ287" i="1"/>
  <c r="BP288" i="1"/>
  <c r="BQ288" i="1"/>
  <c r="BP289" i="1"/>
  <c r="BQ289" i="1"/>
  <c r="BP290" i="1"/>
  <c r="BQ290" i="1"/>
  <c r="BP291" i="1"/>
  <c r="BQ291" i="1"/>
  <c r="BP292" i="1"/>
  <c r="BQ292" i="1"/>
  <c r="BP293" i="1"/>
  <c r="BQ293" i="1"/>
  <c r="BP294" i="1"/>
  <c r="BQ294" i="1"/>
  <c r="BP295" i="1"/>
  <c r="BQ295" i="1"/>
  <c r="BP296" i="1"/>
  <c r="BQ296" i="1"/>
  <c r="BP297" i="1"/>
  <c r="BQ297" i="1"/>
  <c r="BP298" i="1"/>
  <c r="BQ298" i="1"/>
  <c r="BP299" i="1"/>
  <c r="BQ299" i="1"/>
  <c r="BP300" i="1"/>
  <c r="BQ300" i="1"/>
  <c r="BP301" i="1"/>
  <c r="BQ301" i="1"/>
  <c r="BP302" i="1"/>
  <c r="BQ302" i="1"/>
  <c r="BP303" i="1"/>
  <c r="BQ303" i="1"/>
  <c r="BP304" i="1"/>
  <c r="BQ304" i="1"/>
  <c r="BP305" i="1"/>
  <c r="BQ305" i="1"/>
  <c r="BP306" i="1"/>
  <c r="BQ306" i="1"/>
  <c r="BP307" i="1"/>
  <c r="BQ307" i="1"/>
  <c r="BP308" i="1"/>
  <c r="BQ308" i="1"/>
  <c r="BP309" i="1"/>
  <c r="BQ309" i="1"/>
  <c r="BP310" i="1"/>
  <c r="BQ310" i="1"/>
  <c r="BP311" i="1"/>
  <c r="BQ311" i="1"/>
  <c r="BP312" i="1"/>
  <c r="BQ312" i="1"/>
  <c r="BP313" i="1"/>
  <c r="BQ313" i="1"/>
  <c r="BP314" i="1"/>
  <c r="BQ314" i="1"/>
  <c r="BP315" i="1"/>
  <c r="BQ315" i="1"/>
  <c r="BP316" i="1"/>
  <c r="BQ316" i="1"/>
  <c r="BP317" i="1"/>
  <c r="BQ317" i="1"/>
  <c r="BP318" i="1"/>
  <c r="BQ318" i="1"/>
  <c r="BP319" i="1"/>
  <c r="BQ319" i="1"/>
  <c r="BP320" i="1"/>
  <c r="BQ320" i="1"/>
  <c r="BP321" i="1"/>
  <c r="BQ321" i="1"/>
  <c r="BP322" i="1"/>
  <c r="BQ322" i="1"/>
  <c r="BP323" i="1"/>
  <c r="BQ323" i="1"/>
  <c r="BP324" i="1"/>
  <c r="BQ324" i="1"/>
  <c r="BP325" i="1"/>
  <c r="BQ325" i="1"/>
  <c r="BP326" i="1"/>
  <c r="BQ326" i="1"/>
  <c r="BP327" i="1"/>
  <c r="BQ327" i="1"/>
  <c r="BP328" i="1"/>
  <c r="BQ328" i="1"/>
  <c r="BP329" i="1"/>
  <c r="BQ329" i="1"/>
  <c r="BP330" i="1"/>
  <c r="BQ330" i="1"/>
  <c r="BP331" i="1"/>
  <c r="BQ331" i="1"/>
  <c r="BP332" i="1"/>
  <c r="BQ332" i="1"/>
  <c r="BP333" i="1"/>
  <c r="BQ333" i="1"/>
  <c r="BP334" i="1"/>
  <c r="BQ334" i="1"/>
  <c r="BP335" i="1"/>
  <c r="BQ335" i="1"/>
  <c r="BP336" i="1"/>
  <c r="BQ336" i="1"/>
  <c r="BP337" i="1"/>
  <c r="BQ337" i="1"/>
  <c r="BP338" i="1"/>
  <c r="BQ338" i="1"/>
  <c r="BP339" i="1"/>
  <c r="BQ339" i="1"/>
  <c r="BP340" i="1"/>
  <c r="BQ340" i="1"/>
  <c r="BP341" i="1"/>
  <c r="BQ341" i="1"/>
  <c r="BP342" i="1"/>
  <c r="BQ342" i="1"/>
  <c r="BP343" i="1"/>
  <c r="BQ343" i="1"/>
  <c r="BP344" i="1"/>
  <c r="BQ344" i="1"/>
  <c r="BP345" i="1"/>
  <c r="BQ345" i="1"/>
  <c r="BP346" i="1"/>
  <c r="BQ346" i="1"/>
  <c r="BP347" i="1"/>
  <c r="BQ347" i="1"/>
  <c r="BP348" i="1"/>
  <c r="BQ348" i="1"/>
  <c r="BP349" i="1"/>
  <c r="BQ349" i="1"/>
  <c r="BP350" i="1"/>
  <c r="BQ350" i="1"/>
  <c r="BP351" i="1"/>
  <c r="BQ351" i="1"/>
  <c r="BP352" i="1"/>
  <c r="BQ352" i="1"/>
  <c r="BP353" i="1"/>
  <c r="BQ353" i="1"/>
  <c r="BP354" i="1"/>
  <c r="BQ354" i="1"/>
  <c r="BP355" i="1"/>
  <c r="BQ355" i="1"/>
  <c r="BP356" i="1"/>
  <c r="BQ356" i="1"/>
  <c r="BP357" i="1"/>
  <c r="BQ357" i="1"/>
  <c r="BP358" i="1"/>
  <c r="BQ358" i="1"/>
  <c r="BP359" i="1"/>
  <c r="BQ359" i="1"/>
  <c r="BP360" i="1"/>
  <c r="BQ360" i="1"/>
  <c r="BP361" i="1"/>
  <c r="BQ361" i="1"/>
  <c r="BP362" i="1"/>
  <c r="BQ362" i="1"/>
  <c r="BP363" i="1"/>
  <c r="BQ363" i="1"/>
  <c r="BP364" i="1"/>
  <c r="BQ364" i="1"/>
  <c r="BP365" i="1"/>
  <c r="BQ365" i="1"/>
  <c r="BP366" i="1"/>
  <c r="BQ366" i="1"/>
  <c r="BP367" i="1"/>
  <c r="BQ367" i="1"/>
  <c r="BP368" i="1"/>
  <c r="BQ368" i="1"/>
  <c r="BP369" i="1"/>
  <c r="BQ369" i="1"/>
  <c r="BP370" i="1"/>
  <c r="BQ370" i="1"/>
  <c r="BP371" i="1"/>
  <c r="BQ371" i="1"/>
  <c r="BP372" i="1"/>
  <c r="BQ372" i="1"/>
  <c r="BP373" i="1"/>
  <c r="BQ373" i="1"/>
  <c r="BP374" i="1"/>
  <c r="BQ374" i="1"/>
  <c r="BP375" i="1"/>
  <c r="BQ375" i="1"/>
  <c r="BP376" i="1"/>
  <c r="BQ376" i="1"/>
  <c r="BP377" i="1"/>
  <c r="BQ377" i="1"/>
  <c r="BP378" i="1"/>
  <c r="BQ378" i="1"/>
  <c r="BP379" i="1"/>
  <c r="BQ379" i="1"/>
  <c r="BP380" i="1"/>
  <c r="BQ380" i="1"/>
  <c r="BP381" i="1"/>
  <c r="BQ381" i="1"/>
  <c r="BP382" i="1"/>
  <c r="BQ382" i="1"/>
  <c r="BP383" i="1"/>
  <c r="BQ383" i="1"/>
  <c r="BP384" i="1"/>
  <c r="BQ384" i="1"/>
  <c r="BP385" i="1"/>
  <c r="BQ385" i="1"/>
  <c r="BP386" i="1"/>
  <c r="BQ386" i="1"/>
  <c r="BP387" i="1"/>
  <c r="BQ387" i="1"/>
  <c r="BP388" i="1"/>
  <c r="BQ388" i="1"/>
  <c r="BP389" i="1"/>
  <c r="BQ389" i="1"/>
  <c r="BP390" i="1"/>
  <c r="BQ390" i="1"/>
  <c r="BP391" i="1"/>
  <c r="BQ391" i="1"/>
  <c r="BP392" i="1"/>
  <c r="BQ392" i="1"/>
  <c r="BP393" i="1"/>
  <c r="BQ393" i="1"/>
  <c r="BP394" i="1"/>
  <c r="BQ394" i="1"/>
  <c r="BP395" i="1"/>
  <c r="BQ395" i="1"/>
  <c r="BP396" i="1"/>
  <c r="BQ396" i="1"/>
  <c r="BP397" i="1"/>
  <c r="BQ397" i="1"/>
  <c r="BP398" i="1"/>
  <c r="BQ398" i="1"/>
  <c r="BP399" i="1"/>
  <c r="BQ399" i="1"/>
  <c r="BP400" i="1"/>
  <c r="BQ400" i="1"/>
  <c r="BP401" i="1"/>
  <c r="BQ401" i="1"/>
  <c r="BP402" i="1"/>
  <c r="BQ402" i="1"/>
  <c r="BP403" i="1"/>
  <c r="BQ403" i="1"/>
  <c r="BP404" i="1"/>
  <c r="BQ404" i="1"/>
  <c r="BP405" i="1"/>
  <c r="BQ405" i="1"/>
  <c r="BP406" i="1"/>
  <c r="BQ406" i="1"/>
  <c r="BP407" i="1"/>
  <c r="BQ407" i="1"/>
  <c r="BP408" i="1"/>
  <c r="BQ408" i="1"/>
  <c r="BP409" i="1"/>
  <c r="BQ409" i="1"/>
  <c r="BP410" i="1"/>
  <c r="BQ410" i="1"/>
  <c r="BP411" i="1"/>
  <c r="BQ411" i="1"/>
  <c r="BP412" i="1"/>
  <c r="BQ412" i="1"/>
  <c r="BP413" i="1"/>
  <c r="BQ413" i="1"/>
  <c r="BP414" i="1"/>
  <c r="BQ414" i="1"/>
  <c r="BP415" i="1"/>
  <c r="BQ415" i="1"/>
  <c r="BP416" i="1"/>
  <c r="BQ416" i="1"/>
  <c r="BP417" i="1"/>
  <c r="BQ417" i="1"/>
  <c r="BP418" i="1"/>
  <c r="BQ418" i="1"/>
  <c r="BP419" i="1"/>
  <c r="BQ419" i="1"/>
  <c r="BP420" i="1"/>
  <c r="BQ420" i="1"/>
  <c r="BP421" i="1"/>
  <c r="BQ421" i="1"/>
  <c r="BP422" i="1"/>
  <c r="BQ422" i="1"/>
  <c r="BP423" i="1"/>
  <c r="BQ423" i="1"/>
  <c r="BP424" i="1"/>
  <c r="BQ424" i="1"/>
  <c r="BP425" i="1"/>
  <c r="BQ425" i="1"/>
  <c r="BP426" i="1"/>
  <c r="BQ426" i="1"/>
  <c r="BP427" i="1"/>
  <c r="BQ427" i="1"/>
  <c r="BP428" i="1"/>
  <c r="BQ428" i="1"/>
  <c r="BP429" i="1"/>
  <c r="BQ429" i="1"/>
  <c r="BP430" i="1"/>
  <c r="BQ430" i="1"/>
  <c r="BP431" i="1"/>
  <c r="BQ431" i="1"/>
  <c r="BP432" i="1"/>
  <c r="BQ432" i="1"/>
  <c r="BP433" i="1"/>
  <c r="BQ433" i="1"/>
  <c r="BP434" i="1"/>
  <c r="BQ434" i="1"/>
  <c r="BP435" i="1"/>
  <c r="BQ435" i="1"/>
  <c r="BP436" i="1"/>
  <c r="BQ436" i="1"/>
  <c r="BP437" i="1"/>
  <c r="BQ437" i="1"/>
  <c r="BP438" i="1"/>
  <c r="BQ438" i="1"/>
  <c r="BP439" i="1"/>
  <c r="BQ439" i="1"/>
  <c r="BP440" i="1"/>
  <c r="BQ440" i="1"/>
  <c r="BP441" i="1"/>
  <c r="BQ441" i="1"/>
  <c r="BP442" i="1"/>
  <c r="BQ442" i="1"/>
  <c r="BP443" i="1"/>
  <c r="BQ443" i="1"/>
  <c r="BP444" i="1"/>
  <c r="BQ444" i="1"/>
  <c r="BP445" i="1"/>
  <c r="BQ445" i="1"/>
  <c r="BP446" i="1"/>
  <c r="BQ446" i="1"/>
  <c r="BP447" i="1"/>
  <c r="BQ447" i="1"/>
  <c r="BP448" i="1"/>
  <c r="BQ448" i="1"/>
  <c r="BP449" i="1"/>
  <c r="BQ449" i="1"/>
  <c r="BP450" i="1"/>
  <c r="BQ450" i="1"/>
  <c r="BP451" i="1"/>
  <c r="BQ451" i="1"/>
  <c r="BP452" i="1"/>
  <c r="BQ452" i="1"/>
  <c r="BP453" i="1"/>
  <c r="BQ453" i="1"/>
  <c r="BP454" i="1"/>
  <c r="BQ454" i="1"/>
  <c r="BP455" i="1"/>
  <c r="BQ455" i="1"/>
  <c r="BP456" i="1"/>
  <c r="BQ456" i="1"/>
  <c r="BP457" i="1"/>
  <c r="BQ457" i="1"/>
  <c r="BP458" i="1"/>
  <c r="BQ458" i="1"/>
  <c r="BP459" i="1"/>
  <c r="BQ459" i="1"/>
  <c r="BP460" i="1"/>
  <c r="BQ460" i="1"/>
  <c r="BP461" i="1"/>
  <c r="BQ461" i="1"/>
  <c r="BP462" i="1"/>
  <c r="BQ462" i="1"/>
  <c r="BP463" i="1"/>
  <c r="BQ463" i="1"/>
  <c r="BP464" i="1"/>
  <c r="BQ464" i="1"/>
  <c r="BP465" i="1"/>
  <c r="BQ465" i="1"/>
  <c r="BP466" i="1"/>
  <c r="BQ466" i="1"/>
  <c r="BP467" i="1"/>
  <c r="BQ467" i="1"/>
  <c r="BP468" i="1"/>
  <c r="BQ468" i="1"/>
  <c r="BP469" i="1"/>
  <c r="BQ469" i="1"/>
  <c r="BP470" i="1"/>
  <c r="BQ470" i="1"/>
  <c r="BP471" i="1"/>
  <c r="BQ471" i="1"/>
  <c r="BP472" i="1"/>
  <c r="BQ472" i="1"/>
  <c r="BP473" i="1"/>
  <c r="BQ473" i="1"/>
  <c r="BP474" i="1"/>
  <c r="BQ474" i="1"/>
  <c r="BP475" i="1"/>
  <c r="BQ475" i="1"/>
  <c r="BP476" i="1"/>
  <c r="BQ476" i="1"/>
  <c r="BP477" i="1"/>
  <c r="BQ477" i="1"/>
  <c r="BP478" i="1"/>
  <c r="BQ478" i="1"/>
  <c r="BP479" i="1"/>
  <c r="BQ479" i="1"/>
  <c r="BP480" i="1"/>
  <c r="BQ480" i="1"/>
  <c r="BP481" i="1"/>
  <c r="BQ481" i="1"/>
  <c r="BP482" i="1"/>
  <c r="BQ482" i="1"/>
  <c r="BP483" i="1"/>
  <c r="BQ483" i="1"/>
  <c r="BP484" i="1"/>
  <c r="BQ484" i="1"/>
  <c r="BP485" i="1"/>
  <c r="BQ485" i="1"/>
  <c r="BP486" i="1"/>
  <c r="BQ486" i="1"/>
  <c r="BP487" i="1"/>
  <c r="BQ487" i="1"/>
  <c r="BP488" i="1"/>
  <c r="BQ488" i="1"/>
  <c r="BP489" i="1"/>
  <c r="BQ489" i="1"/>
  <c r="BP490" i="1"/>
  <c r="BQ490" i="1"/>
  <c r="BP491" i="1"/>
  <c r="BQ491" i="1"/>
  <c r="BP492" i="1"/>
  <c r="BQ492" i="1"/>
  <c r="BP493" i="1"/>
  <c r="BQ493" i="1"/>
  <c r="BP494" i="1"/>
  <c r="BQ494" i="1"/>
  <c r="BP495" i="1"/>
  <c r="BQ495" i="1"/>
  <c r="BP496" i="1"/>
  <c r="BQ496" i="1"/>
  <c r="BQ497" i="1" l="1"/>
  <c r="BQ498" i="1"/>
  <c r="BQ499" i="1"/>
  <c r="BQ500" i="1"/>
  <c r="BQ501" i="1"/>
  <c r="BQ502" i="1"/>
  <c r="BQ503" i="1"/>
  <c r="BQ504" i="1"/>
  <c r="BQ505" i="1"/>
  <c r="BQ506" i="1"/>
  <c r="BQ507" i="1"/>
  <c r="BQ508" i="1"/>
  <c r="BQ509" i="1"/>
  <c r="BQ510" i="1"/>
  <c r="BP511" i="1"/>
  <c r="BQ511" i="1"/>
  <c r="BP512" i="1"/>
  <c r="BQ512" i="1"/>
  <c r="BP513" i="1"/>
  <c r="BQ513" i="1"/>
  <c r="BP514" i="1"/>
  <c r="BQ514" i="1"/>
  <c r="BP515" i="1"/>
  <c r="BQ515" i="1"/>
  <c r="BP516" i="1"/>
  <c r="BQ516" i="1"/>
  <c r="BP517" i="1"/>
  <c r="BQ517" i="1"/>
  <c r="BP518" i="1"/>
  <c r="BQ518" i="1"/>
  <c r="BP519" i="1"/>
  <c r="BQ519" i="1"/>
  <c r="BP520" i="1"/>
  <c r="BQ520" i="1"/>
  <c r="BP521" i="1"/>
  <c r="BQ521" i="1"/>
  <c r="BP522" i="1"/>
  <c r="BQ522" i="1"/>
  <c r="BP523" i="1"/>
  <c r="BQ523" i="1"/>
  <c r="BP524" i="1"/>
  <c r="BQ524" i="1"/>
  <c r="BP525" i="1"/>
  <c r="BQ525" i="1"/>
  <c r="BP526" i="1"/>
  <c r="BQ526" i="1"/>
  <c r="BP527" i="1"/>
  <c r="BQ527" i="1"/>
  <c r="BP528" i="1"/>
  <c r="BQ528" i="1"/>
  <c r="BP529" i="1"/>
  <c r="BQ529" i="1"/>
  <c r="BP530" i="1"/>
  <c r="BQ530" i="1"/>
  <c r="BP531" i="1"/>
  <c r="BQ531" i="1"/>
  <c r="BP532" i="1"/>
  <c r="BQ532" i="1"/>
  <c r="BP533" i="1"/>
  <c r="BQ533" i="1"/>
  <c r="BP534" i="1"/>
  <c r="BQ534" i="1"/>
  <c r="BP535" i="1"/>
  <c r="BQ535" i="1"/>
  <c r="BP536" i="1"/>
  <c r="BQ536" i="1"/>
  <c r="BP537" i="1"/>
  <c r="BQ537" i="1"/>
  <c r="BP538" i="1"/>
  <c r="BQ538" i="1"/>
  <c r="BP539" i="1"/>
  <c r="BQ539" i="1"/>
  <c r="BP540" i="1"/>
  <c r="BQ540" i="1"/>
  <c r="BP541" i="1"/>
  <c r="BQ541" i="1"/>
  <c r="BP542" i="1"/>
  <c r="BQ542" i="1"/>
  <c r="BP543" i="1"/>
  <c r="BQ543" i="1"/>
  <c r="BP544" i="1"/>
  <c r="BQ544" i="1"/>
  <c r="BP545" i="1"/>
  <c r="BQ545" i="1"/>
  <c r="BP546" i="1"/>
  <c r="BQ546" i="1"/>
  <c r="BP547" i="1"/>
  <c r="BQ547" i="1"/>
  <c r="BP548" i="1"/>
  <c r="BQ548" i="1"/>
  <c r="BP549" i="1"/>
  <c r="BQ549" i="1"/>
  <c r="BP550" i="1"/>
  <c r="BQ550" i="1"/>
  <c r="BP551" i="1"/>
  <c r="BQ551" i="1"/>
  <c r="BP552" i="1"/>
  <c r="BQ552" i="1"/>
  <c r="BP553" i="1"/>
  <c r="BQ553" i="1"/>
  <c r="BP554" i="1"/>
  <c r="BQ554" i="1"/>
  <c r="BP555" i="1"/>
  <c r="BQ555" i="1"/>
  <c r="BP556" i="1"/>
  <c r="BQ556" i="1"/>
  <c r="BP557" i="1"/>
  <c r="BQ557" i="1"/>
  <c r="BP558" i="1"/>
  <c r="BQ558" i="1"/>
  <c r="BP559" i="1"/>
  <c r="BQ559" i="1"/>
  <c r="BP560" i="1"/>
  <c r="BQ560" i="1"/>
  <c r="BP561" i="1"/>
  <c r="BQ561" i="1"/>
  <c r="BP562" i="1"/>
  <c r="BQ562" i="1"/>
  <c r="BP563" i="1"/>
  <c r="BQ563" i="1"/>
  <c r="BP564" i="1"/>
  <c r="BQ564" i="1"/>
  <c r="BP565" i="1"/>
  <c r="BQ565" i="1"/>
  <c r="BP566" i="1"/>
  <c r="BQ566" i="1"/>
  <c r="BP567" i="1"/>
  <c r="BQ567" i="1"/>
  <c r="BP568" i="1"/>
  <c r="BQ568" i="1"/>
  <c r="BP569" i="1"/>
  <c r="BQ569" i="1"/>
  <c r="BP570" i="1"/>
  <c r="BQ570" i="1"/>
  <c r="BP571" i="1"/>
  <c r="BQ571" i="1"/>
  <c r="BP572" i="1"/>
  <c r="BQ572" i="1"/>
  <c r="BP573" i="1"/>
  <c r="BQ573" i="1"/>
  <c r="BP574" i="1"/>
  <c r="BQ574" i="1"/>
  <c r="BP575" i="1"/>
  <c r="BQ575" i="1"/>
  <c r="BP576" i="1"/>
  <c r="BQ576" i="1"/>
  <c r="BP577" i="1"/>
  <c r="BQ577" i="1"/>
  <c r="BP578" i="1"/>
  <c r="BQ578" i="1"/>
  <c r="BP579" i="1"/>
  <c r="BQ579" i="1"/>
  <c r="BP580" i="1"/>
  <c r="BQ580" i="1"/>
  <c r="BB6" i="1"/>
  <c r="BB7" i="1"/>
  <c r="BB8" i="1"/>
  <c r="BB9" i="1"/>
  <c r="BB10" i="1"/>
  <c r="BB11" i="1"/>
  <c r="BB12" i="1"/>
  <c r="BB13" i="1"/>
  <c r="BB14" i="1"/>
  <c r="BB15" i="1"/>
  <c r="BB16" i="1"/>
  <c r="BB17" i="1"/>
  <c r="BC17" i="1"/>
  <c r="BB18" i="1"/>
  <c r="BC18" i="1"/>
  <c r="BB19" i="1"/>
  <c r="BC19" i="1"/>
  <c r="BB20" i="1"/>
  <c r="BC20" i="1"/>
  <c r="BB21" i="1"/>
  <c r="BC21" i="1"/>
  <c r="BB22" i="1"/>
  <c r="BC22" i="1"/>
  <c r="BB23" i="1"/>
  <c r="BC23" i="1"/>
  <c r="BB24" i="1"/>
  <c r="BC24" i="1"/>
  <c r="BB25" i="1"/>
  <c r="BC25" i="1"/>
  <c r="BB26" i="1"/>
  <c r="BC26" i="1"/>
  <c r="BB27" i="1"/>
  <c r="BC27" i="1"/>
  <c r="BB28" i="1"/>
  <c r="BC28" i="1"/>
  <c r="BB29" i="1"/>
  <c r="BC29" i="1"/>
  <c r="BB30" i="1"/>
  <c r="BC30" i="1"/>
  <c r="BB31" i="1"/>
  <c r="BC31" i="1"/>
  <c r="BB32" i="1"/>
  <c r="BC32" i="1"/>
  <c r="BB33" i="1"/>
  <c r="BC33" i="1"/>
  <c r="BB34" i="1"/>
  <c r="BC34" i="1"/>
  <c r="BB35" i="1"/>
  <c r="BC35" i="1"/>
  <c r="BB36" i="1"/>
  <c r="BC36" i="1"/>
  <c r="BB37" i="1"/>
  <c r="BC37" i="1"/>
  <c r="BB38" i="1"/>
  <c r="BC38" i="1"/>
  <c r="BB39" i="1"/>
  <c r="BC39" i="1"/>
  <c r="BB40" i="1"/>
  <c r="BC40" i="1"/>
  <c r="BB41" i="1"/>
  <c r="BC41" i="1"/>
  <c r="BB42" i="1"/>
  <c r="BC42" i="1"/>
  <c r="BB43" i="1"/>
  <c r="BC43" i="1"/>
  <c r="BB44" i="1"/>
  <c r="BC44" i="1"/>
  <c r="BB45" i="1"/>
  <c r="BC45" i="1"/>
  <c r="BB46" i="1"/>
  <c r="BC46" i="1"/>
  <c r="BB47" i="1"/>
  <c r="BC47" i="1"/>
  <c r="BB48" i="1"/>
  <c r="BC48" i="1"/>
  <c r="BB49" i="1"/>
  <c r="BC49" i="1"/>
  <c r="BB50" i="1"/>
  <c r="BC50" i="1"/>
  <c r="BB51" i="1"/>
  <c r="BC51" i="1"/>
  <c r="BB52" i="1"/>
  <c r="BC52" i="1"/>
  <c r="BB53" i="1"/>
  <c r="BC53" i="1"/>
  <c r="BB54" i="1"/>
  <c r="BC54" i="1"/>
  <c r="BB55" i="1"/>
  <c r="BC55" i="1"/>
  <c r="BB56" i="1"/>
  <c r="BC56" i="1"/>
  <c r="BB57" i="1"/>
  <c r="BC57" i="1"/>
  <c r="BB58" i="1"/>
  <c r="BC58" i="1"/>
  <c r="BB59" i="1"/>
  <c r="BC59" i="1"/>
  <c r="BB60" i="1"/>
  <c r="BC60" i="1"/>
  <c r="BB61" i="1"/>
  <c r="BC61" i="1"/>
  <c r="BB62" i="1"/>
  <c r="BC62" i="1"/>
  <c r="BB63" i="1"/>
  <c r="BC63" i="1"/>
  <c r="BB64" i="1"/>
  <c r="BC64" i="1"/>
  <c r="BB65" i="1"/>
  <c r="BC65" i="1"/>
  <c r="BB66" i="1"/>
  <c r="BC66" i="1"/>
  <c r="BB67" i="1"/>
  <c r="BC67" i="1"/>
  <c r="BB68" i="1"/>
  <c r="BC68" i="1"/>
  <c r="BB69" i="1"/>
  <c r="BC69" i="1"/>
  <c r="BB70" i="1"/>
  <c r="BC70" i="1"/>
  <c r="BB71" i="1"/>
  <c r="BC71" i="1"/>
  <c r="BB72" i="1"/>
  <c r="BC72" i="1"/>
  <c r="BB73" i="1"/>
  <c r="BC73" i="1"/>
  <c r="BB74" i="1"/>
  <c r="BC74" i="1"/>
  <c r="BB75" i="1"/>
  <c r="BC75" i="1"/>
  <c r="BB76" i="1"/>
  <c r="BC76" i="1"/>
  <c r="BB77" i="1"/>
  <c r="BC77" i="1"/>
  <c r="BB78" i="1"/>
  <c r="BC78" i="1"/>
  <c r="BB79" i="1"/>
  <c r="BC79" i="1"/>
  <c r="BB80" i="1"/>
  <c r="BC80" i="1"/>
  <c r="BB81" i="1"/>
  <c r="BC81" i="1"/>
  <c r="BB82" i="1"/>
  <c r="BC82" i="1"/>
  <c r="BB83" i="1"/>
  <c r="BC83" i="1"/>
  <c r="BB84" i="1"/>
  <c r="BC84" i="1"/>
  <c r="BB85" i="1"/>
  <c r="BC85" i="1"/>
  <c r="BB86" i="1"/>
  <c r="BC86" i="1"/>
  <c r="BB87" i="1"/>
  <c r="BC87" i="1"/>
  <c r="BB88" i="1"/>
  <c r="BC88" i="1"/>
  <c r="BB89" i="1"/>
  <c r="BC89" i="1"/>
  <c r="BB90" i="1"/>
  <c r="BC90" i="1"/>
  <c r="BB91" i="1"/>
  <c r="BC91" i="1"/>
  <c r="BB92" i="1"/>
  <c r="BC92" i="1"/>
  <c r="BB93" i="1"/>
  <c r="BC93" i="1"/>
  <c r="BB94" i="1"/>
  <c r="BC94" i="1"/>
  <c r="BB95" i="1"/>
  <c r="BC95" i="1"/>
  <c r="BB96" i="1"/>
  <c r="BC96" i="1"/>
  <c r="BB97" i="1"/>
  <c r="BC97" i="1"/>
  <c r="BB98" i="1"/>
  <c r="BC98" i="1"/>
  <c r="BB99" i="1"/>
  <c r="BC99" i="1"/>
  <c r="BB100" i="1"/>
  <c r="BC100" i="1"/>
  <c r="BB101" i="1"/>
  <c r="BC101" i="1"/>
  <c r="BB102" i="1"/>
  <c r="BC102" i="1"/>
  <c r="BB103" i="1"/>
  <c r="BC103" i="1"/>
  <c r="BB104" i="1"/>
  <c r="BC104" i="1"/>
  <c r="BB105" i="1"/>
  <c r="BC105" i="1"/>
  <c r="BB106" i="1"/>
  <c r="BC106" i="1"/>
  <c r="BB107" i="1"/>
  <c r="BC107" i="1"/>
  <c r="BB108" i="1"/>
  <c r="BC108" i="1"/>
  <c r="BB109" i="1"/>
  <c r="BC109" i="1"/>
  <c r="BB110" i="1"/>
  <c r="BC110" i="1"/>
  <c r="BB111" i="1"/>
  <c r="BC111" i="1"/>
  <c r="BB112" i="1"/>
  <c r="BC112" i="1"/>
  <c r="BB113" i="1"/>
  <c r="BC113" i="1"/>
  <c r="BB114" i="1"/>
  <c r="BC114" i="1"/>
  <c r="BB115" i="1"/>
  <c r="BC115" i="1"/>
  <c r="BB116" i="1"/>
  <c r="BC116" i="1"/>
  <c r="BB117" i="1"/>
  <c r="BC117" i="1"/>
  <c r="BB118" i="1"/>
  <c r="BC118" i="1"/>
  <c r="BB119" i="1"/>
  <c r="BC119" i="1"/>
  <c r="BB120" i="1"/>
  <c r="BC120" i="1"/>
  <c r="BB121" i="1"/>
  <c r="BC121" i="1"/>
  <c r="BB122" i="1"/>
  <c r="BC122" i="1"/>
  <c r="BB123" i="1"/>
  <c r="BC123" i="1"/>
  <c r="BB124" i="1"/>
  <c r="BC124" i="1"/>
  <c r="BB125" i="1"/>
  <c r="BC125" i="1"/>
  <c r="BB126" i="1"/>
  <c r="BC126" i="1"/>
  <c r="BB127" i="1"/>
  <c r="BC127" i="1"/>
  <c r="BB128" i="1"/>
  <c r="BC128" i="1"/>
  <c r="BB129" i="1"/>
  <c r="BC129" i="1"/>
  <c r="BB130" i="1"/>
  <c r="BC130" i="1"/>
  <c r="BB131" i="1"/>
  <c r="BC131" i="1"/>
  <c r="BB132" i="1"/>
  <c r="BC132" i="1"/>
  <c r="BB133" i="1"/>
  <c r="BC133" i="1"/>
  <c r="BB134" i="1"/>
  <c r="BC134" i="1"/>
  <c r="BB135" i="1"/>
  <c r="BC135" i="1"/>
  <c r="BB136" i="1"/>
  <c r="BC136" i="1"/>
  <c r="BB137" i="1"/>
  <c r="BC137" i="1"/>
  <c r="BB138" i="1"/>
  <c r="BC138" i="1"/>
  <c r="BB139" i="1"/>
  <c r="BC139" i="1"/>
  <c r="BB140" i="1"/>
  <c r="BC140" i="1"/>
  <c r="BB141" i="1"/>
  <c r="BC141" i="1"/>
  <c r="BB142" i="1"/>
  <c r="BC142" i="1"/>
  <c r="BB143" i="1"/>
  <c r="BC143" i="1"/>
  <c r="BB144" i="1"/>
  <c r="BC144" i="1"/>
  <c r="BB145" i="1"/>
  <c r="BC145" i="1"/>
  <c r="BB146" i="1"/>
  <c r="BC146" i="1"/>
  <c r="BB147" i="1"/>
  <c r="BC147" i="1"/>
  <c r="BB148" i="1"/>
  <c r="BC148" i="1"/>
  <c r="BB149" i="1"/>
  <c r="BC149" i="1"/>
  <c r="BB150" i="1"/>
  <c r="BC150" i="1"/>
  <c r="BB151" i="1"/>
  <c r="BC151" i="1"/>
  <c r="BB152" i="1"/>
  <c r="BC152" i="1"/>
  <c r="BB153" i="1"/>
  <c r="BC153" i="1"/>
  <c r="BB154" i="1"/>
  <c r="BC154" i="1"/>
  <c r="BB155" i="1"/>
  <c r="BC155" i="1"/>
  <c r="BB156" i="1"/>
  <c r="BC156" i="1"/>
  <c r="BB157" i="1"/>
  <c r="BC157" i="1"/>
  <c r="BB158" i="1"/>
  <c r="BC158" i="1"/>
  <c r="BB159" i="1"/>
  <c r="BC159" i="1"/>
  <c r="BB160" i="1"/>
  <c r="BC160" i="1"/>
  <c r="BB161" i="1"/>
  <c r="BC161" i="1"/>
  <c r="BB162" i="1"/>
  <c r="BC162" i="1"/>
  <c r="BB163" i="1"/>
  <c r="BC163" i="1"/>
  <c r="BB164" i="1"/>
  <c r="BC164" i="1"/>
  <c r="BB165" i="1"/>
  <c r="BC165" i="1"/>
  <c r="BB166" i="1"/>
  <c r="BC166" i="1"/>
  <c r="BB167" i="1"/>
  <c r="BC167" i="1"/>
  <c r="BB168" i="1"/>
  <c r="BC168" i="1"/>
  <c r="BB169" i="1"/>
  <c r="BC169" i="1"/>
  <c r="BB170" i="1"/>
  <c r="BC170" i="1"/>
  <c r="BB171" i="1"/>
  <c r="BC171" i="1"/>
  <c r="BB172" i="1"/>
  <c r="BC172" i="1"/>
  <c r="BB173" i="1"/>
  <c r="BC173" i="1"/>
  <c r="BB174" i="1"/>
  <c r="BC174" i="1"/>
  <c r="BB175" i="1"/>
  <c r="BC175" i="1"/>
  <c r="BB176" i="1"/>
  <c r="BC176" i="1"/>
  <c r="BB177" i="1"/>
  <c r="BC177" i="1"/>
  <c r="BB178" i="1"/>
  <c r="BC178" i="1"/>
  <c r="BB179" i="1"/>
  <c r="BC179" i="1"/>
  <c r="BB180" i="1"/>
  <c r="BC180" i="1"/>
  <c r="BB181" i="1"/>
  <c r="BC181" i="1"/>
  <c r="BB182" i="1"/>
  <c r="BC182" i="1"/>
  <c r="BB183" i="1"/>
  <c r="BC183" i="1"/>
  <c r="BB184" i="1"/>
  <c r="BC184" i="1"/>
  <c r="BB185" i="1"/>
  <c r="BC185" i="1"/>
  <c r="BB186" i="1"/>
  <c r="BC186" i="1"/>
  <c r="BB187" i="1"/>
  <c r="BC187" i="1"/>
  <c r="BB188" i="1"/>
  <c r="BC188" i="1"/>
  <c r="BB189" i="1"/>
  <c r="BC189" i="1"/>
  <c r="BB190" i="1"/>
  <c r="BC190" i="1"/>
  <c r="BB191" i="1"/>
  <c r="BC191" i="1"/>
  <c r="BB192" i="1"/>
  <c r="BC192" i="1"/>
  <c r="BB193" i="1"/>
  <c r="BC193" i="1"/>
  <c r="BB194" i="1"/>
  <c r="BC194" i="1"/>
  <c r="BB195" i="1"/>
  <c r="BC195" i="1"/>
  <c r="BB196" i="1"/>
  <c r="BC196" i="1"/>
  <c r="BB197" i="1"/>
  <c r="BC197" i="1"/>
  <c r="BB198" i="1"/>
  <c r="BC198" i="1"/>
  <c r="BB199" i="1"/>
  <c r="BC199" i="1"/>
  <c r="BB200" i="1"/>
  <c r="BC200" i="1"/>
  <c r="BB201" i="1"/>
  <c r="BC201" i="1"/>
  <c r="BB202" i="1"/>
  <c r="BC202" i="1"/>
  <c r="BB203" i="1"/>
  <c r="BC203" i="1"/>
  <c r="BB204" i="1"/>
  <c r="BC204" i="1"/>
  <c r="BB205" i="1"/>
  <c r="BC205" i="1"/>
  <c r="BB206" i="1"/>
  <c r="BC206" i="1"/>
  <c r="BB207" i="1"/>
  <c r="BC207" i="1"/>
  <c r="BB208" i="1"/>
  <c r="BC208" i="1"/>
  <c r="BB209" i="1"/>
  <c r="BC209" i="1"/>
  <c r="BB210" i="1"/>
  <c r="BC210" i="1"/>
  <c r="BB211" i="1"/>
  <c r="BC211" i="1"/>
  <c r="BB212" i="1"/>
  <c r="BC212" i="1"/>
  <c r="BB213" i="1"/>
  <c r="BC213" i="1"/>
  <c r="BB214" i="1"/>
  <c r="BC214" i="1"/>
  <c r="BB215" i="1"/>
  <c r="BC215" i="1"/>
  <c r="BB216" i="1"/>
  <c r="BC216" i="1"/>
  <c r="BB217" i="1"/>
  <c r="BC217" i="1"/>
  <c r="BB218" i="1"/>
  <c r="BC218" i="1"/>
  <c r="BB219" i="1"/>
  <c r="BC219" i="1"/>
  <c r="BB220" i="1"/>
  <c r="BC220" i="1"/>
  <c r="BB221" i="1"/>
  <c r="BC221" i="1"/>
  <c r="BB222" i="1"/>
  <c r="BC222" i="1"/>
  <c r="BB223" i="1"/>
  <c r="BC223" i="1"/>
  <c r="BB224" i="1"/>
  <c r="BC224" i="1"/>
  <c r="BB225" i="1"/>
  <c r="BC225" i="1"/>
  <c r="BB226" i="1"/>
  <c r="BC226" i="1"/>
  <c r="BB227" i="1"/>
  <c r="BC227" i="1"/>
  <c r="BB228" i="1"/>
  <c r="BC228" i="1"/>
  <c r="BB229" i="1"/>
  <c r="BC229" i="1"/>
  <c r="BB230" i="1"/>
  <c r="BC230" i="1"/>
  <c r="BB231" i="1"/>
  <c r="BC231" i="1"/>
  <c r="BB232" i="1"/>
  <c r="BC232" i="1"/>
  <c r="BB233" i="1"/>
  <c r="BC233" i="1"/>
  <c r="BB234" i="1"/>
  <c r="BC234" i="1"/>
  <c r="BB235" i="1"/>
  <c r="BC235" i="1"/>
  <c r="BB236" i="1"/>
  <c r="BC236" i="1"/>
  <c r="BB237" i="1"/>
  <c r="BC237" i="1"/>
  <c r="BB238" i="1"/>
  <c r="BC238" i="1"/>
  <c r="BB239" i="1"/>
  <c r="BC239" i="1"/>
  <c r="BB240" i="1"/>
  <c r="BC240" i="1"/>
  <c r="BB241" i="1"/>
  <c r="BC241" i="1"/>
  <c r="BB242" i="1"/>
  <c r="BC242" i="1"/>
  <c r="BB243" i="1"/>
  <c r="BC243" i="1"/>
  <c r="BB244" i="1"/>
  <c r="BC244" i="1"/>
  <c r="BB245" i="1"/>
  <c r="BC245" i="1"/>
  <c r="BB246" i="1"/>
  <c r="BC246" i="1"/>
  <c r="BB247" i="1"/>
  <c r="BC247" i="1"/>
  <c r="BB248" i="1"/>
  <c r="BC248" i="1"/>
  <c r="BB249" i="1"/>
  <c r="BC249" i="1"/>
  <c r="BB250" i="1"/>
  <c r="BC250" i="1"/>
  <c r="BB251" i="1"/>
  <c r="BC251" i="1"/>
  <c r="BB252" i="1"/>
  <c r="BC252" i="1"/>
  <c r="BB253" i="1"/>
  <c r="BC253" i="1"/>
  <c r="BB254" i="1"/>
  <c r="BC254" i="1"/>
  <c r="BB255" i="1"/>
  <c r="BC255" i="1"/>
  <c r="BB256" i="1"/>
  <c r="BC256" i="1"/>
  <c r="BB257" i="1"/>
  <c r="BC257" i="1"/>
  <c r="BB258" i="1"/>
  <c r="BC258" i="1"/>
  <c r="BB259" i="1"/>
  <c r="BC259" i="1"/>
  <c r="BB260" i="1"/>
  <c r="BC260" i="1"/>
  <c r="BB261" i="1"/>
  <c r="BC261" i="1"/>
  <c r="BB262" i="1"/>
  <c r="BC262" i="1"/>
  <c r="BB263" i="1"/>
  <c r="BC263" i="1"/>
  <c r="BB264" i="1"/>
  <c r="BC264" i="1"/>
  <c r="BB265" i="1"/>
  <c r="BC265" i="1"/>
  <c r="BB266" i="1"/>
  <c r="BC266" i="1"/>
  <c r="BB267" i="1"/>
  <c r="BC267" i="1"/>
  <c r="BB268" i="1"/>
  <c r="BC268" i="1"/>
  <c r="BB269" i="1"/>
  <c r="BC269" i="1"/>
  <c r="BB270" i="1"/>
  <c r="BC270" i="1"/>
  <c r="BB271" i="1"/>
  <c r="BC271" i="1"/>
  <c r="BB272" i="1"/>
  <c r="BC272" i="1"/>
  <c r="BB273" i="1"/>
  <c r="BC273" i="1"/>
  <c r="BB274" i="1"/>
  <c r="BC274" i="1"/>
  <c r="BB275" i="1"/>
  <c r="BC275" i="1"/>
  <c r="BB276" i="1"/>
  <c r="BC276" i="1"/>
  <c r="BB277" i="1"/>
  <c r="BC277" i="1"/>
  <c r="BB278" i="1"/>
  <c r="BC278" i="1"/>
  <c r="BB279" i="1"/>
  <c r="BC279" i="1"/>
  <c r="BB280" i="1"/>
  <c r="BC280" i="1"/>
  <c r="BB281" i="1"/>
  <c r="BC281" i="1"/>
  <c r="BB282" i="1"/>
  <c r="BC282" i="1"/>
  <c r="BB283" i="1"/>
  <c r="BC283" i="1"/>
  <c r="BB284" i="1"/>
  <c r="BC284" i="1"/>
  <c r="BB285" i="1"/>
  <c r="BC285" i="1"/>
  <c r="BB286" i="1"/>
  <c r="BC286" i="1"/>
  <c r="BB287" i="1"/>
  <c r="BC287" i="1"/>
  <c r="BB288" i="1"/>
  <c r="BC288" i="1"/>
  <c r="BB289" i="1"/>
  <c r="BC289" i="1"/>
  <c r="BB290" i="1"/>
  <c r="BC290" i="1"/>
  <c r="BB291" i="1"/>
  <c r="BC291" i="1"/>
  <c r="BB292" i="1"/>
  <c r="BC292" i="1"/>
  <c r="BB293" i="1"/>
  <c r="BC293" i="1"/>
  <c r="BB294" i="1"/>
  <c r="BC294" i="1"/>
  <c r="BB295" i="1"/>
  <c r="BC295" i="1"/>
  <c r="BB296" i="1"/>
  <c r="BC296" i="1"/>
  <c r="BB297" i="1"/>
  <c r="BC297" i="1"/>
  <c r="BB298" i="1"/>
  <c r="BC298" i="1"/>
  <c r="BB299" i="1"/>
  <c r="BC299" i="1"/>
  <c r="BB300" i="1"/>
  <c r="BC300" i="1"/>
  <c r="BB301" i="1"/>
  <c r="BC301" i="1"/>
  <c r="BB302" i="1"/>
  <c r="BC302" i="1"/>
  <c r="BB303" i="1"/>
  <c r="BC303" i="1"/>
  <c r="BB304" i="1"/>
  <c r="BC304" i="1"/>
  <c r="BB305" i="1"/>
  <c r="BC305" i="1"/>
  <c r="BB306" i="1"/>
  <c r="BC306" i="1"/>
  <c r="BB307" i="1"/>
  <c r="BC307" i="1"/>
  <c r="BB308" i="1"/>
  <c r="BC308" i="1"/>
  <c r="BB309" i="1"/>
  <c r="BC309" i="1"/>
  <c r="BB310" i="1"/>
  <c r="BC310" i="1"/>
  <c r="BB311" i="1"/>
  <c r="BC311" i="1"/>
  <c r="BB312" i="1"/>
  <c r="BC312" i="1"/>
  <c r="BB313" i="1"/>
  <c r="BC313" i="1"/>
  <c r="BB314" i="1"/>
  <c r="BC314" i="1"/>
  <c r="BB315" i="1"/>
  <c r="BC315" i="1"/>
  <c r="BB316" i="1"/>
  <c r="BC316" i="1"/>
  <c r="BB317" i="1"/>
  <c r="BC317" i="1"/>
  <c r="BB318" i="1"/>
  <c r="BC318" i="1"/>
  <c r="BB319" i="1"/>
  <c r="BC319" i="1"/>
  <c r="BB320" i="1"/>
  <c r="BC320" i="1"/>
  <c r="BB321" i="1"/>
  <c r="BC321" i="1"/>
  <c r="BB322" i="1"/>
  <c r="BC322" i="1"/>
  <c r="BB323" i="1"/>
  <c r="BC323" i="1"/>
  <c r="BB324" i="1"/>
  <c r="BC324" i="1"/>
  <c r="BB325" i="1"/>
  <c r="BC325" i="1"/>
  <c r="BB326" i="1"/>
  <c r="BC326" i="1"/>
  <c r="BB327" i="1"/>
  <c r="BC327" i="1"/>
  <c r="BB328" i="1"/>
  <c r="BC328" i="1"/>
  <c r="BB329" i="1"/>
  <c r="BC329" i="1"/>
  <c r="BB330" i="1"/>
  <c r="BC330" i="1"/>
  <c r="BB331" i="1"/>
  <c r="BC331" i="1"/>
  <c r="BB332" i="1"/>
  <c r="BC332" i="1"/>
  <c r="BB333" i="1"/>
  <c r="BC333" i="1"/>
  <c r="BB334" i="1"/>
  <c r="BC334" i="1"/>
  <c r="BB335" i="1"/>
  <c r="BC335" i="1"/>
  <c r="BB336" i="1"/>
  <c r="BC336" i="1"/>
  <c r="BB337" i="1"/>
  <c r="BC337" i="1"/>
  <c r="BB338" i="1"/>
  <c r="BC338" i="1"/>
  <c r="BB339" i="1"/>
  <c r="BC339" i="1"/>
  <c r="BB340" i="1"/>
  <c r="BC340" i="1"/>
  <c r="BB341" i="1"/>
  <c r="BC341" i="1"/>
  <c r="BB342" i="1"/>
  <c r="BC342" i="1"/>
  <c r="BB343" i="1"/>
  <c r="BC343" i="1"/>
  <c r="BB344" i="1"/>
  <c r="BC344" i="1"/>
  <c r="BB345" i="1"/>
  <c r="BC345" i="1"/>
  <c r="BB346" i="1"/>
  <c r="BC346" i="1"/>
  <c r="BB347" i="1"/>
  <c r="BC347" i="1"/>
  <c r="BB348" i="1"/>
  <c r="BC348" i="1"/>
  <c r="BB349" i="1"/>
  <c r="BC349" i="1"/>
  <c r="BB350" i="1"/>
  <c r="BC350" i="1"/>
  <c r="BB351" i="1"/>
  <c r="BC351" i="1"/>
  <c r="BB352" i="1"/>
  <c r="BC352" i="1"/>
  <c r="BB353" i="1"/>
  <c r="BC353" i="1"/>
  <c r="BB354" i="1"/>
  <c r="BC354" i="1"/>
  <c r="BB355" i="1"/>
  <c r="BC355" i="1"/>
  <c r="BB356" i="1"/>
  <c r="BC356" i="1"/>
  <c r="BB357" i="1"/>
  <c r="BC357" i="1"/>
  <c r="BB358" i="1"/>
  <c r="BC358" i="1"/>
  <c r="BB359" i="1"/>
  <c r="BC359" i="1"/>
  <c r="BB360" i="1"/>
  <c r="BC360" i="1"/>
  <c r="BB361" i="1"/>
  <c r="BC361" i="1"/>
  <c r="BB362" i="1"/>
  <c r="BC362" i="1"/>
  <c r="BB363" i="1"/>
  <c r="BC363" i="1"/>
  <c r="BB364" i="1"/>
  <c r="BC364" i="1"/>
  <c r="BB365" i="1"/>
  <c r="BC365" i="1"/>
  <c r="BB366" i="1"/>
  <c r="BC366" i="1"/>
  <c r="BB367" i="1"/>
  <c r="BC367" i="1"/>
  <c r="BB368" i="1"/>
  <c r="BC368" i="1"/>
  <c r="BB369" i="1"/>
  <c r="BC369" i="1"/>
  <c r="BB370" i="1"/>
  <c r="BC370" i="1"/>
  <c r="BB371" i="1"/>
  <c r="BC371" i="1"/>
  <c r="BB372" i="1"/>
  <c r="BC372" i="1"/>
  <c r="BB373" i="1"/>
  <c r="BC373" i="1"/>
  <c r="BB374" i="1"/>
  <c r="BC374" i="1"/>
  <c r="BB375" i="1"/>
  <c r="BC375" i="1"/>
  <c r="BB376" i="1"/>
  <c r="BC376" i="1"/>
  <c r="BB377" i="1"/>
  <c r="BC377" i="1"/>
  <c r="BB378" i="1"/>
  <c r="BC378" i="1"/>
  <c r="BB379" i="1"/>
  <c r="BC379" i="1"/>
  <c r="BB380" i="1"/>
  <c r="BC380" i="1"/>
  <c r="BB381" i="1"/>
  <c r="BC381" i="1"/>
  <c r="BB382" i="1"/>
  <c r="BC382" i="1"/>
  <c r="BB383" i="1"/>
  <c r="BC383" i="1"/>
  <c r="BB384" i="1"/>
  <c r="BC384" i="1"/>
  <c r="BB385" i="1"/>
  <c r="BC385" i="1"/>
  <c r="BB386" i="1"/>
  <c r="BC386" i="1"/>
  <c r="BB387" i="1"/>
  <c r="BC387" i="1"/>
  <c r="BB388" i="1"/>
  <c r="BC388" i="1"/>
  <c r="BB389" i="1"/>
  <c r="BC389" i="1"/>
  <c r="BB390" i="1"/>
  <c r="BC390" i="1"/>
  <c r="BB391" i="1"/>
  <c r="BC391" i="1"/>
  <c r="BB392" i="1"/>
  <c r="BC392" i="1"/>
  <c r="BB393" i="1"/>
  <c r="BC393" i="1"/>
  <c r="BB394" i="1"/>
  <c r="BC394" i="1"/>
  <c r="BB395" i="1"/>
  <c r="BC395" i="1"/>
  <c r="BB396" i="1"/>
  <c r="BC396" i="1"/>
  <c r="BB397" i="1"/>
  <c r="BC397" i="1"/>
  <c r="BB398" i="1"/>
  <c r="BC398" i="1"/>
  <c r="BB399" i="1"/>
  <c r="BC399" i="1"/>
  <c r="BB400" i="1"/>
  <c r="BC400" i="1"/>
  <c r="BB401" i="1"/>
  <c r="BC401" i="1"/>
  <c r="BB402" i="1"/>
  <c r="BC402" i="1"/>
  <c r="BB403" i="1"/>
  <c r="BC403" i="1"/>
  <c r="BB404" i="1"/>
  <c r="BC404" i="1"/>
  <c r="BB405" i="1"/>
  <c r="BC405" i="1"/>
  <c r="BB406" i="1"/>
  <c r="BC406" i="1"/>
  <c r="BB407" i="1"/>
  <c r="BC407" i="1"/>
  <c r="BB408" i="1"/>
  <c r="BC408" i="1"/>
  <c r="BB409" i="1"/>
  <c r="BC409" i="1"/>
  <c r="BB410" i="1"/>
  <c r="BC410" i="1"/>
  <c r="BB411" i="1"/>
  <c r="BC411" i="1"/>
  <c r="BB412" i="1"/>
  <c r="BC412" i="1"/>
  <c r="BB413" i="1"/>
  <c r="BC413" i="1"/>
  <c r="BB414" i="1"/>
  <c r="BC414" i="1"/>
  <c r="BB415" i="1"/>
  <c r="BC415" i="1"/>
  <c r="BB416" i="1"/>
  <c r="BC416" i="1"/>
  <c r="BB417" i="1"/>
  <c r="BC417" i="1"/>
  <c r="BB418" i="1"/>
  <c r="BC418" i="1"/>
  <c r="BB419" i="1"/>
  <c r="BC419" i="1"/>
  <c r="BB420" i="1"/>
  <c r="BC420" i="1"/>
  <c r="BB421" i="1"/>
  <c r="BC421" i="1"/>
  <c r="BB422" i="1"/>
  <c r="BC422" i="1"/>
  <c r="BB423" i="1"/>
  <c r="BC423" i="1"/>
  <c r="BB424" i="1"/>
  <c r="BC424" i="1"/>
  <c r="BB425" i="1"/>
  <c r="BC425" i="1"/>
  <c r="BB426" i="1"/>
  <c r="BC426" i="1"/>
  <c r="BB427" i="1"/>
  <c r="BC427" i="1"/>
  <c r="BB428" i="1"/>
  <c r="BC428" i="1"/>
  <c r="BB429" i="1"/>
  <c r="BC429" i="1"/>
  <c r="BB430" i="1"/>
  <c r="BC430" i="1"/>
  <c r="BB431" i="1"/>
  <c r="BC431" i="1"/>
  <c r="BB432" i="1"/>
  <c r="BC432" i="1"/>
  <c r="BB433" i="1"/>
  <c r="BC433" i="1"/>
  <c r="BB434" i="1"/>
  <c r="BC434" i="1"/>
  <c r="BB435" i="1"/>
  <c r="BC435" i="1"/>
  <c r="BB436" i="1"/>
  <c r="BC436" i="1"/>
  <c r="BB437" i="1"/>
  <c r="BC437" i="1"/>
  <c r="BB438" i="1"/>
  <c r="BC438" i="1"/>
  <c r="BB439" i="1"/>
  <c r="BC439" i="1"/>
  <c r="BB440" i="1"/>
  <c r="BC440" i="1"/>
  <c r="BB441" i="1"/>
  <c r="BC441" i="1"/>
  <c r="BB442" i="1"/>
  <c r="BC442" i="1"/>
  <c r="BB443" i="1"/>
  <c r="BC443" i="1"/>
  <c r="BB444" i="1"/>
  <c r="BC444" i="1"/>
  <c r="BB445" i="1"/>
  <c r="BC445" i="1"/>
  <c r="BB446" i="1"/>
  <c r="BC446" i="1"/>
  <c r="BB447" i="1"/>
  <c r="BC447" i="1"/>
  <c r="BB448" i="1"/>
  <c r="BC448" i="1"/>
  <c r="BB449" i="1"/>
  <c r="BC449" i="1"/>
  <c r="BB450" i="1"/>
  <c r="BC450" i="1"/>
  <c r="BB451" i="1"/>
  <c r="BC451" i="1"/>
  <c r="BB452" i="1"/>
  <c r="BC452" i="1"/>
  <c r="BB453" i="1"/>
  <c r="BC453" i="1"/>
  <c r="BB454" i="1"/>
  <c r="BC454" i="1"/>
  <c r="BB455" i="1"/>
  <c r="BC455" i="1"/>
  <c r="BB456" i="1"/>
  <c r="BC456" i="1"/>
  <c r="BB457" i="1"/>
  <c r="BC457" i="1"/>
  <c r="BB458" i="1"/>
  <c r="BC458" i="1"/>
  <c r="BB459" i="1"/>
  <c r="BC459" i="1"/>
  <c r="BB460" i="1"/>
  <c r="BC460" i="1"/>
  <c r="BB461" i="1"/>
  <c r="BC461" i="1"/>
  <c r="BB462" i="1"/>
  <c r="BC462" i="1"/>
  <c r="BB463" i="1"/>
  <c r="BC463" i="1"/>
  <c r="BB464" i="1"/>
  <c r="BC464" i="1"/>
  <c r="BB465" i="1"/>
  <c r="BC465" i="1"/>
  <c r="BB466" i="1"/>
  <c r="BC466" i="1"/>
  <c r="BB467" i="1"/>
  <c r="BC467" i="1"/>
  <c r="BB468" i="1"/>
  <c r="BC468" i="1"/>
  <c r="BB469" i="1"/>
  <c r="BC469" i="1"/>
  <c r="BB470" i="1"/>
  <c r="BC470" i="1"/>
  <c r="BB471" i="1"/>
  <c r="BC471" i="1"/>
  <c r="BB472" i="1"/>
  <c r="BC472" i="1"/>
  <c r="BB473" i="1"/>
  <c r="BC473" i="1"/>
  <c r="BB474" i="1"/>
  <c r="BC474" i="1"/>
  <c r="BB475" i="1"/>
  <c r="BC475" i="1"/>
  <c r="BB476" i="1"/>
  <c r="BC476" i="1"/>
  <c r="BB477" i="1"/>
  <c r="BC477" i="1"/>
  <c r="BB478" i="1"/>
  <c r="BC478" i="1"/>
  <c r="BB479" i="1"/>
  <c r="BC479" i="1"/>
  <c r="BB480" i="1"/>
  <c r="BC480" i="1"/>
  <c r="BB481" i="1"/>
  <c r="BC481" i="1"/>
  <c r="BB482" i="1"/>
  <c r="BC482" i="1"/>
  <c r="BB483" i="1"/>
  <c r="BC483" i="1"/>
  <c r="BB484" i="1"/>
  <c r="BC484" i="1"/>
  <c r="BB485" i="1"/>
  <c r="BC485" i="1"/>
  <c r="BB486" i="1"/>
  <c r="BC486" i="1"/>
  <c r="BB487" i="1"/>
  <c r="BC487" i="1"/>
  <c r="BB488" i="1"/>
  <c r="BC488" i="1"/>
  <c r="BB489" i="1"/>
  <c r="BC489" i="1"/>
  <c r="BB490" i="1"/>
  <c r="BC490" i="1"/>
  <c r="BB491" i="1"/>
  <c r="BC491" i="1"/>
  <c r="BB492" i="1"/>
  <c r="BC492" i="1"/>
  <c r="BB493" i="1"/>
  <c r="BC493" i="1"/>
  <c r="BB494" i="1"/>
  <c r="BC494" i="1"/>
  <c r="BB495" i="1"/>
  <c r="BC495" i="1"/>
  <c r="BB496" i="1"/>
  <c r="BC496" i="1"/>
  <c r="BB497" i="1"/>
  <c r="BC497" i="1"/>
  <c r="BB498" i="1"/>
  <c r="BC498" i="1"/>
  <c r="BB499" i="1"/>
  <c r="BC499" i="1"/>
  <c r="BB500" i="1"/>
  <c r="BC500" i="1"/>
  <c r="BB501" i="1"/>
  <c r="BC501" i="1"/>
  <c r="BB502" i="1"/>
  <c r="BC502" i="1"/>
  <c r="BB503" i="1"/>
  <c r="BC503" i="1"/>
  <c r="BB504" i="1"/>
  <c r="BC504" i="1"/>
  <c r="BB505" i="1"/>
  <c r="BC505" i="1"/>
  <c r="BB506" i="1"/>
  <c r="BC506" i="1"/>
  <c r="BB507" i="1"/>
  <c r="BC507" i="1"/>
  <c r="BB508" i="1"/>
  <c r="BC508" i="1"/>
  <c r="BB509" i="1"/>
  <c r="BC509" i="1"/>
  <c r="BB510" i="1"/>
  <c r="BC510" i="1"/>
  <c r="BB511" i="1"/>
  <c r="BC511" i="1"/>
  <c r="BB512" i="1"/>
  <c r="BC512" i="1"/>
  <c r="BB513" i="1"/>
  <c r="BC513" i="1"/>
  <c r="BB514" i="1"/>
  <c r="BC514" i="1"/>
  <c r="BB515" i="1"/>
  <c r="BC515" i="1"/>
  <c r="BB516" i="1"/>
  <c r="BC516" i="1"/>
  <c r="BB517" i="1"/>
  <c r="BC517" i="1"/>
  <c r="BB518" i="1"/>
  <c r="BC518" i="1"/>
  <c r="BB519" i="1"/>
  <c r="BC519" i="1"/>
  <c r="BB520" i="1"/>
  <c r="BC520" i="1"/>
  <c r="BB521" i="1"/>
  <c r="BC521" i="1"/>
  <c r="BB522" i="1"/>
  <c r="BC522" i="1"/>
  <c r="BB523" i="1"/>
  <c r="BC523" i="1"/>
  <c r="BB524" i="1"/>
  <c r="BC524" i="1"/>
  <c r="BB525" i="1"/>
  <c r="BC525" i="1"/>
  <c r="BB526" i="1"/>
  <c r="BC526" i="1"/>
  <c r="BB527" i="1"/>
  <c r="BC527" i="1"/>
  <c r="BB528" i="1"/>
  <c r="BC528" i="1"/>
  <c r="BB529" i="1"/>
  <c r="BC529" i="1"/>
  <c r="BB530" i="1"/>
  <c r="BC530" i="1"/>
  <c r="BB531" i="1"/>
  <c r="BC531" i="1"/>
  <c r="BB532" i="1"/>
  <c r="BC532" i="1"/>
  <c r="BB533" i="1"/>
  <c r="BC533" i="1"/>
  <c r="BB534" i="1"/>
  <c r="BC534" i="1"/>
  <c r="BB535" i="1"/>
  <c r="BC535" i="1"/>
  <c r="BB536" i="1"/>
  <c r="BC536" i="1"/>
  <c r="BB537" i="1"/>
  <c r="BC537" i="1"/>
  <c r="BB538" i="1"/>
  <c r="BC538" i="1"/>
  <c r="BB539" i="1"/>
  <c r="BC539" i="1"/>
  <c r="BB540" i="1"/>
  <c r="BC540" i="1"/>
  <c r="BB541" i="1"/>
  <c r="BC541" i="1"/>
  <c r="BB542" i="1"/>
  <c r="BC542" i="1"/>
  <c r="BB543" i="1"/>
  <c r="BC543" i="1"/>
  <c r="BB544" i="1"/>
  <c r="BC544" i="1"/>
  <c r="BB545" i="1"/>
  <c r="BC545" i="1"/>
  <c r="BB546" i="1"/>
  <c r="BC546" i="1"/>
  <c r="BB547" i="1"/>
  <c r="BC547" i="1"/>
  <c r="BB548" i="1"/>
  <c r="BC548" i="1"/>
  <c r="BB549" i="1"/>
  <c r="BC549" i="1"/>
  <c r="BB550" i="1"/>
  <c r="BC550" i="1"/>
  <c r="BB551" i="1"/>
  <c r="BC551" i="1"/>
  <c r="BB552" i="1"/>
  <c r="BC552" i="1"/>
  <c r="BB553" i="1"/>
  <c r="BC553" i="1"/>
  <c r="BB554" i="1"/>
  <c r="BC554" i="1"/>
  <c r="BB555" i="1"/>
  <c r="BC555" i="1"/>
  <c r="BB556" i="1"/>
  <c r="BC556" i="1"/>
  <c r="BB557" i="1"/>
  <c r="BC557" i="1"/>
  <c r="BB558" i="1"/>
  <c r="BC558" i="1"/>
  <c r="BB559" i="1"/>
  <c r="BC559" i="1"/>
  <c r="BB560" i="1"/>
  <c r="BC560" i="1"/>
  <c r="BB561" i="1"/>
  <c r="BC561" i="1"/>
  <c r="BB562" i="1"/>
  <c r="BC562" i="1"/>
  <c r="BB563" i="1"/>
  <c r="BC563" i="1"/>
  <c r="BB564" i="1"/>
  <c r="BC564" i="1"/>
  <c r="BB565" i="1"/>
  <c r="BC565" i="1"/>
  <c r="BB566" i="1"/>
  <c r="BC566" i="1"/>
  <c r="BB567" i="1"/>
  <c r="BC567" i="1"/>
  <c r="BB568" i="1"/>
  <c r="BC568" i="1"/>
  <c r="BB569" i="1"/>
  <c r="BC569" i="1"/>
  <c r="BB570" i="1"/>
  <c r="BC570" i="1"/>
  <c r="BB571" i="1"/>
  <c r="BC571" i="1"/>
  <c r="BB572" i="1"/>
  <c r="BC572" i="1"/>
  <c r="BB573" i="1"/>
  <c r="BC573" i="1"/>
  <c r="BB574" i="1"/>
  <c r="BC574" i="1"/>
  <c r="BB575" i="1"/>
  <c r="BC575" i="1"/>
  <c r="BB576" i="1"/>
  <c r="BC576" i="1"/>
  <c r="BB577" i="1"/>
  <c r="BC577" i="1"/>
  <c r="BB578" i="1"/>
  <c r="BC578" i="1"/>
  <c r="BB579" i="1"/>
  <c r="BC579" i="1"/>
  <c r="BB580" i="1"/>
  <c r="BC580" i="1"/>
  <c r="BB5" i="1"/>
  <c r="BA367" i="1"/>
  <c r="BA368" i="1"/>
  <c r="AZ369" i="1"/>
  <c r="BA371" i="1"/>
  <c r="BA372" i="1"/>
  <c r="AZ373" i="1"/>
  <c r="BA375" i="1"/>
  <c r="BA376" i="1"/>
  <c r="AZ377" i="1"/>
  <c r="BA391" i="1"/>
  <c r="BA395" i="1"/>
  <c r="AZ399" i="1"/>
  <c r="BA399" i="1"/>
  <c r="BA420" i="1"/>
  <c r="AZ422" i="1"/>
  <c r="BA434" i="1"/>
  <c r="BA444" i="1"/>
  <c r="BA447" i="1"/>
  <c r="BA474" i="1"/>
  <c r="AZ475" i="1"/>
  <c r="AZ485" i="1"/>
  <c r="BA486" i="1"/>
  <c r="BA513" i="1"/>
  <c r="AZ514" i="1"/>
  <c r="BA547" i="1"/>
  <c r="BA549" i="1"/>
  <c r="AT366" i="1"/>
  <c r="AZ366" i="1" s="1"/>
  <c r="AU366" i="1"/>
  <c r="BA366" i="1" s="1"/>
  <c r="AT367" i="1"/>
  <c r="AZ367" i="1" s="1"/>
  <c r="AU367" i="1"/>
  <c r="AT368" i="1"/>
  <c r="AZ368" i="1" s="1"/>
  <c r="AU368" i="1"/>
  <c r="AT369" i="1"/>
  <c r="AU369" i="1"/>
  <c r="BA369" i="1" s="1"/>
  <c r="AT370" i="1"/>
  <c r="AZ370" i="1" s="1"/>
  <c r="AU370" i="1"/>
  <c r="BA370" i="1" s="1"/>
  <c r="AT371" i="1"/>
  <c r="AZ371" i="1" s="1"/>
  <c r="AU371" i="1"/>
  <c r="AT372" i="1"/>
  <c r="AZ372" i="1" s="1"/>
  <c r="AU372" i="1"/>
  <c r="AT373" i="1"/>
  <c r="AU373" i="1"/>
  <c r="BA373" i="1" s="1"/>
  <c r="AT374" i="1"/>
  <c r="AZ374" i="1" s="1"/>
  <c r="AU374" i="1"/>
  <c r="BA374" i="1" s="1"/>
  <c r="AT375" i="1"/>
  <c r="AZ375" i="1" s="1"/>
  <c r="AU375" i="1"/>
  <c r="AT376" i="1"/>
  <c r="AZ376" i="1" s="1"/>
  <c r="AU376" i="1"/>
  <c r="AT377" i="1"/>
  <c r="AU377" i="1"/>
  <c r="BA377" i="1" s="1"/>
  <c r="AT378" i="1"/>
  <c r="AZ378" i="1" s="1"/>
  <c r="AU378" i="1"/>
  <c r="BA378" i="1" s="1"/>
  <c r="AT379" i="1"/>
  <c r="AZ379" i="1" s="1"/>
  <c r="AU379" i="1"/>
  <c r="BA379" i="1" s="1"/>
  <c r="AT380" i="1"/>
  <c r="AZ380" i="1" s="1"/>
  <c r="AU380" i="1"/>
  <c r="BA380" i="1" s="1"/>
  <c r="AT381" i="1"/>
  <c r="AZ381" i="1" s="1"/>
  <c r="AU381" i="1"/>
  <c r="BA381" i="1" s="1"/>
  <c r="AT382" i="1"/>
  <c r="AZ382" i="1" s="1"/>
  <c r="AU382" i="1"/>
  <c r="BA382" i="1" s="1"/>
  <c r="AT383" i="1"/>
  <c r="AZ383" i="1" s="1"/>
  <c r="AU383" i="1"/>
  <c r="BA383" i="1" s="1"/>
  <c r="AT384" i="1"/>
  <c r="AZ384" i="1" s="1"/>
  <c r="AU384" i="1"/>
  <c r="BA384" i="1" s="1"/>
  <c r="AT385" i="1"/>
  <c r="AZ385" i="1" s="1"/>
  <c r="AU385" i="1"/>
  <c r="BA385" i="1" s="1"/>
  <c r="AT386" i="1"/>
  <c r="AZ386" i="1" s="1"/>
  <c r="AU386" i="1"/>
  <c r="BA386" i="1" s="1"/>
  <c r="AT387" i="1"/>
  <c r="AZ387" i="1" s="1"/>
  <c r="AU387" i="1"/>
  <c r="BA387" i="1" s="1"/>
  <c r="AT388" i="1"/>
  <c r="AZ388" i="1" s="1"/>
  <c r="AU388" i="1"/>
  <c r="BA388" i="1" s="1"/>
  <c r="AT389" i="1"/>
  <c r="AZ389" i="1" s="1"/>
  <c r="AU389" i="1"/>
  <c r="BA389" i="1" s="1"/>
  <c r="AT390" i="1"/>
  <c r="AZ390" i="1" s="1"/>
  <c r="AU390" i="1"/>
  <c r="BA390" i="1" s="1"/>
  <c r="AT391" i="1"/>
  <c r="AZ391" i="1" s="1"/>
  <c r="AU391" i="1"/>
  <c r="AT392" i="1"/>
  <c r="AZ392" i="1" s="1"/>
  <c r="AU392" i="1"/>
  <c r="BA392" i="1" s="1"/>
  <c r="AT393" i="1"/>
  <c r="AZ393" i="1" s="1"/>
  <c r="AU393" i="1"/>
  <c r="BA393" i="1" s="1"/>
  <c r="AT394" i="1"/>
  <c r="AZ394" i="1" s="1"/>
  <c r="AU394" i="1"/>
  <c r="BA394" i="1" s="1"/>
  <c r="AT395" i="1"/>
  <c r="AZ395" i="1" s="1"/>
  <c r="AU395" i="1"/>
  <c r="AT396" i="1"/>
  <c r="AZ396" i="1" s="1"/>
  <c r="AU396" i="1"/>
  <c r="BA396" i="1" s="1"/>
  <c r="AT397" i="1"/>
  <c r="AZ397" i="1" s="1"/>
  <c r="AU397" i="1"/>
  <c r="BA397" i="1" s="1"/>
  <c r="AT398" i="1"/>
  <c r="AZ398" i="1" s="1"/>
  <c r="AU398" i="1"/>
  <c r="BA398" i="1" s="1"/>
  <c r="AT399" i="1"/>
  <c r="AU399" i="1"/>
  <c r="AT400" i="1"/>
  <c r="AZ400" i="1" s="1"/>
  <c r="AU400" i="1"/>
  <c r="BA400" i="1" s="1"/>
  <c r="AT401" i="1"/>
  <c r="AZ401" i="1" s="1"/>
  <c r="AU401" i="1"/>
  <c r="BA401" i="1" s="1"/>
  <c r="AT402" i="1"/>
  <c r="AZ402" i="1" s="1"/>
  <c r="AU402" i="1"/>
  <c r="BA402" i="1" s="1"/>
  <c r="AT403" i="1"/>
  <c r="AZ403" i="1" s="1"/>
  <c r="AU403" i="1"/>
  <c r="BA403" i="1" s="1"/>
  <c r="AT404" i="1"/>
  <c r="AZ404" i="1" s="1"/>
  <c r="AU404" i="1"/>
  <c r="BA404" i="1" s="1"/>
  <c r="AT405" i="1"/>
  <c r="AZ405" i="1" s="1"/>
  <c r="AU405" i="1"/>
  <c r="BA405" i="1" s="1"/>
  <c r="AT406" i="1"/>
  <c r="AZ406" i="1" s="1"/>
  <c r="AU406" i="1"/>
  <c r="BA406" i="1" s="1"/>
  <c r="AT407" i="1"/>
  <c r="AZ407" i="1" s="1"/>
  <c r="AU407" i="1"/>
  <c r="BA407" i="1" s="1"/>
  <c r="AT408" i="1"/>
  <c r="AZ408" i="1" s="1"/>
  <c r="AU408" i="1"/>
  <c r="BA408" i="1" s="1"/>
  <c r="AT409" i="1"/>
  <c r="AZ409" i="1" s="1"/>
  <c r="AU409" i="1"/>
  <c r="BA409" i="1" s="1"/>
  <c r="AT410" i="1"/>
  <c r="AZ410" i="1" s="1"/>
  <c r="AU410" i="1"/>
  <c r="BA410" i="1" s="1"/>
  <c r="AT411" i="1"/>
  <c r="AZ411" i="1" s="1"/>
  <c r="AU411" i="1"/>
  <c r="BA411" i="1" s="1"/>
  <c r="AT412" i="1"/>
  <c r="AZ412" i="1" s="1"/>
  <c r="AU412" i="1"/>
  <c r="BA412" i="1" s="1"/>
  <c r="AT413" i="1"/>
  <c r="AZ413" i="1" s="1"/>
  <c r="AU413" i="1"/>
  <c r="BA413" i="1" s="1"/>
  <c r="AT414" i="1"/>
  <c r="AZ414" i="1" s="1"/>
  <c r="AU414" i="1"/>
  <c r="BA414" i="1" s="1"/>
  <c r="AT415" i="1"/>
  <c r="AZ415" i="1" s="1"/>
  <c r="AU415" i="1"/>
  <c r="BA415" i="1" s="1"/>
  <c r="AT416" i="1"/>
  <c r="AZ416" i="1" s="1"/>
  <c r="AU416" i="1"/>
  <c r="BA416" i="1" s="1"/>
  <c r="AT417" i="1"/>
  <c r="AZ417" i="1" s="1"/>
  <c r="AU417" i="1"/>
  <c r="BA417" i="1" s="1"/>
  <c r="AT418" i="1"/>
  <c r="AZ418" i="1" s="1"/>
  <c r="AU418" i="1"/>
  <c r="BA418" i="1" s="1"/>
  <c r="AT419" i="1"/>
  <c r="AZ419" i="1" s="1"/>
  <c r="AU419" i="1"/>
  <c r="BA419" i="1" s="1"/>
  <c r="AT420" i="1"/>
  <c r="AZ420" i="1" s="1"/>
  <c r="AU420" i="1"/>
  <c r="AT421" i="1"/>
  <c r="AZ421" i="1" s="1"/>
  <c r="AU421" i="1"/>
  <c r="BA421" i="1" s="1"/>
  <c r="AT422" i="1"/>
  <c r="AU422" i="1"/>
  <c r="BA422" i="1" s="1"/>
  <c r="AT423" i="1"/>
  <c r="AZ423" i="1" s="1"/>
  <c r="AU423" i="1"/>
  <c r="BA423" i="1" s="1"/>
  <c r="AT424" i="1"/>
  <c r="AZ424" i="1" s="1"/>
  <c r="AU424" i="1"/>
  <c r="BA424" i="1" s="1"/>
  <c r="AT425" i="1"/>
  <c r="AZ425" i="1" s="1"/>
  <c r="AU425" i="1"/>
  <c r="BA425" i="1" s="1"/>
  <c r="AT426" i="1"/>
  <c r="AZ426" i="1" s="1"/>
  <c r="AU426" i="1"/>
  <c r="BA426" i="1" s="1"/>
  <c r="AT427" i="1"/>
  <c r="AZ427" i="1" s="1"/>
  <c r="AU427" i="1"/>
  <c r="BA427" i="1" s="1"/>
  <c r="AT428" i="1"/>
  <c r="AZ428" i="1" s="1"/>
  <c r="AU428" i="1"/>
  <c r="BA428" i="1" s="1"/>
  <c r="AT429" i="1"/>
  <c r="AZ429" i="1" s="1"/>
  <c r="AU429" i="1"/>
  <c r="BA429" i="1" s="1"/>
  <c r="AT430" i="1"/>
  <c r="AZ430" i="1" s="1"/>
  <c r="AU430" i="1"/>
  <c r="BA430" i="1" s="1"/>
  <c r="AT431" i="1"/>
  <c r="AZ431" i="1" s="1"/>
  <c r="AU431" i="1"/>
  <c r="BA431" i="1" s="1"/>
  <c r="AT432" i="1"/>
  <c r="AZ432" i="1" s="1"/>
  <c r="AU432" i="1"/>
  <c r="BA432" i="1" s="1"/>
  <c r="AT433" i="1"/>
  <c r="AZ433" i="1" s="1"/>
  <c r="AU433" i="1"/>
  <c r="BA433" i="1" s="1"/>
  <c r="AT434" i="1"/>
  <c r="AZ434" i="1" s="1"/>
  <c r="AU434" i="1"/>
  <c r="AT435" i="1"/>
  <c r="AZ435" i="1" s="1"/>
  <c r="AU435" i="1"/>
  <c r="BA435" i="1" s="1"/>
  <c r="AT436" i="1"/>
  <c r="AZ436" i="1" s="1"/>
  <c r="AU436" i="1"/>
  <c r="BA436" i="1" s="1"/>
  <c r="AT437" i="1"/>
  <c r="AZ437" i="1" s="1"/>
  <c r="AU437" i="1"/>
  <c r="BA437" i="1" s="1"/>
  <c r="AT438" i="1"/>
  <c r="AZ438" i="1" s="1"/>
  <c r="AU438" i="1"/>
  <c r="BA438" i="1" s="1"/>
  <c r="AT439" i="1"/>
  <c r="AZ439" i="1" s="1"/>
  <c r="AU439" i="1"/>
  <c r="BA439" i="1" s="1"/>
  <c r="AT440" i="1"/>
  <c r="AZ440" i="1" s="1"/>
  <c r="AU440" i="1"/>
  <c r="BA440" i="1" s="1"/>
  <c r="AT441" i="1"/>
  <c r="AZ441" i="1" s="1"/>
  <c r="AU441" i="1"/>
  <c r="BA441" i="1" s="1"/>
  <c r="AT442" i="1"/>
  <c r="AZ442" i="1" s="1"/>
  <c r="AU442" i="1"/>
  <c r="BA442" i="1" s="1"/>
  <c r="AT443" i="1"/>
  <c r="AZ443" i="1" s="1"/>
  <c r="AU443" i="1"/>
  <c r="BA443" i="1" s="1"/>
  <c r="AT444" i="1"/>
  <c r="AZ444" i="1" s="1"/>
  <c r="AU444" i="1"/>
  <c r="AT445" i="1"/>
  <c r="AZ445" i="1" s="1"/>
  <c r="AU445" i="1"/>
  <c r="BA445" i="1" s="1"/>
  <c r="AT446" i="1"/>
  <c r="AZ446" i="1" s="1"/>
  <c r="AU446" i="1"/>
  <c r="BA446" i="1" s="1"/>
  <c r="AT447" i="1"/>
  <c r="AZ447" i="1" s="1"/>
  <c r="AU447" i="1"/>
  <c r="AT448" i="1"/>
  <c r="AZ448" i="1" s="1"/>
  <c r="AU448" i="1"/>
  <c r="BA448" i="1" s="1"/>
  <c r="AT449" i="1"/>
  <c r="AZ449" i="1" s="1"/>
  <c r="AU449" i="1"/>
  <c r="BA449" i="1" s="1"/>
  <c r="AT450" i="1"/>
  <c r="AZ450" i="1" s="1"/>
  <c r="AU450" i="1"/>
  <c r="BA450" i="1" s="1"/>
  <c r="AT451" i="1"/>
  <c r="AZ451" i="1" s="1"/>
  <c r="AU451" i="1"/>
  <c r="BA451" i="1" s="1"/>
  <c r="AT452" i="1"/>
  <c r="AZ452" i="1" s="1"/>
  <c r="AU452" i="1"/>
  <c r="BA452" i="1" s="1"/>
  <c r="AT453" i="1"/>
  <c r="AZ453" i="1" s="1"/>
  <c r="AU453" i="1"/>
  <c r="BA453" i="1" s="1"/>
  <c r="AT454" i="1"/>
  <c r="AZ454" i="1" s="1"/>
  <c r="AU454" i="1"/>
  <c r="BA454" i="1" s="1"/>
  <c r="AT455" i="1"/>
  <c r="AZ455" i="1" s="1"/>
  <c r="AU455" i="1"/>
  <c r="BA455" i="1" s="1"/>
  <c r="AT456" i="1"/>
  <c r="AZ456" i="1" s="1"/>
  <c r="AU456" i="1"/>
  <c r="BA456" i="1" s="1"/>
  <c r="AT457" i="1"/>
  <c r="AZ457" i="1" s="1"/>
  <c r="AU457" i="1"/>
  <c r="BA457" i="1" s="1"/>
  <c r="AT458" i="1"/>
  <c r="AZ458" i="1" s="1"/>
  <c r="AU458" i="1"/>
  <c r="BA458" i="1" s="1"/>
  <c r="AT459" i="1"/>
  <c r="AZ459" i="1" s="1"/>
  <c r="AU459" i="1"/>
  <c r="BA459" i="1" s="1"/>
  <c r="AT460" i="1"/>
  <c r="AZ460" i="1" s="1"/>
  <c r="AU460" i="1"/>
  <c r="BA460" i="1" s="1"/>
  <c r="AT461" i="1"/>
  <c r="AZ461" i="1" s="1"/>
  <c r="AU461" i="1"/>
  <c r="BA461" i="1" s="1"/>
  <c r="AT462" i="1"/>
  <c r="AZ462" i="1" s="1"/>
  <c r="AU462" i="1"/>
  <c r="BA462" i="1" s="1"/>
  <c r="AT463" i="1"/>
  <c r="AZ463" i="1" s="1"/>
  <c r="AU463" i="1"/>
  <c r="BA463" i="1" s="1"/>
  <c r="AT464" i="1"/>
  <c r="AZ464" i="1" s="1"/>
  <c r="AU464" i="1"/>
  <c r="BA464" i="1" s="1"/>
  <c r="AT465" i="1"/>
  <c r="AZ465" i="1" s="1"/>
  <c r="AU465" i="1"/>
  <c r="BA465" i="1" s="1"/>
  <c r="AT466" i="1"/>
  <c r="AZ466" i="1" s="1"/>
  <c r="AU466" i="1"/>
  <c r="BA466" i="1" s="1"/>
  <c r="AT467" i="1"/>
  <c r="AZ467" i="1" s="1"/>
  <c r="AU467" i="1"/>
  <c r="BA467" i="1" s="1"/>
  <c r="AT468" i="1"/>
  <c r="AZ468" i="1" s="1"/>
  <c r="AU468" i="1"/>
  <c r="BA468" i="1" s="1"/>
  <c r="AT469" i="1"/>
  <c r="AZ469" i="1" s="1"/>
  <c r="AU469" i="1"/>
  <c r="BA469" i="1" s="1"/>
  <c r="AT470" i="1"/>
  <c r="AZ470" i="1" s="1"/>
  <c r="AU470" i="1"/>
  <c r="BA470" i="1" s="1"/>
  <c r="AT471" i="1"/>
  <c r="AZ471" i="1" s="1"/>
  <c r="AU471" i="1"/>
  <c r="BA471" i="1" s="1"/>
  <c r="AT472" i="1"/>
  <c r="AZ472" i="1" s="1"/>
  <c r="AU472" i="1"/>
  <c r="BA472" i="1" s="1"/>
  <c r="AT473" i="1"/>
  <c r="AZ473" i="1" s="1"/>
  <c r="AU473" i="1"/>
  <c r="BA473" i="1" s="1"/>
  <c r="AT474" i="1"/>
  <c r="AZ474" i="1" s="1"/>
  <c r="AU474" i="1"/>
  <c r="AT475" i="1"/>
  <c r="AU475" i="1"/>
  <c r="BA475" i="1" s="1"/>
  <c r="AT476" i="1"/>
  <c r="AZ476" i="1" s="1"/>
  <c r="AU476" i="1"/>
  <c r="BA476" i="1" s="1"/>
  <c r="AT477" i="1"/>
  <c r="AZ477" i="1" s="1"/>
  <c r="AU477" i="1"/>
  <c r="BA477" i="1" s="1"/>
  <c r="AT478" i="1"/>
  <c r="AZ478" i="1" s="1"/>
  <c r="AU478" i="1"/>
  <c r="BA478" i="1" s="1"/>
  <c r="AT479" i="1"/>
  <c r="AZ479" i="1" s="1"/>
  <c r="AU479" i="1"/>
  <c r="BA479" i="1" s="1"/>
  <c r="AT480" i="1"/>
  <c r="AZ480" i="1" s="1"/>
  <c r="AU480" i="1"/>
  <c r="BA480" i="1" s="1"/>
  <c r="AT481" i="1"/>
  <c r="AZ481" i="1" s="1"/>
  <c r="AU481" i="1"/>
  <c r="BA481" i="1" s="1"/>
  <c r="AT482" i="1"/>
  <c r="AZ482" i="1" s="1"/>
  <c r="AU482" i="1"/>
  <c r="BA482" i="1" s="1"/>
  <c r="AT483" i="1"/>
  <c r="AZ483" i="1" s="1"/>
  <c r="AU483" i="1"/>
  <c r="BA483" i="1" s="1"/>
  <c r="AT484" i="1"/>
  <c r="AZ484" i="1" s="1"/>
  <c r="AU484" i="1"/>
  <c r="BA484" i="1" s="1"/>
  <c r="AT485" i="1"/>
  <c r="AU485" i="1"/>
  <c r="BA485" i="1" s="1"/>
  <c r="AT486" i="1"/>
  <c r="AZ486" i="1" s="1"/>
  <c r="AU486" i="1"/>
  <c r="AT487" i="1"/>
  <c r="AZ487" i="1" s="1"/>
  <c r="AU487" i="1"/>
  <c r="BA487" i="1" s="1"/>
  <c r="AT488" i="1"/>
  <c r="AZ488" i="1" s="1"/>
  <c r="AU488" i="1"/>
  <c r="BA488" i="1" s="1"/>
  <c r="AT489" i="1"/>
  <c r="AZ489" i="1" s="1"/>
  <c r="AU489" i="1"/>
  <c r="BA489" i="1" s="1"/>
  <c r="AT490" i="1"/>
  <c r="AZ490" i="1" s="1"/>
  <c r="AU490" i="1"/>
  <c r="BA490" i="1" s="1"/>
  <c r="AT491" i="1"/>
  <c r="AZ491" i="1" s="1"/>
  <c r="AU491" i="1"/>
  <c r="BA491" i="1" s="1"/>
  <c r="AT492" i="1"/>
  <c r="AZ492" i="1" s="1"/>
  <c r="AU492" i="1"/>
  <c r="BA492" i="1" s="1"/>
  <c r="AT493" i="1"/>
  <c r="AZ493" i="1" s="1"/>
  <c r="AU493" i="1"/>
  <c r="BA493" i="1" s="1"/>
  <c r="AT494" i="1"/>
  <c r="AZ494" i="1" s="1"/>
  <c r="AU494" i="1"/>
  <c r="BA494" i="1" s="1"/>
  <c r="AT495" i="1"/>
  <c r="AZ495" i="1" s="1"/>
  <c r="AU495" i="1"/>
  <c r="BA495" i="1" s="1"/>
  <c r="AT496" i="1"/>
  <c r="AZ496" i="1" s="1"/>
  <c r="AU496" i="1"/>
  <c r="BA496" i="1" s="1"/>
  <c r="AT497" i="1"/>
  <c r="AZ497" i="1" s="1"/>
  <c r="AU497" i="1"/>
  <c r="BA497" i="1" s="1"/>
  <c r="AT498" i="1"/>
  <c r="AZ498" i="1" s="1"/>
  <c r="AU498" i="1"/>
  <c r="BA498" i="1" s="1"/>
  <c r="AT499" i="1"/>
  <c r="AZ499" i="1" s="1"/>
  <c r="AU499" i="1"/>
  <c r="BA499" i="1" s="1"/>
  <c r="AT500" i="1"/>
  <c r="AZ500" i="1" s="1"/>
  <c r="AU500" i="1"/>
  <c r="BA500" i="1" s="1"/>
  <c r="AT501" i="1"/>
  <c r="AZ501" i="1" s="1"/>
  <c r="AU501" i="1"/>
  <c r="BA501" i="1" s="1"/>
  <c r="AT502" i="1"/>
  <c r="AZ502" i="1" s="1"/>
  <c r="AU502" i="1"/>
  <c r="BA502" i="1" s="1"/>
  <c r="AT503" i="1"/>
  <c r="AZ503" i="1" s="1"/>
  <c r="AU503" i="1"/>
  <c r="BA503" i="1" s="1"/>
  <c r="AT504" i="1"/>
  <c r="AZ504" i="1" s="1"/>
  <c r="AU504" i="1"/>
  <c r="BA504" i="1" s="1"/>
  <c r="AT505" i="1"/>
  <c r="AZ505" i="1" s="1"/>
  <c r="AU505" i="1"/>
  <c r="BA505" i="1" s="1"/>
  <c r="AT506" i="1"/>
  <c r="AZ506" i="1" s="1"/>
  <c r="AU506" i="1"/>
  <c r="BA506" i="1" s="1"/>
  <c r="AT507" i="1"/>
  <c r="AZ507" i="1" s="1"/>
  <c r="AU507" i="1"/>
  <c r="BA507" i="1" s="1"/>
  <c r="AT508" i="1"/>
  <c r="AZ508" i="1" s="1"/>
  <c r="AU508" i="1"/>
  <c r="BA508" i="1" s="1"/>
  <c r="AT509" i="1"/>
  <c r="AZ509" i="1" s="1"/>
  <c r="AU509" i="1"/>
  <c r="BA509" i="1" s="1"/>
  <c r="AT510" i="1"/>
  <c r="AZ510" i="1" s="1"/>
  <c r="AU510" i="1"/>
  <c r="BA510" i="1" s="1"/>
  <c r="AT511" i="1"/>
  <c r="AZ511" i="1" s="1"/>
  <c r="AU511" i="1"/>
  <c r="BA511" i="1" s="1"/>
  <c r="AT512" i="1"/>
  <c r="AZ512" i="1" s="1"/>
  <c r="AU512" i="1"/>
  <c r="BA512" i="1" s="1"/>
  <c r="AT513" i="1"/>
  <c r="AZ513" i="1" s="1"/>
  <c r="AU513" i="1"/>
  <c r="AT514" i="1"/>
  <c r="AU514" i="1"/>
  <c r="BA514" i="1" s="1"/>
  <c r="AT515" i="1"/>
  <c r="AZ515" i="1" s="1"/>
  <c r="AU515" i="1"/>
  <c r="BA515" i="1" s="1"/>
  <c r="AT516" i="1"/>
  <c r="AZ516" i="1" s="1"/>
  <c r="AU516" i="1"/>
  <c r="BA516" i="1" s="1"/>
  <c r="AT517" i="1"/>
  <c r="AZ517" i="1" s="1"/>
  <c r="AU517" i="1"/>
  <c r="BA517" i="1" s="1"/>
  <c r="AT518" i="1"/>
  <c r="AZ518" i="1" s="1"/>
  <c r="AU518" i="1"/>
  <c r="BA518" i="1" s="1"/>
  <c r="AT519" i="1"/>
  <c r="AZ519" i="1" s="1"/>
  <c r="AU519" i="1"/>
  <c r="BA519" i="1" s="1"/>
  <c r="AT520" i="1"/>
  <c r="AZ520" i="1" s="1"/>
  <c r="AU520" i="1"/>
  <c r="BA520" i="1" s="1"/>
  <c r="AT521" i="1"/>
  <c r="AZ521" i="1" s="1"/>
  <c r="AU521" i="1"/>
  <c r="BA521" i="1" s="1"/>
  <c r="AT522" i="1"/>
  <c r="AZ522" i="1" s="1"/>
  <c r="AU522" i="1"/>
  <c r="BA522" i="1" s="1"/>
  <c r="AT523" i="1"/>
  <c r="AZ523" i="1" s="1"/>
  <c r="AU523" i="1"/>
  <c r="BA523" i="1" s="1"/>
  <c r="AT524" i="1"/>
  <c r="AZ524" i="1" s="1"/>
  <c r="AU524" i="1"/>
  <c r="BA524" i="1" s="1"/>
  <c r="AT525" i="1"/>
  <c r="AZ525" i="1" s="1"/>
  <c r="AU525" i="1"/>
  <c r="BA525" i="1" s="1"/>
  <c r="AT526" i="1"/>
  <c r="AZ526" i="1" s="1"/>
  <c r="AU526" i="1"/>
  <c r="BA526" i="1" s="1"/>
  <c r="AT527" i="1"/>
  <c r="AZ527" i="1" s="1"/>
  <c r="AU527" i="1"/>
  <c r="BA527" i="1" s="1"/>
  <c r="AT528" i="1"/>
  <c r="AZ528" i="1" s="1"/>
  <c r="AU528" i="1"/>
  <c r="BA528" i="1" s="1"/>
  <c r="AT529" i="1"/>
  <c r="AZ529" i="1" s="1"/>
  <c r="AU529" i="1"/>
  <c r="BA529" i="1" s="1"/>
  <c r="AT530" i="1"/>
  <c r="AZ530" i="1" s="1"/>
  <c r="AU530" i="1"/>
  <c r="BA530" i="1" s="1"/>
  <c r="AT531" i="1"/>
  <c r="AZ531" i="1" s="1"/>
  <c r="AU531" i="1"/>
  <c r="BA531" i="1" s="1"/>
  <c r="AT532" i="1"/>
  <c r="AZ532" i="1" s="1"/>
  <c r="AU532" i="1"/>
  <c r="BA532" i="1" s="1"/>
  <c r="AT533" i="1"/>
  <c r="AZ533" i="1" s="1"/>
  <c r="AU533" i="1"/>
  <c r="BA533" i="1" s="1"/>
  <c r="AT534" i="1"/>
  <c r="AZ534" i="1" s="1"/>
  <c r="AU534" i="1"/>
  <c r="BA534" i="1" s="1"/>
  <c r="AT535" i="1"/>
  <c r="AZ535" i="1" s="1"/>
  <c r="AU535" i="1"/>
  <c r="BA535" i="1" s="1"/>
  <c r="AT536" i="1"/>
  <c r="AZ536" i="1" s="1"/>
  <c r="AU536" i="1"/>
  <c r="BA536" i="1" s="1"/>
  <c r="AT537" i="1"/>
  <c r="AZ537" i="1" s="1"/>
  <c r="AU537" i="1"/>
  <c r="BA537" i="1" s="1"/>
  <c r="AT538" i="1"/>
  <c r="AZ538" i="1" s="1"/>
  <c r="AU538" i="1"/>
  <c r="BA538" i="1" s="1"/>
  <c r="AT539" i="1"/>
  <c r="AZ539" i="1" s="1"/>
  <c r="AU539" i="1"/>
  <c r="BA539" i="1" s="1"/>
  <c r="AT540" i="1"/>
  <c r="AZ540" i="1" s="1"/>
  <c r="AU540" i="1"/>
  <c r="BA540" i="1" s="1"/>
  <c r="AT541" i="1"/>
  <c r="AZ541" i="1" s="1"/>
  <c r="AU541" i="1"/>
  <c r="BA541" i="1" s="1"/>
  <c r="AT542" i="1"/>
  <c r="AZ542" i="1" s="1"/>
  <c r="AU542" i="1"/>
  <c r="BA542" i="1" s="1"/>
  <c r="AT543" i="1"/>
  <c r="AZ543" i="1" s="1"/>
  <c r="AU543" i="1"/>
  <c r="BA543" i="1" s="1"/>
  <c r="AT544" i="1"/>
  <c r="AZ544" i="1" s="1"/>
  <c r="AU544" i="1"/>
  <c r="BA544" i="1" s="1"/>
  <c r="AT545" i="1"/>
  <c r="AZ545" i="1" s="1"/>
  <c r="AU545" i="1"/>
  <c r="BA545" i="1" s="1"/>
  <c r="AT546" i="1"/>
  <c r="AZ546" i="1" s="1"/>
  <c r="AU546" i="1"/>
  <c r="BA546" i="1" s="1"/>
  <c r="AT547" i="1"/>
  <c r="AZ547" i="1" s="1"/>
  <c r="AU547" i="1"/>
  <c r="AT548" i="1"/>
  <c r="AZ548" i="1" s="1"/>
  <c r="AU548" i="1"/>
  <c r="BA548" i="1" s="1"/>
  <c r="AT549" i="1"/>
  <c r="AZ549" i="1" s="1"/>
  <c r="AU549" i="1"/>
  <c r="AT550" i="1"/>
  <c r="AZ550" i="1" s="1"/>
  <c r="AU550" i="1"/>
  <c r="BA550" i="1" s="1"/>
  <c r="AT551" i="1"/>
  <c r="AZ551" i="1" s="1"/>
  <c r="AU551" i="1"/>
  <c r="BA551" i="1" s="1"/>
  <c r="AT552" i="1"/>
  <c r="AZ552" i="1" s="1"/>
  <c r="AU552" i="1"/>
  <c r="BA552" i="1" s="1"/>
  <c r="AT553" i="1"/>
  <c r="AZ553" i="1" s="1"/>
  <c r="AU553" i="1"/>
  <c r="BA553" i="1" s="1"/>
  <c r="AT554" i="1"/>
  <c r="AZ554" i="1" s="1"/>
  <c r="AU554" i="1"/>
  <c r="BA554" i="1" s="1"/>
  <c r="AT555" i="1"/>
  <c r="AZ555" i="1" s="1"/>
  <c r="AU555" i="1"/>
  <c r="BA555" i="1" s="1"/>
  <c r="AT556" i="1"/>
  <c r="AZ556" i="1" s="1"/>
  <c r="AU556" i="1"/>
  <c r="BA556" i="1" s="1"/>
  <c r="AT557" i="1"/>
  <c r="AZ557" i="1" s="1"/>
  <c r="AU557" i="1"/>
  <c r="BA557" i="1" s="1"/>
  <c r="AT558" i="1"/>
  <c r="AZ558" i="1" s="1"/>
  <c r="AU558" i="1"/>
  <c r="BA558" i="1" s="1"/>
  <c r="AT559" i="1"/>
  <c r="AZ559" i="1" s="1"/>
  <c r="AU559" i="1"/>
  <c r="BA559" i="1" s="1"/>
  <c r="AT560" i="1"/>
  <c r="AZ560" i="1" s="1"/>
  <c r="AU560" i="1"/>
  <c r="BA560" i="1" s="1"/>
  <c r="AT561" i="1"/>
  <c r="AZ561" i="1" s="1"/>
  <c r="AU561" i="1"/>
  <c r="BA561" i="1" s="1"/>
  <c r="AT562" i="1"/>
  <c r="AZ562" i="1" s="1"/>
  <c r="AU562" i="1"/>
  <c r="BA562" i="1" s="1"/>
  <c r="AT563" i="1"/>
  <c r="AZ563" i="1" s="1"/>
  <c r="AU563" i="1"/>
  <c r="BA563" i="1" s="1"/>
  <c r="AT564" i="1"/>
  <c r="AZ564" i="1" s="1"/>
  <c r="AU564" i="1"/>
  <c r="BA564" i="1" s="1"/>
  <c r="AT565" i="1"/>
  <c r="AZ565" i="1" s="1"/>
  <c r="AU565" i="1"/>
  <c r="BA565" i="1" s="1"/>
  <c r="AT566" i="1"/>
  <c r="AZ566" i="1" s="1"/>
  <c r="AU566" i="1"/>
  <c r="BA566" i="1" s="1"/>
  <c r="AT567" i="1"/>
  <c r="AZ567" i="1" s="1"/>
  <c r="AU567" i="1"/>
  <c r="BA567" i="1" s="1"/>
  <c r="AT568" i="1"/>
  <c r="AZ568" i="1" s="1"/>
  <c r="AU568" i="1"/>
  <c r="BA568" i="1" s="1"/>
  <c r="AT569" i="1"/>
  <c r="AZ569" i="1" s="1"/>
  <c r="AU569" i="1"/>
  <c r="BA569" i="1" s="1"/>
  <c r="AT570" i="1"/>
  <c r="AZ570" i="1" s="1"/>
  <c r="AU570" i="1"/>
  <c r="BA570" i="1" s="1"/>
  <c r="AT571" i="1"/>
  <c r="AZ571" i="1" s="1"/>
  <c r="AU571" i="1"/>
  <c r="BA571" i="1" s="1"/>
  <c r="AT572" i="1"/>
  <c r="AZ572" i="1" s="1"/>
  <c r="AU572" i="1"/>
  <c r="BA572" i="1" s="1"/>
  <c r="AT573" i="1"/>
  <c r="AZ573" i="1" s="1"/>
  <c r="AU573" i="1"/>
  <c r="BA573" i="1" s="1"/>
  <c r="AT574" i="1"/>
  <c r="AZ574" i="1" s="1"/>
  <c r="AU574" i="1"/>
  <c r="BA574" i="1" s="1"/>
  <c r="AT575" i="1"/>
  <c r="AZ575" i="1" s="1"/>
  <c r="AU575" i="1"/>
  <c r="BA575" i="1" s="1"/>
  <c r="AT576" i="1"/>
  <c r="AZ576" i="1" s="1"/>
  <c r="AU576" i="1"/>
  <c r="BA576" i="1" s="1"/>
  <c r="AT577" i="1"/>
  <c r="AZ577" i="1" s="1"/>
  <c r="AU577" i="1"/>
  <c r="BA577" i="1" s="1"/>
  <c r="AT578" i="1"/>
  <c r="AZ578" i="1" s="1"/>
  <c r="AU578" i="1"/>
  <c r="BA578" i="1" s="1"/>
  <c r="AT579" i="1"/>
  <c r="AZ579" i="1" s="1"/>
  <c r="AU579" i="1"/>
  <c r="BA579" i="1" s="1"/>
  <c r="AT580" i="1"/>
  <c r="AZ580" i="1" s="1"/>
  <c r="AU580" i="1"/>
  <c r="BA580" i="1" s="1"/>
  <c r="AU365" i="1"/>
  <c r="BA365" i="1" s="1"/>
  <c r="AT365" i="1"/>
  <c r="AZ365" i="1" s="1"/>
  <c r="BB581" i="1" l="1"/>
  <c r="AK16" i="1"/>
  <c r="AO16" i="1" s="1"/>
  <c r="BC16" i="1" s="1"/>
  <c r="AK15" i="1"/>
  <c r="AO15" i="1" s="1"/>
  <c r="BC15" i="1" s="1"/>
  <c r="AK14" i="1"/>
  <c r="AO14" i="1" s="1"/>
  <c r="BC14" i="1" s="1"/>
  <c r="AK13" i="1"/>
  <c r="AO13" i="1" s="1"/>
  <c r="BC13" i="1" s="1"/>
  <c r="AK12" i="1"/>
  <c r="AO12" i="1" s="1"/>
  <c r="BC12" i="1" s="1"/>
  <c r="AK11" i="1"/>
  <c r="AO11" i="1" s="1"/>
  <c r="BC11" i="1" s="1"/>
  <c r="AK10" i="1"/>
  <c r="AO10" i="1" s="1"/>
  <c r="BC10" i="1" s="1"/>
  <c r="AK9" i="1"/>
  <c r="AO9" i="1" s="1"/>
  <c r="BC9" i="1" s="1"/>
  <c r="AK8" i="1"/>
  <c r="AO8" i="1" s="1"/>
  <c r="BC8" i="1" s="1"/>
  <c r="AK7" i="1"/>
  <c r="AO7" i="1" s="1"/>
  <c r="BC7" i="1" s="1"/>
  <c r="AK6" i="1"/>
  <c r="AO6" i="1" s="1"/>
  <c r="BC6" i="1" s="1"/>
  <c r="AK5" i="1"/>
  <c r="AO5" i="1" s="1"/>
  <c r="BC5" i="1" s="1"/>
  <c r="AH6" i="1"/>
  <c r="AI6" i="1"/>
  <c r="AH7" i="1"/>
  <c r="AI7" i="1"/>
  <c r="AH8" i="1"/>
  <c r="AI8" i="1"/>
  <c r="AH9" i="1"/>
  <c r="AI9" i="1"/>
  <c r="AH10" i="1"/>
  <c r="AI10" i="1"/>
  <c r="AH11" i="1"/>
  <c r="AI11" i="1"/>
  <c r="AH12" i="1"/>
  <c r="AI12" i="1"/>
  <c r="AH13" i="1"/>
  <c r="AI13" i="1"/>
  <c r="AH14" i="1"/>
  <c r="AI14" i="1"/>
  <c r="AH15" i="1"/>
  <c r="AI15" i="1"/>
  <c r="AH16" i="1"/>
  <c r="AI16" i="1"/>
  <c r="AH17" i="1"/>
  <c r="AI17" i="1"/>
  <c r="AH18" i="1"/>
  <c r="AI18" i="1"/>
  <c r="AH19" i="1"/>
  <c r="AI19" i="1"/>
  <c r="AH20" i="1"/>
  <c r="AI20" i="1"/>
  <c r="AH21" i="1"/>
  <c r="AI21" i="1"/>
  <c r="AH22" i="1"/>
  <c r="AI22" i="1"/>
  <c r="AH23" i="1"/>
  <c r="AI23" i="1"/>
  <c r="AH24" i="1"/>
  <c r="AI24" i="1"/>
  <c r="AH25" i="1"/>
  <c r="AI25" i="1"/>
  <c r="AH26" i="1"/>
  <c r="AI26" i="1"/>
  <c r="AH27" i="1"/>
  <c r="AI27" i="1"/>
  <c r="AH28" i="1"/>
  <c r="AI28" i="1"/>
  <c r="AH29" i="1"/>
  <c r="AI29" i="1"/>
  <c r="AH30" i="1"/>
  <c r="AI30" i="1"/>
  <c r="AH31" i="1"/>
  <c r="AI31" i="1"/>
  <c r="AH32" i="1"/>
  <c r="AI32" i="1"/>
  <c r="AH33" i="1"/>
  <c r="AI33" i="1"/>
  <c r="AH34" i="1"/>
  <c r="AI34" i="1"/>
  <c r="AH35" i="1"/>
  <c r="AI35" i="1"/>
  <c r="AH36" i="1"/>
  <c r="AI36" i="1"/>
  <c r="AH37" i="1"/>
  <c r="AI37" i="1"/>
  <c r="AH38" i="1"/>
  <c r="AI38" i="1"/>
  <c r="AH39" i="1"/>
  <c r="AI39" i="1"/>
  <c r="AH40" i="1"/>
  <c r="AI40" i="1"/>
  <c r="AH41" i="1"/>
  <c r="AI41" i="1"/>
  <c r="AH42" i="1"/>
  <c r="AI42" i="1"/>
  <c r="AH43" i="1"/>
  <c r="AI43" i="1"/>
  <c r="AH44" i="1"/>
  <c r="AI44" i="1"/>
  <c r="AH45" i="1"/>
  <c r="AI45" i="1"/>
  <c r="AH46" i="1"/>
  <c r="AI46" i="1"/>
  <c r="AH47" i="1"/>
  <c r="AI47" i="1"/>
  <c r="AH48" i="1"/>
  <c r="AI48" i="1"/>
  <c r="AH49" i="1"/>
  <c r="AI49" i="1"/>
  <c r="AH50" i="1"/>
  <c r="AI50" i="1"/>
  <c r="AH51" i="1"/>
  <c r="AI51" i="1"/>
  <c r="AH52" i="1"/>
  <c r="AI52" i="1"/>
  <c r="AH53" i="1"/>
  <c r="AI53" i="1"/>
  <c r="AH54" i="1"/>
  <c r="AI54" i="1"/>
  <c r="AH55" i="1"/>
  <c r="AI55" i="1"/>
  <c r="AH56" i="1"/>
  <c r="AI56" i="1"/>
  <c r="AH57" i="1"/>
  <c r="AI57" i="1"/>
  <c r="AH58" i="1"/>
  <c r="AI58" i="1"/>
  <c r="AH59" i="1"/>
  <c r="AI59" i="1"/>
  <c r="AH60" i="1"/>
  <c r="AI60" i="1"/>
  <c r="AH61" i="1"/>
  <c r="AI61" i="1"/>
  <c r="AH62" i="1"/>
  <c r="AI62" i="1"/>
  <c r="AH63" i="1"/>
  <c r="AI63" i="1"/>
  <c r="AH64" i="1"/>
  <c r="AI64" i="1"/>
  <c r="AH65" i="1"/>
  <c r="AI65" i="1"/>
  <c r="AH66" i="1"/>
  <c r="AI66" i="1"/>
  <c r="AH67" i="1"/>
  <c r="AI67" i="1"/>
  <c r="AH68" i="1"/>
  <c r="AI68" i="1"/>
  <c r="AH69" i="1"/>
  <c r="AI69" i="1"/>
  <c r="AH70" i="1"/>
  <c r="AI70" i="1"/>
  <c r="AH71" i="1"/>
  <c r="AI71" i="1"/>
  <c r="AH72" i="1"/>
  <c r="AI72" i="1"/>
  <c r="AH73" i="1"/>
  <c r="AI73" i="1"/>
  <c r="AH74" i="1"/>
  <c r="AI74" i="1"/>
  <c r="AH75" i="1"/>
  <c r="AI75" i="1"/>
  <c r="AH76" i="1"/>
  <c r="AI76" i="1"/>
  <c r="AH77" i="1"/>
  <c r="AI77" i="1"/>
  <c r="AH78" i="1"/>
  <c r="AI78" i="1"/>
  <c r="AH79" i="1"/>
  <c r="AI79" i="1"/>
  <c r="AH80" i="1"/>
  <c r="AI80" i="1"/>
  <c r="AH81" i="1"/>
  <c r="AI81" i="1"/>
  <c r="AH82" i="1"/>
  <c r="AI82" i="1"/>
  <c r="AH83" i="1"/>
  <c r="AI83" i="1"/>
  <c r="AH84" i="1"/>
  <c r="AI84" i="1"/>
  <c r="AH85" i="1"/>
  <c r="AI85" i="1"/>
  <c r="AH86" i="1"/>
  <c r="AI86" i="1"/>
  <c r="AH87" i="1"/>
  <c r="AI87" i="1"/>
  <c r="AH88" i="1"/>
  <c r="AI88" i="1"/>
  <c r="AH89" i="1"/>
  <c r="AI89" i="1"/>
  <c r="AH90" i="1"/>
  <c r="AI90" i="1"/>
  <c r="AH91" i="1"/>
  <c r="AI91" i="1"/>
  <c r="AH92" i="1"/>
  <c r="AI92" i="1"/>
  <c r="AH93" i="1"/>
  <c r="AI93" i="1"/>
  <c r="AH94" i="1"/>
  <c r="AI94" i="1"/>
  <c r="AH95" i="1"/>
  <c r="AI95" i="1"/>
  <c r="AH96" i="1"/>
  <c r="AI96" i="1"/>
  <c r="AH97" i="1"/>
  <c r="AI97" i="1"/>
  <c r="AH98" i="1"/>
  <c r="AI98" i="1"/>
  <c r="AH99" i="1"/>
  <c r="AI99" i="1"/>
  <c r="AH100" i="1"/>
  <c r="AI100" i="1"/>
  <c r="AH101" i="1"/>
  <c r="AI101" i="1"/>
  <c r="AH102" i="1"/>
  <c r="AI102" i="1"/>
  <c r="AH103" i="1"/>
  <c r="AI103" i="1"/>
  <c r="AH104" i="1"/>
  <c r="AI104" i="1"/>
  <c r="AH105" i="1"/>
  <c r="AI105" i="1"/>
  <c r="AH106" i="1"/>
  <c r="AI106" i="1"/>
  <c r="AH107" i="1"/>
  <c r="AI107" i="1"/>
  <c r="AH108" i="1"/>
  <c r="AI108" i="1"/>
  <c r="AH109" i="1"/>
  <c r="AI109" i="1"/>
  <c r="AH110" i="1"/>
  <c r="AI110" i="1"/>
  <c r="AH111" i="1"/>
  <c r="AI111" i="1"/>
  <c r="AH112" i="1"/>
  <c r="AI112" i="1"/>
  <c r="AH113" i="1"/>
  <c r="AI113" i="1"/>
  <c r="AH114" i="1"/>
  <c r="AI114" i="1"/>
  <c r="AH115" i="1"/>
  <c r="AI115" i="1"/>
  <c r="AH116" i="1"/>
  <c r="AI116" i="1"/>
  <c r="AH117" i="1"/>
  <c r="AI117" i="1"/>
  <c r="AH118" i="1"/>
  <c r="AI118" i="1"/>
  <c r="AH119" i="1"/>
  <c r="AI119" i="1"/>
  <c r="AH120" i="1"/>
  <c r="AI120" i="1"/>
  <c r="AH121" i="1"/>
  <c r="AI121" i="1"/>
  <c r="AH122" i="1"/>
  <c r="AI122" i="1"/>
  <c r="AH123" i="1"/>
  <c r="AI123" i="1"/>
  <c r="AH124" i="1"/>
  <c r="AI124" i="1"/>
  <c r="AH125" i="1"/>
  <c r="AI125" i="1"/>
  <c r="AH126" i="1"/>
  <c r="AI126" i="1"/>
  <c r="AH127" i="1"/>
  <c r="AI127" i="1"/>
  <c r="AH128" i="1"/>
  <c r="AI128" i="1"/>
  <c r="AH129" i="1"/>
  <c r="AI129" i="1"/>
  <c r="AH130" i="1"/>
  <c r="AI130" i="1"/>
  <c r="AH131" i="1"/>
  <c r="AI131" i="1"/>
  <c r="AH132" i="1"/>
  <c r="AI132" i="1"/>
  <c r="AH133" i="1"/>
  <c r="AI133" i="1"/>
  <c r="AH134" i="1"/>
  <c r="AI134" i="1"/>
  <c r="AH135" i="1"/>
  <c r="AI135" i="1"/>
  <c r="AH136" i="1"/>
  <c r="AI136" i="1"/>
  <c r="AH137" i="1"/>
  <c r="AI137" i="1"/>
  <c r="AH138" i="1"/>
  <c r="AI138" i="1"/>
  <c r="AH139" i="1"/>
  <c r="AI139" i="1"/>
  <c r="AH140" i="1"/>
  <c r="AI140" i="1"/>
  <c r="AH141" i="1"/>
  <c r="AI141" i="1"/>
  <c r="AH142" i="1"/>
  <c r="AI142" i="1"/>
  <c r="AH143" i="1"/>
  <c r="AI143" i="1"/>
  <c r="AH144" i="1"/>
  <c r="AI144" i="1"/>
  <c r="AH145" i="1"/>
  <c r="AI145" i="1"/>
  <c r="AH146" i="1"/>
  <c r="AI146" i="1"/>
  <c r="AH147" i="1"/>
  <c r="AI147" i="1"/>
  <c r="AH148" i="1"/>
  <c r="AI148" i="1"/>
  <c r="AH149" i="1"/>
  <c r="AI149" i="1"/>
  <c r="AH150" i="1"/>
  <c r="AI150" i="1"/>
  <c r="AH151" i="1"/>
  <c r="AI151" i="1"/>
  <c r="AH152" i="1"/>
  <c r="AI152" i="1"/>
  <c r="AH153" i="1"/>
  <c r="AI153" i="1"/>
  <c r="AH154" i="1"/>
  <c r="AI154" i="1"/>
  <c r="AH155" i="1"/>
  <c r="AI155" i="1"/>
  <c r="AH156" i="1"/>
  <c r="AI156" i="1"/>
  <c r="AH157" i="1"/>
  <c r="AI157" i="1"/>
  <c r="AH158" i="1"/>
  <c r="AI158" i="1"/>
  <c r="AH159" i="1"/>
  <c r="AI159" i="1"/>
  <c r="AH160" i="1"/>
  <c r="AI160" i="1"/>
  <c r="AH161" i="1"/>
  <c r="AI161" i="1"/>
  <c r="AH162" i="1"/>
  <c r="AI162" i="1"/>
  <c r="AH163" i="1"/>
  <c r="AI163" i="1"/>
  <c r="AH164" i="1"/>
  <c r="AI164" i="1"/>
  <c r="AH165" i="1"/>
  <c r="AI165" i="1"/>
  <c r="AH166" i="1"/>
  <c r="AI166" i="1"/>
  <c r="AH167" i="1"/>
  <c r="AI167" i="1"/>
  <c r="AH168" i="1"/>
  <c r="AI168" i="1"/>
  <c r="AH169" i="1"/>
  <c r="AI169" i="1"/>
  <c r="AH170" i="1"/>
  <c r="AI170" i="1"/>
  <c r="AH171" i="1"/>
  <c r="AI171" i="1"/>
  <c r="AH172" i="1"/>
  <c r="AI172" i="1"/>
  <c r="AH173" i="1"/>
  <c r="AI173" i="1"/>
  <c r="AH174" i="1"/>
  <c r="AI174" i="1"/>
  <c r="AH175" i="1"/>
  <c r="AI175" i="1"/>
  <c r="AH176" i="1"/>
  <c r="AI176" i="1"/>
  <c r="AH177" i="1"/>
  <c r="AI177" i="1"/>
  <c r="AH178" i="1"/>
  <c r="AI178" i="1"/>
  <c r="AH179" i="1"/>
  <c r="AI179" i="1"/>
  <c r="AH180" i="1"/>
  <c r="AI180" i="1"/>
  <c r="AH181" i="1"/>
  <c r="AI181" i="1"/>
  <c r="AH182" i="1"/>
  <c r="AI182" i="1"/>
  <c r="AH183" i="1"/>
  <c r="AI183" i="1"/>
  <c r="AH184" i="1"/>
  <c r="AI184" i="1"/>
  <c r="AH185" i="1"/>
  <c r="AI185" i="1"/>
  <c r="AH186" i="1"/>
  <c r="AI186" i="1"/>
  <c r="AH187" i="1"/>
  <c r="AI187" i="1"/>
  <c r="AH188" i="1"/>
  <c r="AI188" i="1"/>
  <c r="AH189" i="1"/>
  <c r="AI189" i="1"/>
  <c r="AH190" i="1"/>
  <c r="AI190" i="1"/>
  <c r="AH191" i="1"/>
  <c r="AI191" i="1"/>
  <c r="AH192" i="1"/>
  <c r="AI192" i="1"/>
  <c r="AH193" i="1"/>
  <c r="AI193" i="1"/>
  <c r="AH194" i="1"/>
  <c r="AI194" i="1"/>
  <c r="AH195" i="1"/>
  <c r="AI195" i="1"/>
  <c r="AH196" i="1"/>
  <c r="AI196" i="1"/>
  <c r="AH197" i="1"/>
  <c r="AI197" i="1"/>
  <c r="AH198" i="1"/>
  <c r="AI198" i="1"/>
  <c r="AH199" i="1"/>
  <c r="AI199" i="1"/>
  <c r="AH200" i="1"/>
  <c r="AI200" i="1"/>
  <c r="AH201" i="1"/>
  <c r="AI201" i="1"/>
  <c r="AH202" i="1"/>
  <c r="AI202" i="1"/>
  <c r="AH203" i="1"/>
  <c r="AI203" i="1"/>
  <c r="AH204" i="1"/>
  <c r="AI204" i="1"/>
  <c r="AH205" i="1"/>
  <c r="AI205" i="1"/>
  <c r="AH206" i="1"/>
  <c r="AI206" i="1"/>
  <c r="AH207" i="1"/>
  <c r="AI207" i="1"/>
  <c r="AH208" i="1"/>
  <c r="AI208" i="1"/>
  <c r="AH209" i="1"/>
  <c r="AI209" i="1"/>
  <c r="AH210" i="1"/>
  <c r="AI210" i="1"/>
  <c r="AH211" i="1"/>
  <c r="AI211" i="1"/>
  <c r="AH212" i="1"/>
  <c r="AI212" i="1"/>
  <c r="AH213" i="1"/>
  <c r="AI213" i="1"/>
  <c r="AH214" i="1"/>
  <c r="AI214" i="1"/>
  <c r="AH215" i="1"/>
  <c r="AI215" i="1"/>
  <c r="AH216" i="1"/>
  <c r="AI216" i="1"/>
  <c r="AH217" i="1"/>
  <c r="AI217" i="1"/>
  <c r="AH218" i="1"/>
  <c r="AI218" i="1"/>
  <c r="AH219" i="1"/>
  <c r="AI219" i="1"/>
  <c r="AH220" i="1"/>
  <c r="AI220" i="1"/>
  <c r="AH221" i="1"/>
  <c r="AI221" i="1"/>
  <c r="AH222" i="1"/>
  <c r="AI222" i="1"/>
  <c r="AH223" i="1"/>
  <c r="AI223" i="1"/>
  <c r="AH224" i="1"/>
  <c r="AI224" i="1"/>
  <c r="AH225" i="1"/>
  <c r="AI225" i="1"/>
  <c r="AH226" i="1"/>
  <c r="AI226" i="1"/>
  <c r="AH227" i="1"/>
  <c r="AI227" i="1"/>
  <c r="AH228" i="1"/>
  <c r="AI228" i="1"/>
  <c r="AH229" i="1"/>
  <c r="AI229" i="1"/>
  <c r="AH230" i="1"/>
  <c r="AI230" i="1"/>
  <c r="AH231" i="1"/>
  <c r="AI231" i="1"/>
  <c r="AH232" i="1"/>
  <c r="AI232" i="1"/>
  <c r="AH233" i="1"/>
  <c r="AI233" i="1"/>
  <c r="AH234" i="1"/>
  <c r="AI234" i="1"/>
  <c r="AH235" i="1"/>
  <c r="AI235" i="1"/>
  <c r="AH236" i="1"/>
  <c r="AI236" i="1"/>
  <c r="AH237" i="1"/>
  <c r="AI237" i="1"/>
  <c r="AH238" i="1"/>
  <c r="AI238" i="1"/>
  <c r="AH239" i="1"/>
  <c r="AI239" i="1"/>
  <c r="AH240" i="1"/>
  <c r="AI240" i="1"/>
  <c r="AH241" i="1"/>
  <c r="AI241" i="1"/>
  <c r="AH242" i="1"/>
  <c r="AI242" i="1"/>
  <c r="AH243" i="1"/>
  <c r="AI243" i="1"/>
  <c r="AH244" i="1"/>
  <c r="AI244" i="1"/>
  <c r="AH245" i="1"/>
  <c r="AI245" i="1"/>
  <c r="AH246" i="1"/>
  <c r="AI246" i="1"/>
  <c r="AH247" i="1"/>
  <c r="AI247" i="1"/>
  <c r="AH248" i="1"/>
  <c r="AI248" i="1"/>
  <c r="AH249" i="1"/>
  <c r="AI249" i="1"/>
  <c r="AH250" i="1"/>
  <c r="AI250" i="1"/>
  <c r="AH251" i="1"/>
  <c r="AI251" i="1"/>
  <c r="AH252" i="1"/>
  <c r="AI252" i="1"/>
  <c r="AH253" i="1"/>
  <c r="AI253" i="1"/>
  <c r="AH254" i="1"/>
  <c r="AI254" i="1"/>
  <c r="AH255" i="1"/>
  <c r="AI255" i="1"/>
  <c r="AH256" i="1"/>
  <c r="AI256" i="1"/>
  <c r="AH257" i="1"/>
  <c r="AI257" i="1"/>
  <c r="AH258" i="1"/>
  <c r="AI258" i="1"/>
  <c r="AH259" i="1"/>
  <c r="AI259" i="1"/>
  <c r="AH260" i="1"/>
  <c r="AI260" i="1"/>
  <c r="AH261" i="1"/>
  <c r="AI261" i="1"/>
  <c r="AH262" i="1"/>
  <c r="AI262" i="1"/>
  <c r="AH263" i="1"/>
  <c r="AI263" i="1"/>
  <c r="AH264" i="1"/>
  <c r="AI264" i="1"/>
  <c r="AH265" i="1"/>
  <c r="AI265" i="1"/>
  <c r="AH266" i="1"/>
  <c r="AI266" i="1"/>
  <c r="AH267" i="1"/>
  <c r="AI267" i="1"/>
  <c r="AH268" i="1"/>
  <c r="AI268" i="1"/>
  <c r="AH269" i="1"/>
  <c r="AI269" i="1"/>
  <c r="AH270" i="1"/>
  <c r="AI270" i="1"/>
  <c r="AH271" i="1"/>
  <c r="AI271" i="1"/>
  <c r="AH272" i="1"/>
  <c r="AI272" i="1"/>
  <c r="AH273" i="1"/>
  <c r="AI273" i="1"/>
  <c r="AH274" i="1"/>
  <c r="AI274" i="1"/>
  <c r="AH275" i="1"/>
  <c r="AI275" i="1"/>
  <c r="AH276" i="1"/>
  <c r="AI276" i="1"/>
  <c r="AH277" i="1"/>
  <c r="AI277" i="1"/>
  <c r="AH278" i="1"/>
  <c r="AI278" i="1"/>
  <c r="AH279" i="1"/>
  <c r="AI279" i="1"/>
  <c r="AI280" i="1"/>
  <c r="AH281" i="1"/>
  <c r="AI281" i="1"/>
  <c r="AH282" i="1"/>
  <c r="AI282" i="1"/>
  <c r="AH283" i="1"/>
  <c r="AI283" i="1"/>
  <c r="AH284" i="1"/>
  <c r="AI284" i="1"/>
  <c r="AH285" i="1"/>
  <c r="AI285" i="1"/>
  <c r="AH286" i="1"/>
  <c r="AI286" i="1"/>
  <c r="AH287" i="1"/>
  <c r="AI287" i="1"/>
  <c r="AH288" i="1"/>
  <c r="AI288" i="1"/>
  <c r="AH289" i="1"/>
  <c r="AI289" i="1"/>
  <c r="AH290" i="1"/>
  <c r="AI290" i="1"/>
  <c r="AH291" i="1"/>
  <c r="AI291" i="1"/>
  <c r="AH292" i="1"/>
  <c r="AI292" i="1"/>
  <c r="AH293" i="1"/>
  <c r="AI293" i="1"/>
  <c r="AH294" i="1"/>
  <c r="AI294" i="1"/>
  <c r="AH295" i="1"/>
  <c r="AI295" i="1"/>
  <c r="AH296" i="1"/>
  <c r="AI296" i="1"/>
  <c r="AH297" i="1"/>
  <c r="AI297" i="1"/>
  <c r="AH298" i="1"/>
  <c r="AI298" i="1"/>
  <c r="AH299" i="1"/>
  <c r="AI299" i="1"/>
  <c r="AH300" i="1"/>
  <c r="AI300" i="1"/>
  <c r="AH301" i="1"/>
  <c r="AI301" i="1"/>
  <c r="AH302" i="1"/>
  <c r="AI302" i="1"/>
  <c r="AH303" i="1"/>
  <c r="AI303" i="1"/>
  <c r="AH304" i="1"/>
  <c r="AI304" i="1"/>
  <c r="AH305" i="1"/>
  <c r="AI305" i="1"/>
  <c r="AH306" i="1"/>
  <c r="AI306" i="1"/>
  <c r="AH307" i="1"/>
  <c r="AI307" i="1"/>
  <c r="AH308" i="1"/>
  <c r="AI308" i="1"/>
  <c r="AH309" i="1"/>
  <c r="AI309" i="1"/>
  <c r="AH310" i="1"/>
  <c r="AI310" i="1"/>
  <c r="AH311" i="1"/>
  <c r="AI311" i="1"/>
  <c r="AH312" i="1"/>
  <c r="AI312" i="1"/>
  <c r="AH313" i="1"/>
  <c r="AI313" i="1"/>
  <c r="AH314" i="1"/>
  <c r="AI314" i="1"/>
  <c r="AH315" i="1"/>
  <c r="AI315" i="1"/>
  <c r="AH316" i="1"/>
  <c r="AI316" i="1"/>
  <c r="AH317" i="1"/>
  <c r="AI317" i="1"/>
  <c r="AH318" i="1"/>
  <c r="AI318" i="1"/>
  <c r="AH319" i="1"/>
  <c r="AI319" i="1"/>
  <c r="AH320" i="1"/>
  <c r="AI320" i="1"/>
  <c r="AH321" i="1"/>
  <c r="AI321" i="1"/>
  <c r="AH322" i="1"/>
  <c r="AI322" i="1"/>
  <c r="AH323" i="1"/>
  <c r="AI323" i="1"/>
  <c r="AH324" i="1"/>
  <c r="AI324" i="1"/>
  <c r="AH325" i="1"/>
  <c r="AI325" i="1"/>
  <c r="AH326" i="1"/>
  <c r="AI326" i="1"/>
  <c r="AH327" i="1"/>
  <c r="AI327" i="1"/>
  <c r="AH328" i="1"/>
  <c r="AI328" i="1"/>
  <c r="AH329" i="1"/>
  <c r="AI329" i="1"/>
  <c r="AH330" i="1"/>
  <c r="AI330" i="1"/>
  <c r="AH331" i="1"/>
  <c r="AI331" i="1"/>
  <c r="AH332" i="1"/>
  <c r="AI332" i="1"/>
  <c r="AH333" i="1"/>
  <c r="AI333" i="1"/>
  <c r="AH334" i="1"/>
  <c r="AI334" i="1"/>
  <c r="AH335" i="1"/>
  <c r="AI335" i="1"/>
  <c r="AH336" i="1"/>
  <c r="AI336" i="1"/>
  <c r="AH337" i="1"/>
  <c r="AI337" i="1"/>
  <c r="AH338" i="1"/>
  <c r="AI338" i="1"/>
  <c r="AH339" i="1"/>
  <c r="AI339" i="1"/>
  <c r="AH340" i="1"/>
  <c r="AI340" i="1"/>
  <c r="AH341" i="1"/>
  <c r="AI341" i="1"/>
  <c r="AH342" i="1"/>
  <c r="AI342" i="1"/>
  <c r="AH343" i="1"/>
  <c r="AI343" i="1"/>
  <c r="AH344" i="1"/>
  <c r="AI344" i="1"/>
  <c r="AH345" i="1"/>
  <c r="AI345" i="1"/>
  <c r="AH346" i="1"/>
  <c r="AI346" i="1"/>
  <c r="AH347" i="1"/>
  <c r="AI347" i="1"/>
  <c r="AH348" i="1"/>
  <c r="AI348" i="1"/>
  <c r="AH349" i="1"/>
  <c r="AI349" i="1"/>
  <c r="AH350" i="1"/>
  <c r="AI350" i="1"/>
  <c r="AH351" i="1"/>
  <c r="AI351" i="1"/>
  <c r="AH352" i="1"/>
  <c r="AI352" i="1"/>
  <c r="AH353" i="1"/>
  <c r="AI353" i="1"/>
  <c r="AH354" i="1"/>
  <c r="AI354" i="1"/>
  <c r="AH355" i="1"/>
  <c r="AI355" i="1"/>
  <c r="AH356" i="1"/>
  <c r="AI356" i="1"/>
  <c r="AH357" i="1"/>
  <c r="AI357" i="1"/>
  <c r="AH358" i="1"/>
  <c r="AI358" i="1"/>
  <c r="AH359" i="1"/>
  <c r="AI359" i="1"/>
  <c r="AH360" i="1"/>
  <c r="AI360" i="1"/>
  <c r="AH361" i="1"/>
  <c r="AI361" i="1"/>
  <c r="AH362" i="1"/>
  <c r="AI362" i="1"/>
  <c r="AH363" i="1"/>
  <c r="AI363" i="1"/>
  <c r="AH364" i="1"/>
  <c r="AI364" i="1"/>
  <c r="AH365" i="1"/>
  <c r="AI365" i="1"/>
  <c r="AH366" i="1"/>
  <c r="AI366" i="1"/>
  <c r="AH367" i="1"/>
  <c r="AI367" i="1"/>
  <c r="AH368" i="1"/>
  <c r="AI368" i="1"/>
  <c r="AH369" i="1"/>
  <c r="AI369" i="1"/>
  <c r="AH370" i="1"/>
  <c r="AI370" i="1"/>
  <c r="AH371" i="1"/>
  <c r="AI371" i="1"/>
  <c r="AH372" i="1"/>
  <c r="AI372" i="1"/>
  <c r="AH373" i="1"/>
  <c r="AI373" i="1"/>
  <c r="AH374" i="1"/>
  <c r="AI374" i="1"/>
  <c r="AH375" i="1"/>
  <c r="AI375" i="1"/>
  <c r="AH376" i="1"/>
  <c r="AI376" i="1"/>
  <c r="AH377" i="1"/>
  <c r="AI377" i="1"/>
  <c r="AH378" i="1"/>
  <c r="AI378" i="1"/>
  <c r="AH379" i="1"/>
  <c r="AI379" i="1"/>
  <c r="AH380" i="1"/>
  <c r="AI380" i="1"/>
  <c r="AH381" i="1"/>
  <c r="AI381" i="1"/>
  <c r="AH382" i="1"/>
  <c r="AI382" i="1"/>
  <c r="AH383" i="1"/>
  <c r="AI383" i="1"/>
  <c r="AH384" i="1"/>
  <c r="AI384" i="1"/>
  <c r="AH385" i="1"/>
  <c r="AI385" i="1"/>
  <c r="AH386" i="1"/>
  <c r="AI386" i="1"/>
  <c r="AH387" i="1"/>
  <c r="AI387" i="1"/>
  <c r="AH388" i="1"/>
  <c r="AI388" i="1"/>
  <c r="AH389" i="1"/>
  <c r="AI389" i="1"/>
  <c r="AH390" i="1"/>
  <c r="AI390" i="1"/>
  <c r="AH391" i="1"/>
  <c r="AI391" i="1"/>
  <c r="AH392" i="1"/>
  <c r="AI392" i="1"/>
  <c r="AH393" i="1"/>
  <c r="AI393" i="1"/>
  <c r="AH394" i="1"/>
  <c r="AI394" i="1"/>
  <c r="AH395" i="1"/>
  <c r="AI395" i="1"/>
  <c r="AH396" i="1"/>
  <c r="AI396" i="1"/>
  <c r="AH397" i="1"/>
  <c r="AI397" i="1"/>
  <c r="AH398" i="1"/>
  <c r="AI398" i="1"/>
  <c r="AH399" i="1"/>
  <c r="AI399" i="1"/>
  <c r="AH400" i="1"/>
  <c r="AI400" i="1"/>
  <c r="AH401" i="1"/>
  <c r="AI401" i="1"/>
  <c r="AH402" i="1"/>
  <c r="AI402" i="1"/>
  <c r="AH403" i="1"/>
  <c r="AI403" i="1"/>
  <c r="AH404" i="1"/>
  <c r="AI404" i="1"/>
  <c r="AH405" i="1"/>
  <c r="AI405" i="1"/>
  <c r="AH406" i="1"/>
  <c r="AI406" i="1"/>
  <c r="AH407" i="1"/>
  <c r="AI407" i="1"/>
  <c r="AH408" i="1"/>
  <c r="AI408" i="1"/>
  <c r="AH409" i="1"/>
  <c r="AI409" i="1"/>
  <c r="AH410" i="1"/>
  <c r="AI410" i="1"/>
  <c r="AH411" i="1"/>
  <c r="AI411" i="1"/>
  <c r="AH412" i="1"/>
  <c r="AI412" i="1"/>
  <c r="AH413" i="1"/>
  <c r="AI413" i="1"/>
  <c r="AH414" i="1"/>
  <c r="AI414" i="1"/>
  <c r="AH415" i="1"/>
  <c r="AI415" i="1"/>
  <c r="AH416" i="1"/>
  <c r="AI416" i="1"/>
  <c r="AH417" i="1"/>
  <c r="AI417" i="1"/>
  <c r="AH418" i="1"/>
  <c r="AI418" i="1"/>
  <c r="AH419" i="1"/>
  <c r="AI419" i="1"/>
  <c r="AH420" i="1"/>
  <c r="AI420" i="1"/>
  <c r="AH421" i="1"/>
  <c r="AI421" i="1"/>
  <c r="AH422" i="1"/>
  <c r="AI422" i="1"/>
  <c r="AH423" i="1"/>
  <c r="AI423" i="1"/>
  <c r="AH424" i="1"/>
  <c r="AI424" i="1"/>
  <c r="AH425" i="1"/>
  <c r="AI425" i="1"/>
  <c r="AH426" i="1"/>
  <c r="AI426" i="1"/>
  <c r="AH427" i="1"/>
  <c r="AI427" i="1"/>
  <c r="AH428" i="1"/>
  <c r="AI428" i="1"/>
  <c r="AH429" i="1"/>
  <c r="AI429" i="1"/>
  <c r="AH430" i="1"/>
  <c r="AI430" i="1"/>
  <c r="AH431" i="1"/>
  <c r="AI431" i="1"/>
  <c r="AH432" i="1"/>
  <c r="AI432" i="1"/>
  <c r="AH433" i="1"/>
  <c r="AI433" i="1"/>
  <c r="AH434" i="1"/>
  <c r="AI434" i="1"/>
  <c r="AH435" i="1"/>
  <c r="AI435" i="1"/>
  <c r="AH436" i="1"/>
  <c r="AI436" i="1"/>
  <c r="AH437" i="1"/>
  <c r="AI437" i="1"/>
  <c r="AH438" i="1"/>
  <c r="AI438" i="1"/>
  <c r="AH439" i="1"/>
  <c r="AI439" i="1"/>
  <c r="AH440" i="1"/>
  <c r="AI440" i="1"/>
  <c r="AH441" i="1"/>
  <c r="AI441" i="1"/>
  <c r="AH442" i="1"/>
  <c r="AI442" i="1"/>
  <c r="AH443" i="1"/>
  <c r="AI443" i="1"/>
  <c r="AH444" i="1"/>
  <c r="AI444" i="1"/>
  <c r="AH445" i="1"/>
  <c r="AI445" i="1"/>
  <c r="AH446" i="1"/>
  <c r="AI446" i="1"/>
  <c r="AH447" i="1"/>
  <c r="AI447" i="1"/>
  <c r="AH448" i="1"/>
  <c r="AI448" i="1"/>
  <c r="AH449" i="1"/>
  <c r="AI449" i="1"/>
  <c r="AH450" i="1"/>
  <c r="AI450" i="1"/>
  <c r="AH451" i="1"/>
  <c r="AI451" i="1"/>
  <c r="AH452" i="1"/>
  <c r="AI452" i="1"/>
  <c r="AH453" i="1"/>
  <c r="AI453" i="1"/>
  <c r="AH454" i="1"/>
  <c r="AI454" i="1"/>
  <c r="AH455" i="1"/>
  <c r="AI455" i="1"/>
  <c r="AH456" i="1"/>
  <c r="AI456" i="1"/>
  <c r="AH457" i="1"/>
  <c r="AI457" i="1"/>
  <c r="AH458" i="1"/>
  <c r="AI458" i="1"/>
  <c r="AH459" i="1"/>
  <c r="AI459" i="1"/>
  <c r="AH460" i="1"/>
  <c r="AI460" i="1"/>
  <c r="AH461" i="1"/>
  <c r="AI461" i="1"/>
  <c r="AH462" i="1"/>
  <c r="AI462" i="1"/>
  <c r="AH463" i="1"/>
  <c r="AI463" i="1"/>
  <c r="AH464" i="1"/>
  <c r="AI464" i="1"/>
  <c r="AH465" i="1"/>
  <c r="AI465" i="1"/>
  <c r="AH466" i="1"/>
  <c r="AI466" i="1"/>
  <c r="AH467" i="1"/>
  <c r="AI467" i="1"/>
  <c r="AH468" i="1"/>
  <c r="AI468" i="1"/>
  <c r="AH469" i="1"/>
  <c r="AI469" i="1"/>
  <c r="AH470" i="1"/>
  <c r="AI470" i="1"/>
  <c r="AH471" i="1"/>
  <c r="AI471" i="1"/>
  <c r="AH472" i="1"/>
  <c r="AI472" i="1"/>
  <c r="AH473" i="1"/>
  <c r="AI473" i="1"/>
  <c r="AH474" i="1"/>
  <c r="AI474" i="1"/>
  <c r="AH475" i="1"/>
  <c r="AI475" i="1"/>
  <c r="AH476" i="1"/>
  <c r="AI476" i="1"/>
  <c r="AH477" i="1"/>
  <c r="AI477" i="1"/>
  <c r="AH478" i="1"/>
  <c r="AI478" i="1"/>
  <c r="AH479" i="1"/>
  <c r="AI479" i="1"/>
  <c r="AH480" i="1"/>
  <c r="AI480" i="1"/>
  <c r="AH481" i="1"/>
  <c r="AI481" i="1"/>
  <c r="AH482" i="1"/>
  <c r="AI482" i="1"/>
  <c r="AH483" i="1"/>
  <c r="AI483" i="1"/>
  <c r="AH484" i="1"/>
  <c r="AI484" i="1"/>
  <c r="AH485" i="1"/>
  <c r="AI485" i="1"/>
  <c r="AH486" i="1"/>
  <c r="AI486" i="1"/>
  <c r="AH487" i="1"/>
  <c r="AI487" i="1"/>
  <c r="AH488" i="1"/>
  <c r="AI488" i="1"/>
  <c r="AH489" i="1"/>
  <c r="AI489" i="1"/>
  <c r="AH490" i="1"/>
  <c r="AI490" i="1"/>
  <c r="AH491" i="1"/>
  <c r="AI491" i="1"/>
  <c r="AH492" i="1"/>
  <c r="AI492" i="1"/>
  <c r="AH493" i="1"/>
  <c r="AI493" i="1"/>
  <c r="AH494" i="1"/>
  <c r="AI494" i="1"/>
  <c r="AH495" i="1"/>
  <c r="AI495" i="1"/>
  <c r="AH496" i="1"/>
  <c r="AI496" i="1"/>
  <c r="AH499" i="1"/>
  <c r="AI499" i="1"/>
  <c r="AH500" i="1"/>
  <c r="AI500" i="1"/>
  <c r="AH501" i="1"/>
  <c r="AI501" i="1"/>
  <c r="AH502" i="1"/>
  <c r="AI502" i="1"/>
  <c r="AH503" i="1"/>
  <c r="AI503" i="1"/>
  <c r="AH504" i="1"/>
  <c r="AI504" i="1"/>
  <c r="AH505" i="1"/>
  <c r="AI505" i="1"/>
  <c r="AH506" i="1"/>
  <c r="AI506" i="1"/>
  <c r="AH507" i="1"/>
  <c r="AI507" i="1"/>
  <c r="AH508" i="1"/>
  <c r="AI508" i="1"/>
  <c r="AH509" i="1"/>
  <c r="AI509" i="1"/>
  <c r="AH510" i="1"/>
  <c r="AI510" i="1"/>
  <c r="AH511" i="1"/>
  <c r="AI511" i="1"/>
  <c r="AH512" i="1"/>
  <c r="AI512" i="1"/>
  <c r="AH513" i="1"/>
  <c r="AI513" i="1"/>
  <c r="AH514" i="1"/>
  <c r="AI514" i="1"/>
  <c r="AH515" i="1"/>
  <c r="AI515" i="1"/>
  <c r="AH516" i="1"/>
  <c r="AI516" i="1"/>
  <c r="AH517" i="1"/>
  <c r="AI517" i="1"/>
  <c r="AH518" i="1"/>
  <c r="AI518" i="1"/>
  <c r="AH519" i="1"/>
  <c r="AI519" i="1"/>
  <c r="AH520" i="1"/>
  <c r="AI520" i="1"/>
  <c r="AH521" i="1"/>
  <c r="AI521" i="1"/>
  <c r="AH522" i="1"/>
  <c r="AI522" i="1"/>
  <c r="AH523" i="1"/>
  <c r="AI523" i="1"/>
  <c r="AH524" i="1"/>
  <c r="AI524" i="1"/>
  <c r="AH525" i="1"/>
  <c r="AI525" i="1"/>
  <c r="AH526" i="1"/>
  <c r="AI526" i="1"/>
  <c r="AH527" i="1"/>
  <c r="AI527" i="1"/>
  <c r="AH528" i="1"/>
  <c r="AI528" i="1"/>
  <c r="AH529" i="1"/>
  <c r="AI529" i="1"/>
  <c r="AH530" i="1"/>
  <c r="AI530" i="1"/>
  <c r="AH531" i="1"/>
  <c r="AI531" i="1"/>
  <c r="AH532" i="1"/>
  <c r="AI532" i="1"/>
  <c r="AH533" i="1"/>
  <c r="AI533" i="1"/>
  <c r="AH534" i="1"/>
  <c r="AI534" i="1"/>
  <c r="AH535" i="1"/>
  <c r="AI535" i="1"/>
  <c r="AH536" i="1"/>
  <c r="AI536" i="1"/>
  <c r="AH537" i="1"/>
  <c r="AI537" i="1"/>
  <c r="AH538" i="1"/>
  <c r="AI538" i="1"/>
  <c r="AH539" i="1"/>
  <c r="AI539" i="1"/>
  <c r="AH540" i="1"/>
  <c r="AI540" i="1"/>
  <c r="AH541" i="1"/>
  <c r="AI541" i="1"/>
  <c r="AH542" i="1"/>
  <c r="AI542" i="1"/>
  <c r="AH543" i="1"/>
  <c r="AI543" i="1"/>
  <c r="AH544" i="1"/>
  <c r="AI544" i="1"/>
  <c r="AH545" i="1"/>
  <c r="AI545" i="1"/>
  <c r="AH546" i="1"/>
  <c r="AI546" i="1"/>
  <c r="AH547" i="1"/>
  <c r="AI547" i="1"/>
  <c r="AH548" i="1"/>
  <c r="AI548" i="1"/>
  <c r="AH549" i="1"/>
  <c r="AI549" i="1"/>
  <c r="AH550" i="1"/>
  <c r="AI550" i="1"/>
  <c r="AH551" i="1"/>
  <c r="AI551" i="1"/>
  <c r="AH552" i="1"/>
  <c r="AI552" i="1"/>
  <c r="AH553" i="1"/>
  <c r="AI553" i="1"/>
  <c r="AH554" i="1"/>
  <c r="AI554" i="1"/>
  <c r="AH555" i="1"/>
  <c r="AI555" i="1"/>
  <c r="AH556" i="1"/>
  <c r="AI556" i="1"/>
  <c r="AH557" i="1"/>
  <c r="AI557" i="1"/>
  <c r="AH558" i="1"/>
  <c r="AI558" i="1"/>
  <c r="AH559" i="1"/>
  <c r="AI559" i="1"/>
  <c r="AH560" i="1"/>
  <c r="AI560" i="1"/>
  <c r="AH561" i="1"/>
  <c r="AI561" i="1"/>
  <c r="AH562" i="1"/>
  <c r="AI562" i="1"/>
  <c r="AH563" i="1"/>
  <c r="AI563" i="1"/>
  <c r="AH564" i="1"/>
  <c r="AI564" i="1"/>
  <c r="AH565" i="1"/>
  <c r="AI565" i="1"/>
  <c r="AH566" i="1"/>
  <c r="AI566" i="1"/>
  <c r="AH567" i="1"/>
  <c r="AI567" i="1"/>
  <c r="AH568" i="1"/>
  <c r="AI568" i="1"/>
  <c r="AH569" i="1"/>
  <c r="AI569" i="1"/>
  <c r="AH570" i="1"/>
  <c r="AI570" i="1"/>
  <c r="AH571" i="1"/>
  <c r="AI571" i="1"/>
  <c r="AH572" i="1"/>
  <c r="AI572" i="1"/>
  <c r="AH573" i="1"/>
  <c r="AI573" i="1"/>
  <c r="AH574" i="1"/>
  <c r="AI574" i="1"/>
  <c r="AH575" i="1"/>
  <c r="AI575" i="1"/>
  <c r="AH576" i="1"/>
  <c r="AI576" i="1"/>
  <c r="AH577" i="1"/>
  <c r="AI577" i="1"/>
  <c r="AH578" i="1"/>
  <c r="AI578" i="1"/>
  <c r="AH579" i="1"/>
  <c r="AI579" i="1"/>
  <c r="AH580" i="1"/>
  <c r="AI580" i="1"/>
  <c r="AI5" i="1"/>
  <c r="AH5" i="1"/>
</calcChain>
</file>

<file path=xl/sharedStrings.xml><?xml version="1.0" encoding="utf-8"?>
<sst xmlns="http://schemas.openxmlformats.org/spreadsheetml/2006/main" count="14778" uniqueCount="195">
  <si>
    <t>Observation</t>
  </si>
  <si>
    <t>RiverWare Name:</t>
  </si>
  <si>
    <t>State</t>
  </si>
  <si>
    <t>AZ</t>
  </si>
  <si>
    <t>MohabeValleyIDDPriority1 + MohabeValleyIDDPriority4</t>
  </si>
  <si>
    <t>Mohave Valley I.D.D.</t>
  </si>
  <si>
    <t>Diversion</t>
  </si>
  <si>
    <t>Depletion</t>
  </si>
  <si>
    <t>Colorado River Indian Reservation</t>
  </si>
  <si>
    <t>ColoradoRiverIndianReservation</t>
  </si>
  <si>
    <t>CA</t>
  </si>
  <si>
    <t>NoData</t>
  </si>
  <si>
    <t>GilaGravityMainCanalPriority1</t>
  </si>
  <si>
    <t>North Gila Valley Irrigation District</t>
  </si>
  <si>
    <t>Yuma County Water Users' Association</t>
  </si>
  <si>
    <t>Unit "B" I.D.D.</t>
  </si>
  <si>
    <t>GilaGravityMainCanalPriority2and3</t>
  </si>
  <si>
    <t>Yuma Irrigation District</t>
  </si>
  <si>
    <t>Yuma Mesa I.D.D.</t>
  </si>
  <si>
    <t>Wellton-Mohawk I.D.D.</t>
  </si>
  <si>
    <t>Cibola Valley I.D.D.</t>
  </si>
  <si>
    <t>CibolaValleyIDDPriority4</t>
  </si>
  <si>
    <t>Fort Mojave Indian Reservation</t>
  </si>
  <si>
    <t>FtMohaveReservation</t>
  </si>
  <si>
    <t>Chemehuevi Indian Reservation</t>
  </si>
  <si>
    <t>ChemehueviReservation</t>
  </si>
  <si>
    <t>ParkerAndOtherUsersPriority4</t>
  </si>
  <si>
    <t>North Baja Pipeline</t>
  </si>
  <si>
    <t>Hopi Tribe</t>
  </si>
  <si>
    <t>PVIDDiversion</t>
  </si>
  <si>
    <t>Palo Verde Irrigation District</t>
  </si>
  <si>
    <t>ALLAmericanCanalYumaProj</t>
  </si>
  <si>
    <t>Bard Unit</t>
  </si>
  <si>
    <t>Indian Unit</t>
  </si>
  <si>
    <t>GilaAndYumaUsersPriority1</t>
  </si>
  <si>
    <t>Cocopah Indian Reservation</t>
  </si>
  <si>
    <t>Gila Monster Farms</t>
  </si>
  <si>
    <t>Power</t>
  </si>
  <si>
    <t>Alec Camille</t>
  </si>
  <si>
    <t>GilaAndYumaUsersPriority2and3</t>
  </si>
  <si>
    <t>GilaAndYumaUsersPriority4</t>
  </si>
  <si>
    <t>Fort Yuma Indian Reservation</t>
  </si>
  <si>
    <t>FtYumaReservationPriority1</t>
  </si>
  <si>
    <t>ArizonaPumpersPriority1</t>
  </si>
  <si>
    <t>Milton Phillips</t>
  </si>
  <si>
    <t>Armon Curtis (Curry Family LTD)</t>
  </si>
  <si>
    <t>Ott Family (George Ogram)</t>
  </si>
  <si>
    <t>Ogram Boys' Enterprises</t>
  </si>
  <si>
    <t>John Peach (City of Yuma)</t>
  </si>
  <si>
    <t>Beattie Farms Southwest (Russell Youmans)</t>
  </si>
  <si>
    <t>ArizonaPumpersPriority4</t>
  </si>
  <si>
    <t>MexicoDiversion</t>
  </si>
  <si>
    <t>Treaty Deliveries</t>
  </si>
  <si>
    <t>OverDeliveryMexico</t>
  </si>
  <si>
    <t>In Excess of Treaty Requirements</t>
  </si>
  <si>
    <t>AgUsesAboveFontenelle + AgUsesAboveGreenRiverWY + AgUsesAboveGreendale + LymanAreaAg + WyUsesOnLittleSnakeR</t>
  </si>
  <si>
    <t>Wyoming Green River</t>
  </si>
  <si>
    <t>Irrigation Depletion</t>
  </si>
  <si>
    <t>Type (KAF)</t>
  </si>
  <si>
    <t>Type (AF)</t>
  </si>
  <si>
    <t>Utah Green River</t>
  </si>
  <si>
    <t>AgAboveRandlette + UpalcoUintaBonnUtes + UsesBetGreendaleAndQuray + UtahAgUses + AgUsesAboveGreenRUt + San RafalAg + UtahUsesAboveLeesFerry</t>
  </si>
  <si>
    <t>WY</t>
  </si>
  <si>
    <t>UT</t>
  </si>
  <si>
    <t>Utah Upper Main Stem</t>
  </si>
  <si>
    <t>UtahUsesAboveGreenRiverConfluence</t>
  </si>
  <si>
    <t>Utah San Juan-Colo.</t>
  </si>
  <si>
    <t>UtahAgAnticipatedDepletion + SanJuanUtahUses</t>
  </si>
  <si>
    <t>NM</t>
  </si>
  <si>
    <t>New Mexico San Juan-Colo.</t>
  </si>
  <si>
    <t>NavajoIndianIrrigationProjectNIIPandExports</t>
  </si>
  <si>
    <t>Colorado San Juan-Colo.</t>
  </si>
  <si>
    <t>CO</t>
  </si>
  <si>
    <t xml:space="preserve">San Juan </t>
  </si>
  <si>
    <t>CRSS</t>
  </si>
  <si>
    <t>NIIP</t>
  </si>
  <si>
    <t>Note</t>
  </si>
  <si>
    <t>NIIP is NOT modeled as an agent in SJ-ABM, but treated as a scenario. CRSS-ABM can follow this setting or change it into an agent (group)</t>
  </si>
  <si>
    <t>JicarillaIrr</t>
  </si>
  <si>
    <t>NMPineRiverAreaIrr</t>
  </si>
  <si>
    <t>None</t>
  </si>
  <si>
    <r>
      <t>Although CRSS has an objective group "</t>
    </r>
    <r>
      <rPr>
        <b/>
        <sz val="11"/>
        <color theme="1"/>
        <rFont val="Calibri"/>
        <family val="2"/>
        <scheme val="minor"/>
      </rPr>
      <t>ColoradoNewMexAgAbvArch</t>
    </r>
    <r>
      <rPr>
        <sz val="11"/>
        <color theme="1"/>
        <rFont val="Calibri"/>
        <family val="2"/>
        <scheme val="minor"/>
      </rPr>
      <t>," 99.9% of the water uses in this group are from Colorado. So practically, CRSS does not model irrigation water use in the Upstream San Juan River (Navajo) in New Mexico</t>
    </r>
  </si>
  <si>
    <t>ID</t>
  </si>
  <si>
    <t>Ralston</t>
  </si>
  <si>
    <t>TwinRocks</t>
  </si>
  <si>
    <t>CudeiCanal</t>
  </si>
  <si>
    <t>Hogback</t>
  </si>
  <si>
    <t>JewettValley</t>
  </si>
  <si>
    <t>ArchuletaDitch</t>
  </si>
  <si>
    <t>CitizenDitch</t>
  </si>
  <si>
    <t>TurleyDitch</t>
  </si>
  <si>
    <t>Hammond</t>
  </si>
  <si>
    <t>NewMexicoAgricultureArchtoFarm</t>
  </si>
  <si>
    <t>NavajoIndianIrrigationProjectNIIPandExports + newMexicoAgricultureArchtoFarm + NewMexicoAgFarmtoShip</t>
  </si>
  <si>
    <t>NewMexicoAgFarmtoShip</t>
  </si>
  <si>
    <t>NMAnimas</t>
  </si>
  <si>
    <t>FarmingtonGlade</t>
  </si>
  <si>
    <t>EchoDitch</t>
  </si>
  <si>
    <t>FarmersMutual</t>
  </si>
  <si>
    <t>SanJuanUtahUses</t>
  </si>
  <si>
    <t>UtahIrr</t>
  </si>
  <si>
    <r>
      <t xml:space="preserve">Although the SJ-Abm did not define it as an agent, SJ-ABM does have </t>
    </r>
    <r>
      <rPr>
        <b/>
        <sz val="11"/>
        <color theme="1"/>
        <rFont val="Calibri"/>
        <family val="2"/>
        <scheme val="minor"/>
      </rPr>
      <t>"UathIrr"</t>
    </r>
    <r>
      <rPr>
        <sz val="11"/>
        <color theme="1"/>
        <rFont val="Calibri"/>
        <family val="2"/>
        <scheme val="minor"/>
      </rPr>
      <t xml:space="preserve"> as a water use objective and this corresponding to </t>
    </r>
    <r>
      <rPr>
        <b/>
        <sz val="11"/>
        <color theme="1"/>
        <rFont val="Calibri"/>
        <family val="2"/>
        <scheme val="minor"/>
      </rPr>
      <t>"SanJuanUtahUses"</t>
    </r>
    <r>
      <rPr>
        <sz val="11"/>
        <color theme="1"/>
        <rFont val="Calibri"/>
        <family val="2"/>
        <scheme val="minor"/>
      </rPr>
      <t xml:space="preserve"> in CRSS</t>
    </r>
  </si>
  <si>
    <r>
      <t>Four water uses objects (agents) in SJ-ABM have been merged into one water use group: "</t>
    </r>
    <r>
      <rPr>
        <b/>
        <sz val="11"/>
        <color theme="1"/>
        <rFont val="Calibri"/>
        <family val="2"/>
        <scheme val="minor"/>
      </rPr>
      <t>NewMexicoAgricultureArchtoFarm"</t>
    </r>
    <r>
      <rPr>
        <sz val="11"/>
        <color theme="1"/>
        <rFont val="Calibri"/>
        <family val="2"/>
        <scheme val="minor"/>
      </rPr>
      <t xml:space="preserve"> in CRSS</t>
    </r>
  </si>
  <si>
    <r>
      <t>Four water uses objects (agents) in SJ-ABM have been merged into one water use group: "</t>
    </r>
    <r>
      <rPr>
        <b/>
        <sz val="11"/>
        <color theme="1"/>
        <rFont val="Calibri"/>
        <family val="2"/>
        <scheme val="minor"/>
      </rPr>
      <t>NewMexicoAgFarmtoShip"</t>
    </r>
    <r>
      <rPr>
        <sz val="11"/>
        <color theme="1"/>
        <rFont val="Calibri"/>
        <family val="2"/>
        <scheme val="minor"/>
      </rPr>
      <t xml:space="preserve"> in CRSS</t>
    </r>
  </si>
  <si>
    <t>BYP_Bluff (flow)</t>
  </si>
  <si>
    <t>SanJuanNearBluff (flow)</t>
  </si>
  <si>
    <t>Navajo (Res)</t>
  </si>
  <si>
    <r>
      <t>Navajo reservoir is the same but need to check</t>
    </r>
    <r>
      <rPr>
        <b/>
        <sz val="11"/>
        <color theme="1"/>
        <rFont val="Calibri"/>
        <family val="2"/>
        <scheme val="minor"/>
      </rPr>
      <t xml:space="preserve"> the difference in operational rules</t>
    </r>
    <r>
      <rPr>
        <sz val="11"/>
        <color theme="1"/>
        <rFont val="Calibri"/>
        <family val="2"/>
        <scheme val="minor"/>
      </rPr>
      <t>!</t>
    </r>
  </si>
  <si>
    <t>Cooresponding flow checking point in SJ and CRSS</t>
  </si>
  <si>
    <t>Colorado Green River</t>
  </si>
  <si>
    <t>Colorado Upper Main Stem</t>
  </si>
  <si>
    <t>AgAndMIAbovGlenwoodSprings + AgricultureAboveCameo + PresentLevelUsesAboveBlueMesa + TunnelDiversionBelowCrystalForAg + AgricultureAndMIAbvGrandJunction + DallasCreekProjectAg + SeniorAgUsesBelowCameo + JuniorAgUsesBelowCameo + DoloresAgUsesAbvCisco + SanMiguelProjectAg</t>
  </si>
  <si>
    <t xml:space="preserve">AgUsesAboveMaybell + ColoradoUsesOnLittleSnakeR + ColoradoAg + </t>
  </si>
  <si>
    <t>ColoradoNewMexAgAbvArch + ColoradoAgriculture + ColoradoUsesBelowShiprockNM + DoloresProjectImportUses</t>
  </si>
  <si>
    <t>LowerLaplataIrr</t>
  </si>
  <si>
    <t>?</t>
  </si>
  <si>
    <r>
      <t>SJ has one water use in Laplata River but not modeled as agent. Condition in CRSS is not clear. According to the input data, water use in the Laplata River and Animas River is accountd in the water use group: "</t>
    </r>
    <r>
      <rPr>
        <b/>
        <sz val="11"/>
        <color theme="1"/>
        <rFont val="Calibri"/>
        <family val="2"/>
        <scheme val="minor"/>
      </rPr>
      <t>NewMexicoAgricultureArchtoFarm</t>
    </r>
    <r>
      <rPr>
        <sz val="11"/>
        <color theme="1"/>
        <rFont val="Calibri"/>
        <family val="2"/>
        <scheme val="minor"/>
      </rPr>
      <t>" and "</t>
    </r>
    <r>
      <rPr>
        <b/>
        <sz val="11"/>
        <color theme="1"/>
        <rFont val="Calibri"/>
        <family val="2"/>
        <scheme val="minor"/>
      </rPr>
      <t>ColoradoAgriculture</t>
    </r>
    <r>
      <rPr>
        <sz val="11"/>
        <color theme="1"/>
        <rFont val="Calibri"/>
        <family val="2"/>
        <scheme val="minor"/>
      </rPr>
      <t xml:space="preserve">." However, the CRSS offical map has a water use group: </t>
    </r>
    <r>
      <rPr>
        <b/>
        <sz val="11"/>
        <color theme="1"/>
        <rFont val="Calibri"/>
        <family val="2"/>
        <scheme val="minor"/>
      </rPr>
      <t>LaPlataRiverAg</t>
    </r>
    <r>
      <rPr>
        <sz val="11"/>
        <color theme="1"/>
        <rFont val="Calibri"/>
        <family val="2"/>
        <scheme val="minor"/>
      </rPr>
      <t xml:space="preserve"> </t>
    </r>
  </si>
  <si>
    <t>Arizona San Juan-Colo.</t>
  </si>
  <si>
    <t>ArizonaMiscUses</t>
  </si>
  <si>
    <r>
      <t xml:space="preserve">SJ has six agents in Animas River. Condition in CRSS is not clear. According to the input data, water use in the Laplata River and Animas River is accountd in the water use group: </t>
    </r>
    <r>
      <rPr>
        <b/>
        <sz val="11"/>
        <color theme="1"/>
        <rFont val="Calibri"/>
        <family val="2"/>
        <scheme val="minor"/>
      </rPr>
      <t>"NewMexicoAgricultureArchtoFarm"</t>
    </r>
    <r>
      <rPr>
        <sz val="11"/>
        <color theme="1"/>
        <rFont val="Calibri"/>
        <family val="2"/>
        <scheme val="minor"/>
      </rPr>
      <t xml:space="preserve"> and </t>
    </r>
    <r>
      <rPr>
        <b/>
        <sz val="11"/>
        <color theme="1"/>
        <rFont val="Calibri"/>
        <family val="2"/>
        <scheme val="minor"/>
      </rPr>
      <t>"ColoradoAgriculture</t>
    </r>
    <r>
      <rPr>
        <sz val="11"/>
        <color theme="1"/>
        <rFont val="Calibri"/>
        <family val="2"/>
        <scheme val="minor"/>
      </rPr>
      <t xml:space="preserve">." However, the CRSS offical map has a water use group: </t>
    </r>
    <r>
      <rPr>
        <b/>
        <sz val="11"/>
        <color theme="1"/>
        <rFont val="Calibri"/>
        <family val="2"/>
        <scheme val="minor"/>
      </rPr>
      <t>AnimasRiverAg</t>
    </r>
    <r>
      <rPr>
        <sz val="11"/>
        <color theme="1"/>
        <rFont val="Calibri"/>
        <family val="2"/>
        <scheme val="minor"/>
      </rPr>
      <t xml:space="preserve"> </t>
    </r>
  </si>
  <si>
    <t xml:space="preserve">Union Pacific Railroad (Southern Pacific Company) </t>
  </si>
  <si>
    <t>Group</t>
  </si>
  <si>
    <t>G1</t>
  </si>
  <si>
    <t>RiverWare Name</t>
  </si>
  <si>
    <t>G2</t>
  </si>
  <si>
    <t>G3</t>
  </si>
  <si>
    <t>G4</t>
  </si>
  <si>
    <t>G5</t>
  </si>
  <si>
    <t>G6</t>
  </si>
  <si>
    <t>G7</t>
  </si>
  <si>
    <t>G8</t>
  </si>
  <si>
    <t>G9</t>
  </si>
  <si>
    <t>Preceding factors</t>
  </si>
  <si>
    <t>G10</t>
  </si>
  <si>
    <t>G11</t>
  </si>
  <si>
    <t>MohabeValleyIDDPriority1 + MohabeValleyIDDPriority4 + ChemehueviReservation + FtMohaveReservation</t>
  </si>
  <si>
    <t>Description</t>
  </si>
  <si>
    <t>Above Flaming Gorge dam</t>
  </si>
  <si>
    <t>AgUsesAboveFontenelle + AgUsesAboveGreenRiverWY + AgUsesAboveGreendale + LymanAreaAg</t>
  </si>
  <si>
    <t>Little Snake River</t>
  </si>
  <si>
    <t xml:space="preserve">WyUsesOnLittleSnakeR + AgUsesAboveMaybell + ColoradoUsesOnLittleSnakeR </t>
  </si>
  <si>
    <t>UsesBetGreendaleAndQuray +  AgUsesAboveGreenRUt</t>
  </si>
  <si>
    <t>AgAboveRandlette + UpalcoUintaBonnUtes</t>
  </si>
  <si>
    <t>Duchesne River</t>
  </si>
  <si>
    <t>White River</t>
  </si>
  <si>
    <t>ColoradoAg + UtahAgUses</t>
  </si>
  <si>
    <t>San Rafael River</t>
  </si>
  <si>
    <t>Upper Colorado River</t>
  </si>
  <si>
    <t>UtahUsesAboveGreenRiverConfluence + AgAndMIAbovGlenwoodSprings + AgricultureAboveCameo + SeniorAgUsesBelowCameo + JuniorAgUsesBelowCameo</t>
  </si>
  <si>
    <t>Gunnison River</t>
  </si>
  <si>
    <t>DoloresAgUsesAbvCisco + SanMiguelProjectAg</t>
  </si>
  <si>
    <t>PresentLevelUsesAboveBlueMesa + TunnelDiversionBelowCrystalForAg + AgricultureAndMIAbvGrandJunction + DallasCreekProjectAg</t>
  </si>
  <si>
    <t>Dolores River</t>
  </si>
  <si>
    <t>Above Glen Canyon dam (Lake Powell)</t>
  </si>
  <si>
    <t>San Juan River</t>
  </si>
  <si>
    <t>UtahAgAnticipatedDepletion + ArizonaMiscUses</t>
  </si>
  <si>
    <t>SanJuanUtahUses + NavajoIndianIrrigationProjectNIIPandExports + newMexicoAgricultureArchtoFarm + NewMexicoAgFarmtoShip + ColoradoNewMexAgAbvArch + ColoradoAgriculture + ColoradoUsesBelowShiprockNM + DoloresProjectImportUses</t>
  </si>
  <si>
    <t>SanRafalAg + UtahUsesAboveLeesFerry</t>
  </si>
  <si>
    <t>G12</t>
  </si>
  <si>
    <t>G13</t>
  </si>
  <si>
    <t>Above Parker Dam (Havasu Lake)</t>
  </si>
  <si>
    <t xml:space="preserve">Above Imperial Dam </t>
  </si>
  <si>
    <t>CibolaValleyIDDPriority4 + ColoradoRiverIndianReservation + ParkerAndOtherUsersPriority4 + PVIDDiversion</t>
  </si>
  <si>
    <t>G14</t>
  </si>
  <si>
    <t xml:space="preserve">Below Imperial Dam </t>
  </si>
  <si>
    <t>ALLAmericanCanalYumaProj + GilaGravityMainCanalPriority1 + GilaGravityMainCanalPriority2and3 + GilaAndYumaUsersPriority1 + GilaAndYumaUsersPriority2and3 + GilaAndYumaUsersPriority4 + FtYumaReservationPriority1 + ArizonaPumpersPriority1 + ArizonaPumpersPriority4</t>
  </si>
  <si>
    <t>Green River in Utah</t>
  </si>
  <si>
    <r>
      <t xml:space="preserve">* To match ABM-SJ setting, </t>
    </r>
    <r>
      <rPr>
        <b/>
        <sz val="11"/>
        <color theme="1"/>
        <rFont val="Calibri"/>
        <family val="2"/>
        <scheme val="minor"/>
      </rPr>
      <t>"NewMexicoAgricultureArchtoFarm"</t>
    </r>
    <r>
      <rPr>
        <sz val="11"/>
        <color theme="1"/>
        <rFont val="Calibri"/>
        <family val="2"/>
        <scheme val="minor"/>
      </rPr>
      <t xml:space="preserve"> and </t>
    </r>
    <r>
      <rPr>
        <b/>
        <sz val="11"/>
        <color theme="1"/>
        <rFont val="Calibri"/>
        <family val="2"/>
        <scheme val="minor"/>
      </rPr>
      <t>"NewMexicoAgFarmtoShip"</t>
    </r>
    <r>
      <rPr>
        <sz val="11"/>
        <color theme="1"/>
        <rFont val="Calibri"/>
        <family val="2"/>
        <scheme val="minor"/>
      </rPr>
      <t xml:space="preserve"> will have an addition preceding factor as </t>
    </r>
    <r>
      <rPr>
        <b/>
        <sz val="11"/>
        <color theme="1"/>
        <rFont val="Calibri"/>
        <family val="2"/>
        <scheme val="minor"/>
      </rPr>
      <t>"last year's NavajoIndianIrrigationProjectNIIPandExports water diversion"</t>
    </r>
  </si>
  <si>
    <t>Agent #</t>
  </si>
  <si>
    <t xml:space="preserve">Glen Canyon dam water level, G1 winter precipitation </t>
  </si>
  <si>
    <t xml:space="preserve">Glen Canyon dam water level, G2 winter precipitation </t>
  </si>
  <si>
    <t>Glen Canyon dam water level, Flaming Gorge dam water level</t>
  </si>
  <si>
    <t xml:space="preserve">Glen Canyon dam water level, G4 winter precipitation </t>
  </si>
  <si>
    <t xml:space="preserve">Glen Canyon dam water level, G5 winter precipitation </t>
  </si>
  <si>
    <t xml:space="preserve">Glen Canyon dam water level, G6 winter precipitation </t>
  </si>
  <si>
    <t xml:space="preserve">Glen Canyon dam water level, G7 winter precipitation </t>
  </si>
  <si>
    <t xml:space="preserve">Glen Canyon dam water level, G8 winter precipitation </t>
  </si>
  <si>
    <t xml:space="preserve">Glen Canyon dam water level, G9 winter precipitation </t>
  </si>
  <si>
    <t>Glen Canyon dam water level, GreenColorado flow</t>
  </si>
  <si>
    <t xml:space="preserve">Glen Canyon dam water level, G11 winter precipitation* </t>
  </si>
  <si>
    <t>MexicoDelivery, Hoover dam water level</t>
  </si>
  <si>
    <t>1944 Treaty with Mexico established Mexico’s treaty deliveries: annual 1.5 MAF</t>
  </si>
  <si>
    <t>1948 Upper Colorado Basin Compact established the Upper Basin States’ apportionment: UPPER BASIN STATES - 7.5 MAF</t>
  </si>
  <si>
    <t>1928 Boulder Canyon Project Act established the Lower Basin States’ apportionment: LOWER BASIN STATES - 7.5 MAF(California – 4.4 MAF; Arizona – 2.8 MAF; Nevada – 0.3 MAF)</t>
  </si>
  <si>
    <t>Observation (AF)</t>
  </si>
  <si>
    <t>Gary Pasquinelli (Hall, Ansil)</t>
  </si>
  <si>
    <t xml:space="preserve">2018 Total </t>
  </si>
  <si>
    <t xml:space="preserve">Water Users whose annual depletion&lt; 1000 AF are not modeled </t>
  </si>
  <si>
    <t>not unsed</t>
  </si>
  <si>
    <t>Colorado River Indian Reservation_AZ (water Accounting (AZ)</t>
  </si>
  <si>
    <t>farmer's decision</t>
  </si>
  <si>
    <t>Next year's div</t>
  </si>
  <si>
    <t>+%</t>
  </si>
  <si>
    <t>-%</t>
  </si>
  <si>
    <t>FruitlandAndCambridge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</si>
</sst>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7" x14ac:knownFonts="1">
    <font>
      <sz val="11"/>
      <color theme="1"/>
      <name val="Calibri"/>
      <family val="2"/>
      <scheme val="minor"/>
    </font>
    <font>
      <b/>
      <sz val="11"/>
      <color theme="1"/>
      <name val="Calibri"/>
      <family val="2"/>
      <scheme val="minor"/>
    </font>
    <font>
      <b/>
      <sz val="11"/>
      <color theme="0"/>
      <name val="Calibri"/>
      <family val="2"/>
      <scheme val="minor"/>
    </font>
    <font>
      <sz val="11"/>
      <color rgb="FFFF0000"/>
      <name val="Calibri"/>
      <family val="2"/>
      <scheme val="minor"/>
    </font>
    <font>
      <b/>
      <sz val="11"/>
      <color rgb="FFFF0000"/>
      <name val="Calibri"/>
      <family val="2"/>
      <scheme val="minor"/>
    </font>
    <font>
      <sz val="11"/>
      <color theme="1"/>
      <name val="Calibri"/>
      <family val="2"/>
      <scheme val="minor"/>
    </font>
    <font>
      <sz val="11"/>
      <color theme="8"/>
      <name val="Calibri"/>
      <family val="2"/>
      <scheme val="minor"/>
    </font>
  </fonts>
  <fills count="7">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FFFF00"/>
        <bgColor indexed="64"/>
      </patternFill>
    </fill>
  </fills>
  <borders count="2">
    <border>
      <left/>
      <right/>
      <top/>
      <bottom/>
      <diagonal/>
    </border>
    <border>
      <left/>
      <right/>
      <top style="thin">
        <color indexed="64"/>
      </top>
      <bottom/>
      <diagonal/>
    </border>
  </borders>
  <cellStyleXfs count="2">
    <xf numFmtId="0" fontId="0" fillId="0" borderId="0"/>
    <xf numFmtId="43" fontId="5" fillId="0" borderId="0" applyFont="0" applyFill="0" applyBorder="0" applyAlignment="0" applyProtection="0"/>
  </cellStyleXfs>
  <cellXfs count="53">
    <xf numFmtId="0" fontId="0" fillId="0" borderId="0" xfId="0"/>
    <xf numFmtId="0" fontId="1" fillId="0" borderId="0" xfId="0" applyFont="1"/>
    <xf numFmtId="0" fontId="1" fillId="0" borderId="0" xfId="0" applyFont="1" applyAlignment="1">
      <alignment horizontal="center" wrapText="1"/>
    </xf>
    <xf numFmtId="0" fontId="1" fillId="0" borderId="0" xfId="0" applyFont="1" applyAlignment="1">
      <alignment horizontal="center"/>
    </xf>
    <xf numFmtId="0" fontId="0" fillId="0" borderId="0" xfId="0" applyFont="1"/>
    <xf numFmtId="14" fontId="0" fillId="0" borderId="0" xfId="0" applyNumberFormat="1" applyFont="1"/>
    <xf numFmtId="0" fontId="1" fillId="0" borderId="0" xfId="0" applyFont="1" applyAlignment="1">
      <alignment horizontal="center"/>
    </xf>
    <xf numFmtId="0" fontId="1" fillId="0" borderId="0" xfId="0" applyFont="1" applyAlignment="1">
      <alignment horizontal="center" wrapText="1"/>
    </xf>
    <xf numFmtId="14" fontId="1" fillId="0" borderId="0" xfId="0" applyNumberFormat="1" applyFont="1"/>
    <xf numFmtId="0" fontId="1" fillId="0" borderId="0" xfId="0" applyFont="1" applyAlignment="1">
      <alignment horizontal="left"/>
    </xf>
    <xf numFmtId="0" fontId="1" fillId="0" borderId="0" xfId="0" applyFont="1" applyAlignment="1">
      <alignment wrapText="1"/>
    </xf>
    <xf numFmtId="0" fontId="1" fillId="0" borderId="0" xfId="0" applyFont="1" applyAlignment="1">
      <alignment horizontal="center" vertical="center" wrapText="1"/>
    </xf>
    <xf numFmtId="0" fontId="0" fillId="0" borderId="0" xfId="0" applyAlignment="1">
      <alignment horizontal="left"/>
    </xf>
    <xf numFmtId="0" fontId="0" fillId="0" borderId="1" xfId="0" applyBorder="1"/>
    <xf numFmtId="0" fontId="0" fillId="0" borderId="0" xfId="0" applyFill="1" applyBorder="1"/>
    <xf numFmtId="0" fontId="0" fillId="0" borderId="0" xfId="0" applyAlignment="1">
      <alignment wrapText="1"/>
    </xf>
    <xf numFmtId="0" fontId="0" fillId="0" borderId="1" xfId="0" applyBorder="1" applyAlignment="1"/>
    <xf numFmtId="0" fontId="0" fillId="0" borderId="0" xfId="0" applyAlignment="1"/>
    <xf numFmtId="0" fontId="0" fillId="0" borderId="1" xfId="0" applyBorder="1" applyAlignment="1">
      <alignment horizontal="left"/>
    </xf>
    <xf numFmtId="0" fontId="0" fillId="0" borderId="0" xfId="0" applyFill="1" applyBorder="1" applyAlignment="1">
      <alignment horizontal="left"/>
    </xf>
    <xf numFmtId="0" fontId="2" fillId="2" borderId="0" xfId="0" applyFont="1" applyFill="1" applyAlignment="1">
      <alignment horizontal="center"/>
    </xf>
    <xf numFmtId="0" fontId="4" fillId="0" borderId="0" xfId="0" applyFont="1"/>
    <xf numFmtId="0" fontId="3" fillId="0" borderId="0" xfId="0" applyFont="1"/>
    <xf numFmtId="0" fontId="0" fillId="3" borderId="0" xfId="0" applyFont="1" applyFill="1"/>
    <xf numFmtId="0" fontId="0" fillId="3" borderId="0" xfId="0" applyFont="1" applyFill="1" applyAlignment="1">
      <alignment horizontal="left"/>
    </xf>
    <xf numFmtId="0" fontId="0" fillId="4" borderId="0" xfId="0" applyFont="1" applyFill="1"/>
    <xf numFmtId="0" fontId="0" fillId="4" borderId="0" xfId="0" applyFont="1" applyFill="1" applyAlignment="1">
      <alignment wrapText="1"/>
    </xf>
    <xf numFmtId="0" fontId="0" fillId="4" borderId="0" xfId="0" applyFont="1" applyFill="1" applyAlignment="1">
      <alignment horizontal="left"/>
    </xf>
    <xf numFmtId="0" fontId="0" fillId="0" borderId="0" xfId="0" applyFont="1" applyFill="1" applyAlignment="1">
      <alignment vertical="top"/>
    </xf>
    <xf numFmtId="0" fontId="0" fillId="4" borderId="0" xfId="0" applyFont="1" applyFill="1" applyAlignment="1">
      <alignment horizontal="left" wrapText="1"/>
    </xf>
    <xf numFmtId="0" fontId="1" fillId="0" borderId="0" xfId="0" applyFont="1" applyAlignment="1"/>
    <xf numFmtId="3" fontId="0" fillId="0" borderId="0" xfId="0" applyNumberFormat="1"/>
    <xf numFmtId="0" fontId="1" fillId="0" borderId="0" xfId="0" applyFont="1" applyAlignment="1">
      <alignment horizontal="center" wrapText="1"/>
    </xf>
    <xf numFmtId="164" fontId="1" fillId="0" borderId="0" xfId="1" applyNumberFormat="1" applyFont="1" applyAlignment="1">
      <alignment horizontal="center"/>
    </xf>
    <xf numFmtId="164" fontId="0" fillId="0" borderId="0" xfId="1" applyNumberFormat="1" applyFont="1"/>
    <xf numFmtId="0" fontId="1" fillId="5" borderId="0" xfId="0" applyFont="1" applyFill="1" applyAlignment="1">
      <alignment horizontal="center"/>
    </xf>
    <xf numFmtId="0" fontId="6" fillId="0" borderId="0" xfId="0" applyFont="1"/>
    <xf numFmtId="0" fontId="1" fillId="0" borderId="0" xfId="0" applyFont="1" applyAlignment="1">
      <alignment horizontal="center"/>
    </xf>
    <xf numFmtId="0" fontId="1" fillId="0" borderId="0" xfId="0" applyFont="1" applyAlignment="1">
      <alignment horizontal="center" wrapText="1"/>
    </xf>
    <xf numFmtId="0" fontId="0" fillId="0" borderId="0" xfId="0" quotePrefix="1"/>
    <xf numFmtId="0" fontId="0" fillId="0" borderId="0" xfId="0" applyAlignment="1">
      <alignment horizontal="left"/>
    </xf>
    <xf numFmtId="0" fontId="0" fillId="0" borderId="0" xfId="0" applyAlignment="1">
      <alignment vertical="top" wrapText="1"/>
    </xf>
    <xf numFmtId="0" fontId="0" fillId="0" borderId="0" xfId="0" applyAlignment="1"/>
    <xf numFmtId="0" fontId="0" fillId="0" borderId="0" xfId="0" applyAlignment="1">
      <alignment wrapText="1"/>
    </xf>
    <xf numFmtId="0" fontId="1" fillId="5" borderId="0" xfId="0" applyFont="1" applyFill="1" applyAlignment="1">
      <alignment horizontal="center"/>
    </xf>
    <xf numFmtId="0" fontId="1" fillId="0" borderId="0" xfId="0" applyFont="1" applyAlignment="1">
      <alignment horizontal="center"/>
    </xf>
    <xf numFmtId="0" fontId="1" fillId="5" borderId="0" xfId="0" applyFont="1" applyFill="1" applyAlignment="1">
      <alignment horizontal="left"/>
    </xf>
    <xf numFmtId="0" fontId="1" fillId="6" borderId="0" xfId="0" applyFont="1" applyFill="1" applyAlignment="1">
      <alignment horizontal="center"/>
    </xf>
    <xf numFmtId="0" fontId="4" fillId="0" borderId="0" xfId="0" applyFont="1" applyAlignment="1">
      <alignment horizontal="center"/>
    </xf>
    <xf numFmtId="0" fontId="1" fillId="0" borderId="0" xfId="0" applyFont="1" applyFill="1" applyAlignment="1">
      <alignment horizontal="center"/>
    </xf>
    <xf numFmtId="0" fontId="1" fillId="0" borderId="0" xfId="0" applyFont="1" applyAlignment="1">
      <alignment horizontal="center" wrapText="1"/>
    </xf>
    <xf numFmtId="0" fontId="4" fillId="5" borderId="0" xfId="0" applyFont="1" applyFill="1" applyAlignment="1">
      <alignment horizontal="center"/>
    </xf>
    <xf numFmtId="164" fontId="1" fillId="0" borderId="0" xfId="1" applyNumberFormat="1" applyFont="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66F703F7-A282-4610-8A9C-6CE1919E7166}">
          <cx:dataId val="0"/>
          <cx:layoutPr>
            <cx:binning intervalClosed="r">
              <cx:binSize val="0.10000000000000001"/>
            </cx:binning>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06B0D61E-6EAD-4A93-805C-B813238A4EF8}">
          <cx:dataId val="0"/>
          <cx:layoutPr>
            <cx:binning intervalClosed="r">
              <cx:binSize val="0.10000000000000001"/>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14</xdr:col>
      <xdr:colOff>304799</xdr:colOff>
      <xdr:row>0</xdr:row>
      <xdr:rowOff>533400</xdr:rowOff>
    </xdr:from>
    <xdr:to>
      <xdr:col>23</xdr:col>
      <xdr:colOff>161924</xdr:colOff>
      <xdr:row>13</xdr:row>
      <xdr:rowOff>38100</xdr:rowOff>
    </xdr:to>
    <mc:AlternateContent xmlns:mc="http://schemas.openxmlformats.org/markup-compatibility/2006">
      <mc:Choice xmlns:cx1="http://schemas.microsoft.com/office/drawing/2015/9/8/chartex" Requires="cx1">
        <xdr:graphicFrame macro="">
          <xdr:nvGraphicFramePr>
            <xdr:cNvPr id="2" name="Chart 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314325</xdr:colOff>
      <xdr:row>13</xdr:row>
      <xdr:rowOff>161926</xdr:rowOff>
    </xdr:from>
    <xdr:to>
      <xdr:col>23</xdr:col>
      <xdr:colOff>133350</xdr:colOff>
      <xdr:row>30</xdr:row>
      <xdr:rowOff>28576</xdr:rowOff>
    </xdr:to>
    <mc:AlternateContent xmlns:mc="http://schemas.openxmlformats.org/markup-compatibility/2006">
      <mc:Choice xmlns:cx1="http://schemas.microsoft.com/office/drawing/2015/9/8/chartex" Requires="cx1">
        <xdr:graphicFrame macro="">
          <xdr:nvGraphicFramePr>
            <xdr:cNvPr id="3" name="Chart 2"/>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selection activeCell="D11" sqref="D11"/>
    </sheetView>
  </sheetViews>
  <sheetFormatPr defaultColWidth="8.85546875" defaultRowHeight="15" x14ac:dyDescent="0.25"/>
  <cols>
    <col min="1" max="1" width="8.85546875" style="4"/>
    <col min="2" max="2" width="32.5703125" style="4" bestFit="1" customWidth="1"/>
    <col min="3" max="3" width="7.42578125" style="4" bestFit="1" customWidth="1"/>
    <col min="4" max="4" width="52.28515625" style="4" customWidth="1"/>
    <col min="5" max="5" width="55.140625" style="4" bestFit="1" customWidth="1"/>
    <col min="6" max="16384" width="8.85546875" style="4"/>
  </cols>
  <sheetData>
    <row r="1" spans="1:5" s="1" customFormat="1" x14ac:dyDescent="0.25">
      <c r="A1" s="1" t="s">
        <v>121</v>
      </c>
      <c r="B1" s="1" t="s">
        <v>136</v>
      </c>
      <c r="C1" s="1" t="s">
        <v>168</v>
      </c>
      <c r="D1" s="9" t="s">
        <v>123</v>
      </c>
      <c r="E1" s="1" t="s">
        <v>132</v>
      </c>
    </row>
    <row r="2" spans="1:5" s="23" customFormat="1" x14ac:dyDescent="0.25">
      <c r="A2" s="23" t="s">
        <v>122</v>
      </c>
      <c r="B2" s="24" t="s">
        <v>137</v>
      </c>
      <c r="C2" s="24">
        <v>4</v>
      </c>
      <c r="D2" s="23" t="s">
        <v>138</v>
      </c>
      <c r="E2" s="23" t="s">
        <v>169</v>
      </c>
    </row>
    <row r="3" spans="1:5" s="23" customFormat="1" x14ac:dyDescent="0.25">
      <c r="A3" s="23" t="s">
        <v>124</v>
      </c>
      <c r="B3" s="24" t="s">
        <v>139</v>
      </c>
      <c r="C3" s="24">
        <v>3</v>
      </c>
      <c r="D3" s="23" t="s">
        <v>140</v>
      </c>
      <c r="E3" s="23" t="s">
        <v>170</v>
      </c>
    </row>
    <row r="4" spans="1:5" s="23" customFormat="1" x14ac:dyDescent="0.25">
      <c r="A4" s="23" t="s">
        <v>125</v>
      </c>
      <c r="B4" s="24" t="s">
        <v>166</v>
      </c>
      <c r="C4" s="24">
        <v>2</v>
      </c>
      <c r="D4" s="23" t="s">
        <v>141</v>
      </c>
      <c r="E4" s="23" t="s">
        <v>171</v>
      </c>
    </row>
    <row r="5" spans="1:5" s="23" customFormat="1" x14ac:dyDescent="0.25">
      <c r="A5" s="23" t="s">
        <v>126</v>
      </c>
      <c r="B5" s="24" t="s">
        <v>143</v>
      </c>
      <c r="C5" s="24">
        <v>2</v>
      </c>
      <c r="D5" s="23" t="s">
        <v>142</v>
      </c>
      <c r="E5" s="23" t="s">
        <v>172</v>
      </c>
    </row>
    <row r="6" spans="1:5" s="23" customFormat="1" x14ac:dyDescent="0.25">
      <c r="A6" s="23" t="s">
        <v>127</v>
      </c>
      <c r="B6" s="24" t="s">
        <v>144</v>
      </c>
      <c r="C6" s="24">
        <v>2</v>
      </c>
      <c r="D6" s="23" t="s">
        <v>145</v>
      </c>
      <c r="E6" s="23" t="s">
        <v>173</v>
      </c>
    </row>
    <row r="7" spans="1:5" s="23" customFormat="1" x14ac:dyDescent="0.25">
      <c r="A7" s="23" t="s">
        <v>128</v>
      </c>
      <c r="B7" s="24" t="s">
        <v>146</v>
      </c>
      <c r="C7" s="24">
        <v>2</v>
      </c>
      <c r="D7" s="23" t="s">
        <v>157</v>
      </c>
      <c r="E7" s="23" t="s">
        <v>174</v>
      </c>
    </row>
    <row r="8" spans="1:5" s="23" customFormat="1" x14ac:dyDescent="0.25">
      <c r="A8" s="23" t="s">
        <v>129</v>
      </c>
      <c r="B8" s="24" t="s">
        <v>147</v>
      </c>
      <c r="C8" s="24">
        <v>5</v>
      </c>
      <c r="D8" s="23" t="s">
        <v>148</v>
      </c>
      <c r="E8" s="23" t="s">
        <v>175</v>
      </c>
    </row>
    <row r="9" spans="1:5" s="23" customFormat="1" x14ac:dyDescent="0.25">
      <c r="A9" s="23" t="s">
        <v>130</v>
      </c>
      <c r="B9" s="24" t="s">
        <v>149</v>
      </c>
      <c r="C9" s="24">
        <v>4</v>
      </c>
      <c r="D9" s="23" t="s">
        <v>151</v>
      </c>
      <c r="E9" s="23" t="s">
        <v>176</v>
      </c>
    </row>
    <row r="10" spans="1:5" s="23" customFormat="1" x14ac:dyDescent="0.25">
      <c r="A10" s="23" t="s">
        <v>131</v>
      </c>
      <c r="B10" s="24" t="s">
        <v>152</v>
      </c>
      <c r="C10" s="24">
        <v>2</v>
      </c>
      <c r="D10" s="23" t="s">
        <v>150</v>
      </c>
      <c r="E10" s="23" t="s">
        <v>177</v>
      </c>
    </row>
    <row r="11" spans="1:5" s="23" customFormat="1" x14ac:dyDescent="0.25">
      <c r="A11" s="23" t="s">
        <v>133</v>
      </c>
      <c r="B11" s="24" t="s">
        <v>153</v>
      </c>
      <c r="C11" s="24">
        <v>2</v>
      </c>
      <c r="D11" s="23" t="s">
        <v>155</v>
      </c>
      <c r="E11" s="23" t="s">
        <v>178</v>
      </c>
    </row>
    <row r="12" spans="1:5" s="23" customFormat="1" x14ac:dyDescent="0.25">
      <c r="A12" s="23" t="s">
        <v>134</v>
      </c>
      <c r="B12" s="24" t="s">
        <v>154</v>
      </c>
      <c r="C12" s="24">
        <v>8</v>
      </c>
      <c r="D12" s="23" t="s">
        <v>156</v>
      </c>
      <c r="E12" s="23" t="s">
        <v>179</v>
      </c>
    </row>
    <row r="13" spans="1:5" s="25" customFormat="1" x14ac:dyDescent="0.25">
      <c r="A13" s="25" t="s">
        <v>158</v>
      </c>
      <c r="B13" s="26" t="s">
        <v>160</v>
      </c>
      <c r="C13" s="29">
        <v>4</v>
      </c>
      <c r="D13" s="25" t="s">
        <v>135</v>
      </c>
      <c r="E13" s="25" t="s">
        <v>180</v>
      </c>
    </row>
    <row r="14" spans="1:5" s="25" customFormat="1" x14ac:dyDescent="0.25">
      <c r="A14" s="25" t="s">
        <v>159</v>
      </c>
      <c r="B14" s="25" t="s">
        <v>161</v>
      </c>
      <c r="C14" s="27">
        <v>4</v>
      </c>
      <c r="D14" s="25" t="s">
        <v>162</v>
      </c>
      <c r="E14" s="25" t="s">
        <v>180</v>
      </c>
    </row>
    <row r="15" spans="1:5" s="25" customFormat="1" x14ac:dyDescent="0.25">
      <c r="A15" s="25" t="s">
        <v>163</v>
      </c>
      <c r="B15" s="27" t="s">
        <v>164</v>
      </c>
      <c r="C15" s="27">
        <v>9</v>
      </c>
      <c r="D15" s="25" t="s">
        <v>165</v>
      </c>
      <c r="E15" s="25" t="s">
        <v>180</v>
      </c>
    </row>
    <row r="17" spans="1:1" s="28" customFormat="1" x14ac:dyDescent="0.25">
      <c r="A17" s="28" t="s">
        <v>167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topLeftCell="A4" workbookViewId="0">
      <selection activeCell="D14" sqref="D14:D17"/>
    </sheetView>
  </sheetViews>
  <sheetFormatPr defaultRowHeight="15" x14ac:dyDescent="0.25"/>
  <cols>
    <col min="2" max="2" width="17.42578125" bestFit="1" customWidth="1"/>
    <col min="3" max="3" width="38.28515625" bestFit="1" customWidth="1"/>
    <col min="4" max="4" width="114.7109375" bestFit="1" customWidth="1"/>
  </cols>
  <sheetData>
    <row r="1" spans="1:9" s="6" customFormat="1" x14ac:dyDescent="0.25">
      <c r="A1" s="20" t="s">
        <v>82</v>
      </c>
      <c r="B1" s="20" t="s">
        <v>73</v>
      </c>
      <c r="C1" s="20" t="s">
        <v>74</v>
      </c>
      <c r="D1" s="20" t="s">
        <v>76</v>
      </c>
    </row>
    <row r="2" spans="1:9" x14ac:dyDescent="0.25">
      <c r="A2">
        <v>1</v>
      </c>
      <c r="B2" t="s">
        <v>78</v>
      </c>
      <c r="C2" s="40" t="s">
        <v>80</v>
      </c>
      <c r="D2" s="41" t="s">
        <v>81</v>
      </c>
    </row>
    <row r="3" spans="1:9" x14ac:dyDescent="0.25">
      <c r="A3">
        <v>2</v>
      </c>
      <c r="B3" t="s">
        <v>79</v>
      </c>
      <c r="C3" s="40"/>
      <c r="D3" s="41"/>
    </row>
    <row r="4" spans="1:9" x14ac:dyDescent="0.25">
      <c r="A4">
        <v>3</v>
      </c>
      <c r="B4" t="s">
        <v>83</v>
      </c>
      <c r="C4" s="40" t="s">
        <v>115</v>
      </c>
      <c r="D4" s="43" t="s">
        <v>119</v>
      </c>
    </row>
    <row r="5" spans="1:9" x14ac:dyDescent="0.25">
      <c r="A5">
        <v>4</v>
      </c>
      <c r="B5" t="s">
        <v>84</v>
      </c>
      <c r="C5" s="40"/>
      <c r="D5" s="43"/>
    </row>
    <row r="6" spans="1:9" x14ac:dyDescent="0.25">
      <c r="A6">
        <v>5</v>
      </c>
      <c r="B6" t="s">
        <v>95</v>
      </c>
      <c r="C6" s="40"/>
      <c r="D6" s="43"/>
    </row>
    <row r="7" spans="1:9" x14ac:dyDescent="0.25">
      <c r="A7">
        <v>6</v>
      </c>
      <c r="B7" t="s">
        <v>96</v>
      </c>
      <c r="C7" s="40"/>
      <c r="D7" s="43"/>
    </row>
    <row r="8" spans="1:9" x14ac:dyDescent="0.25">
      <c r="A8">
        <v>7</v>
      </c>
      <c r="B8" t="s">
        <v>97</v>
      </c>
      <c r="C8" s="40"/>
      <c r="D8" s="43"/>
    </row>
    <row r="9" spans="1:9" x14ac:dyDescent="0.25">
      <c r="A9">
        <v>8</v>
      </c>
      <c r="B9" t="s">
        <v>98</v>
      </c>
      <c r="C9" s="40"/>
      <c r="D9" s="43"/>
    </row>
    <row r="10" spans="1:9" x14ac:dyDescent="0.25">
      <c r="A10">
        <v>9</v>
      </c>
      <c r="B10" t="s">
        <v>88</v>
      </c>
      <c r="C10" s="40" t="s">
        <v>92</v>
      </c>
      <c r="D10" s="42" t="s">
        <v>102</v>
      </c>
      <c r="I10" s="12"/>
    </row>
    <row r="11" spans="1:9" x14ac:dyDescent="0.25">
      <c r="A11">
        <v>10</v>
      </c>
      <c r="B11" t="s">
        <v>89</v>
      </c>
      <c r="C11" s="40"/>
      <c r="D11" s="42"/>
    </row>
    <row r="12" spans="1:9" x14ac:dyDescent="0.25">
      <c r="A12">
        <v>11</v>
      </c>
      <c r="B12" t="s">
        <v>90</v>
      </c>
      <c r="C12" s="40"/>
      <c r="D12" s="42"/>
    </row>
    <row r="13" spans="1:9" x14ac:dyDescent="0.25">
      <c r="A13">
        <v>12</v>
      </c>
      <c r="B13" t="s">
        <v>91</v>
      </c>
      <c r="C13" s="40"/>
      <c r="D13" s="42"/>
    </row>
    <row r="14" spans="1:9" x14ac:dyDescent="0.25">
      <c r="A14">
        <v>13</v>
      </c>
      <c r="B14" t="s">
        <v>194</v>
      </c>
      <c r="C14" s="40" t="s">
        <v>94</v>
      </c>
      <c r="D14" s="42" t="s">
        <v>103</v>
      </c>
    </row>
    <row r="15" spans="1:9" x14ac:dyDescent="0.25">
      <c r="A15">
        <v>14</v>
      </c>
      <c r="B15" t="s">
        <v>87</v>
      </c>
      <c r="C15" s="40"/>
      <c r="D15" s="42"/>
    </row>
    <row r="16" spans="1:9" x14ac:dyDescent="0.25">
      <c r="A16">
        <v>15</v>
      </c>
      <c r="B16" t="s">
        <v>86</v>
      </c>
      <c r="C16" s="40"/>
      <c r="D16" s="42"/>
    </row>
    <row r="17" spans="1:4" x14ac:dyDescent="0.25">
      <c r="A17">
        <v>16</v>
      </c>
      <c r="B17" t="s">
        <v>85</v>
      </c>
      <c r="C17" s="40"/>
      <c r="D17" s="42"/>
    </row>
    <row r="18" spans="1:4" s="13" customFormat="1" x14ac:dyDescent="0.25">
      <c r="A18" s="13">
        <v>17</v>
      </c>
      <c r="B18" s="13" t="s">
        <v>75</v>
      </c>
      <c r="C18" s="18" t="s">
        <v>70</v>
      </c>
      <c r="D18" s="16" t="s">
        <v>77</v>
      </c>
    </row>
    <row r="19" spans="1:4" ht="45" x14ac:dyDescent="0.25">
      <c r="A19">
        <v>18</v>
      </c>
      <c r="B19" s="14" t="s">
        <v>114</v>
      </c>
      <c r="C19" s="19" t="s">
        <v>115</v>
      </c>
      <c r="D19" s="15" t="s">
        <v>116</v>
      </c>
    </row>
    <row r="20" spans="1:4" ht="30" x14ac:dyDescent="0.25">
      <c r="A20">
        <v>19</v>
      </c>
      <c r="B20" s="14" t="s">
        <v>100</v>
      </c>
      <c r="C20" s="12" t="s">
        <v>99</v>
      </c>
      <c r="D20" s="15" t="s">
        <v>101</v>
      </c>
    </row>
    <row r="21" spans="1:4" x14ac:dyDescent="0.25">
      <c r="A21">
        <v>20</v>
      </c>
      <c r="B21" s="14" t="s">
        <v>106</v>
      </c>
      <c r="C21" s="19" t="s">
        <v>106</v>
      </c>
      <c r="D21" s="17" t="s">
        <v>107</v>
      </c>
    </row>
    <row r="22" spans="1:4" x14ac:dyDescent="0.25">
      <c r="A22">
        <v>21</v>
      </c>
      <c r="B22" s="14" t="s">
        <v>104</v>
      </c>
      <c r="C22" s="19" t="s">
        <v>105</v>
      </c>
      <c r="D22" s="17" t="s">
        <v>108</v>
      </c>
    </row>
  </sheetData>
  <mergeCells count="8">
    <mergeCell ref="C2:C3"/>
    <mergeCell ref="D2:D3"/>
    <mergeCell ref="C14:C17"/>
    <mergeCell ref="C10:C13"/>
    <mergeCell ref="D10:D13"/>
    <mergeCell ref="D14:D17"/>
    <mergeCell ref="C4:C9"/>
    <mergeCell ref="D4:D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Views>
    <sheetView tabSelected="1" zoomScale="80" zoomScaleNormal="80" workbookViewId="0">
      <pane xSplit="1" ySplit="4" topLeftCell="E11" activePane="bottomRight" state="frozen"/>
      <selection pane="topRight" activeCell="B1" sqref="B1"/>
      <selection pane="bottomLeft" activeCell="A5" sqref="A5"/>
      <selection pane="bottomRight" activeCell="F1" sqref="F1"/>
    </sheetView>
  </sheetViews>
  <sheetFormatPr defaultRowHeight="15" x14ac:dyDescent="0.25"/>
  <cols>
    <col min="1" max="1" width="15.5703125" style="1" bestFit="1" customWidth="1"/>
    <col min="2" max="2" width="37.7109375" customWidth="1"/>
    <col min="3" max="3" width="38.7109375" customWidth="1"/>
    <col min="4" max="4" width="33" customWidth="1"/>
    <col min="5" max="5" width="26.28515625" customWidth="1"/>
    <col min="6" max="6" width="41" customWidth="1"/>
    <col min="7" max="7" width="27" customWidth="1"/>
    <col min="8" max="8" width="60.42578125" customWidth="1"/>
    <col min="9" max="9" width="31.7109375" customWidth="1"/>
    <col min="10" max="10" width="21.85546875" bestFit="1" customWidth="1"/>
  </cols>
  <sheetData>
    <row r="1" spans="1:10" ht="75" customHeight="1" x14ac:dyDescent="0.25">
      <c r="A1" s="9" t="s">
        <v>1</v>
      </c>
      <c r="B1" s="2" t="s">
        <v>55</v>
      </c>
      <c r="C1" s="11" t="s">
        <v>61</v>
      </c>
      <c r="D1" s="1" t="s">
        <v>65</v>
      </c>
      <c r="E1" s="10" t="s">
        <v>67</v>
      </c>
      <c r="F1" s="10" t="s">
        <v>93</v>
      </c>
      <c r="G1" s="7" t="s">
        <v>112</v>
      </c>
      <c r="H1" s="7" t="s">
        <v>111</v>
      </c>
      <c r="I1" s="10" t="s">
        <v>113</v>
      </c>
      <c r="J1" s="7" t="s">
        <v>118</v>
      </c>
    </row>
    <row r="2" spans="1:10" x14ac:dyDescent="0.25">
      <c r="A2" s="9" t="s">
        <v>0</v>
      </c>
      <c r="B2" s="3" t="s">
        <v>56</v>
      </c>
      <c r="C2" s="3" t="s">
        <v>60</v>
      </c>
      <c r="D2" s="3" t="s">
        <v>64</v>
      </c>
      <c r="E2" s="3" t="s">
        <v>66</v>
      </c>
      <c r="F2" s="3" t="s">
        <v>69</v>
      </c>
      <c r="G2" s="6" t="s">
        <v>109</v>
      </c>
      <c r="H2" s="6" t="s">
        <v>110</v>
      </c>
      <c r="I2" s="6" t="s">
        <v>71</v>
      </c>
      <c r="J2" s="6" t="s">
        <v>117</v>
      </c>
    </row>
    <row r="3" spans="1:10" x14ac:dyDescent="0.25">
      <c r="A3" s="1" t="s">
        <v>2</v>
      </c>
      <c r="B3" s="3" t="s">
        <v>62</v>
      </c>
      <c r="C3" s="3" t="s">
        <v>63</v>
      </c>
      <c r="D3" s="3" t="s">
        <v>63</v>
      </c>
      <c r="E3" s="3" t="s">
        <v>63</v>
      </c>
      <c r="F3" s="3" t="s">
        <v>68</v>
      </c>
      <c r="G3" s="6" t="s">
        <v>72</v>
      </c>
      <c r="H3" s="6" t="s">
        <v>72</v>
      </c>
      <c r="I3" s="6" t="s">
        <v>72</v>
      </c>
      <c r="J3" s="6" t="s">
        <v>3</v>
      </c>
    </row>
    <row r="4" spans="1:10" x14ac:dyDescent="0.25">
      <c r="A4" s="1" t="s">
        <v>58</v>
      </c>
      <c r="B4" s="3" t="s">
        <v>57</v>
      </c>
      <c r="C4" s="3" t="s">
        <v>57</v>
      </c>
      <c r="D4" s="3" t="s">
        <v>57</v>
      </c>
      <c r="E4" s="3" t="s">
        <v>57</v>
      </c>
      <c r="F4" s="3" t="s">
        <v>57</v>
      </c>
      <c r="G4" s="6" t="s">
        <v>57</v>
      </c>
      <c r="H4" s="6" t="s">
        <v>57</v>
      </c>
      <c r="I4" s="6" t="s">
        <v>57</v>
      </c>
      <c r="J4" s="6" t="s">
        <v>57</v>
      </c>
    </row>
    <row r="5" spans="1:10" x14ac:dyDescent="0.25">
      <c r="A5" s="1">
        <v>1971</v>
      </c>
      <c r="B5">
        <v>275.2</v>
      </c>
      <c r="C5">
        <v>500.4</v>
      </c>
      <c r="D5">
        <v>9.6</v>
      </c>
      <c r="E5">
        <v>39.200000000000003</v>
      </c>
      <c r="F5">
        <v>80.900000000000006</v>
      </c>
      <c r="G5">
        <v>130</v>
      </c>
      <c r="H5">
        <v>889.7</v>
      </c>
      <c r="I5">
        <v>164.3</v>
      </c>
      <c r="J5">
        <v>2.5</v>
      </c>
    </row>
    <row r="6" spans="1:10" x14ac:dyDescent="0.25">
      <c r="A6" s="1">
        <v>1972</v>
      </c>
      <c r="B6">
        <v>238.2</v>
      </c>
      <c r="C6">
        <v>504</v>
      </c>
      <c r="D6" s="22">
        <v>8.8000000000000007</v>
      </c>
      <c r="E6" s="22">
        <v>34.299999999999997</v>
      </c>
      <c r="F6">
        <v>93.3</v>
      </c>
      <c r="G6">
        <v>180.8</v>
      </c>
      <c r="H6">
        <v>891.1</v>
      </c>
      <c r="I6">
        <v>187</v>
      </c>
      <c r="J6">
        <v>2.9</v>
      </c>
    </row>
    <row r="7" spans="1:10" x14ac:dyDescent="0.25">
      <c r="A7" s="1">
        <v>1973</v>
      </c>
      <c r="B7">
        <v>235.3</v>
      </c>
      <c r="C7">
        <v>502.1</v>
      </c>
      <c r="D7">
        <v>9.1</v>
      </c>
      <c r="E7">
        <v>48</v>
      </c>
      <c r="F7">
        <v>87.8</v>
      </c>
      <c r="G7">
        <v>95.2</v>
      </c>
      <c r="H7">
        <v>732.3</v>
      </c>
      <c r="I7">
        <v>169.1</v>
      </c>
      <c r="J7">
        <v>4</v>
      </c>
    </row>
    <row r="8" spans="1:10" x14ac:dyDescent="0.25">
      <c r="A8" s="1">
        <v>1974</v>
      </c>
      <c r="B8">
        <v>288.5</v>
      </c>
      <c r="C8">
        <v>524.5</v>
      </c>
      <c r="D8" s="22">
        <v>9.8000000000000007</v>
      </c>
      <c r="E8" s="22">
        <v>40.9</v>
      </c>
      <c r="F8">
        <v>96.5</v>
      </c>
      <c r="G8">
        <v>112.6</v>
      </c>
      <c r="H8">
        <v>946.9</v>
      </c>
      <c r="I8">
        <v>191.8</v>
      </c>
      <c r="J8">
        <v>4.3</v>
      </c>
    </row>
    <row r="9" spans="1:10" x14ac:dyDescent="0.25">
      <c r="A9" s="1">
        <v>1975</v>
      </c>
      <c r="B9">
        <v>207.1</v>
      </c>
      <c r="C9">
        <v>393.8</v>
      </c>
      <c r="D9">
        <v>8.6999999999999993</v>
      </c>
      <c r="E9" s="22">
        <v>36.799999999999997</v>
      </c>
      <c r="F9">
        <v>89</v>
      </c>
      <c r="G9">
        <v>100.2</v>
      </c>
      <c r="H9">
        <v>826.1</v>
      </c>
      <c r="I9">
        <v>196.3</v>
      </c>
      <c r="J9">
        <v>5.0999999999999996</v>
      </c>
    </row>
    <row r="10" spans="1:10" x14ac:dyDescent="0.25">
      <c r="A10" s="1">
        <v>1976</v>
      </c>
      <c r="B10">
        <v>204.1</v>
      </c>
      <c r="C10" s="22">
        <v>416.7</v>
      </c>
      <c r="D10" s="22">
        <v>10.5</v>
      </c>
      <c r="E10">
        <v>38.200000000000003</v>
      </c>
      <c r="F10">
        <v>141.4</v>
      </c>
      <c r="G10">
        <v>101.2</v>
      </c>
      <c r="H10">
        <v>839.9</v>
      </c>
      <c r="I10">
        <v>149.19999999999999</v>
      </c>
      <c r="J10">
        <v>2.7</v>
      </c>
    </row>
    <row r="11" spans="1:10" x14ac:dyDescent="0.25">
      <c r="A11" s="1">
        <v>1977</v>
      </c>
      <c r="B11">
        <v>133</v>
      </c>
      <c r="C11">
        <v>228</v>
      </c>
      <c r="D11">
        <v>4</v>
      </c>
      <c r="E11">
        <v>15.9</v>
      </c>
      <c r="F11">
        <v>131.9</v>
      </c>
      <c r="G11">
        <v>89.3</v>
      </c>
      <c r="H11">
        <v>769.7</v>
      </c>
      <c r="I11">
        <v>118.6</v>
      </c>
      <c r="J11">
        <v>3.8</v>
      </c>
    </row>
    <row r="12" spans="1:10" x14ac:dyDescent="0.25">
      <c r="A12" s="1">
        <v>1978</v>
      </c>
      <c r="B12">
        <v>244.8</v>
      </c>
      <c r="C12" s="22">
        <v>436.9</v>
      </c>
      <c r="D12" s="22">
        <v>12.5</v>
      </c>
      <c r="E12" s="22">
        <v>44.3</v>
      </c>
      <c r="F12">
        <v>157.1</v>
      </c>
      <c r="G12">
        <v>121.3</v>
      </c>
      <c r="H12">
        <v>921.1</v>
      </c>
      <c r="I12">
        <v>140</v>
      </c>
      <c r="J12">
        <v>4.3</v>
      </c>
    </row>
    <row r="13" spans="1:10" x14ac:dyDescent="0.25">
      <c r="A13" s="1">
        <v>1979</v>
      </c>
      <c r="B13">
        <v>253.4</v>
      </c>
      <c r="C13">
        <v>450.1</v>
      </c>
      <c r="D13">
        <v>138</v>
      </c>
      <c r="E13">
        <v>56.3</v>
      </c>
      <c r="F13">
        <v>174.8</v>
      </c>
      <c r="G13">
        <v>119.9</v>
      </c>
      <c r="H13">
        <v>911.9</v>
      </c>
      <c r="I13">
        <v>171.2</v>
      </c>
      <c r="J13">
        <v>5.3</v>
      </c>
    </row>
    <row r="14" spans="1:10" x14ac:dyDescent="0.25">
      <c r="A14" s="1">
        <v>1980</v>
      </c>
      <c r="B14">
        <v>239.3</v>
      </c>
      <c r="C14">
        <v>418.6</v>
      </c>
      <c r="D14">
        <v>13.1</v>
      </c>
      <c r="E14">
        <v>52.5</v>
      </c>
      <c r="F14">
        <v>204.8</v>
      </c>
      <c r="G14">
        <v>116.3</v>
      </c>
      <c r="H14">
        <v>937.2</v>
      </c>
      <c r="I14">
        <v>160.19999999999999</v>
      </c>
      <c r="J14">
        <v>6.3</v>
      </c>
    </row>
    <row r="15" spans="1:10" x14ac:dyDescent="0.25">
      <c r="A15" s="1">
        <v>1981</v>
      </c>
      <c r="B15">
        <v>237.1</v>
      </c>
      <c r="C15">
        <v>409.1</v>
      </c>
      <c r="D15">
        <v>9.1</v>
      </c>
      <c r="E15">
        <v>42.9</v>
      </c>
      <c r="F15">
        <v>175.7</v>
      </c>
      <c r="G15">
        <v>154.9</v>
      </c>
      <c r="H15">
        <v>1059.4000000000001</v>
      </c>
      <c r="I15">
        <v>187.3</v>
      </c>
      <c r="J15">
        <v>4.5999999999999996</v>
      </c>
    </row>
    <row r="16" spans="1:10" x14ac:dyDescent="0.25">
      <c r="A16" s="1">
        <v>1982</v>
      </c>
      <c r="B16">
        <v>224.3</v>
      </c>
      <c r="C16">
        <v>403.5</v>
      </c>
      <c r="D16">
        <v>7.7</v>
      </c>
      <c r="E16">
        <v>46.8</v>
      </c>
      <c r="F16">
        <v>179.4</v>
      </c>
      <c r="G16">
        <v>140.80000000000001</v>
      </c>
      <c r="H16">
        <v>1016.9</v>
      </c>
      <c r="I16">
        <v>204.1</v>
      </c>
      <c r="J16">
        <v>5.7</v>
      </c>
    </row>
    <row r="17" spans="1:10" x14ac:dyDescent="0.25">
      <c r="A17" s="1">
        <v>1983</v>
      </c>
      <c r="B17">
        <v>253.2</v>
      </c>
      <c r="C17">
        <v>407.3</v>
      </c>
      <c r="D17">
        <v>9.1</v>
      </c>
      <c r="E17">
        <v>58.8</v>
      </c>
      <c r="F17">
        <v>185.2</v>
      </c>
      <c r="G17">
        <v>138.19999999999999</v>
      </c>
      <c r="H17">
        <v>1009.5</v>
      </c>
      <c r="I17">
        <v>209.3</v>
      </c>
      <c r="J17">
        <v>6.5</v>
      </c>
    </row>
    <row r="18" spans="1:10" x14ac:dyDescent="0.25">
      <c r="A18" s="1">
        <v>1984</v>
      </c>
      <c r="B18">
        <v>225.2</v>
      </c>
      <c r="C18">
        <v>438.7</v>
      </c>
      <c r="D18">
        <v>10.1</v>
      </c>
      <c r="E18">
        <v>60.3</v>
      </c>
      <c r="F18">
        <v>186.7</v>
      </c>
      <c r="G18">
        <v>134.69999999999999</v>
      </c>
      <c r="H18">
        <v>922.5</v>
      </c>
      <c r="I18">
        <v>224.1</v>
      </c>
      <c r="J18">
        <v>5.8</v>
      </c>
    </row>
    <row r="19" spans="1:10" x14ac:dyDescent="0.25">
      <c r="A19" s="1">
        <v>1985</v>
      </c>
      <c r="B19">
        <v>245.9</v>
      </c>
      <c r="C19">
        <v>510.7</v>
      </c>
      <c r="D19">
        <v>9.6</v>
      </c>
      <c r="E19">
        <v>63.5</v>
      </c>
      <c r="F19">
        <v>198.6</v>
      </c>
      <c r="G19">
        <v>129.80000000000001</v>
      </c>
      <c r="H19">
        <v>1011.3</v>
      </c>
      <c r="I19">
        <v>202</v>
      </c>
      <c r="J19">
        <v>5.8</v>
      </c>
    </row>
    <row r="20" spans="1:10" x14ac:dyDescent="0.25">
      <c r="A20" s="1">
        <v>1986</v>
      </c>
      <c r="B20">
        <v>380.7</v>
      </c>
      <c r="C20">
        <v>473.1</v>
      </c>
      <c r="D20" s="22">
        <v>9.6</v>
      </c>
      <c r="E20" s="22">
        <v>60.3</v>
      </c>
      <c r="F20">
        <v>199.3</v>
      </c>
      <c r="G20">
        <v>120.2</v>
      </c>
      <c r="H20">
        <v>836.1</v>
      </c>
      <c r="I20">
        <v>196.2</v>
      </c>
      <c r="J20">
        <v>3.9</v>
      </c>
    </row>
    <row r="21" spans="1:10" x14ac:dyDescent="0.25">
      <c r="A21" s="1">
        <v>1987</v>
      </c>
      <c r="B21">
        <v>378.4</v>
      </c>
      <c r="C21">
        <v>461.3</v>
      </c>
      <c r="D21">
        <v>10.199999999999999</v>
      </c>
      <c r="E21">
        <v>54.2</v>
      </c>
      <c r="F21">
        <v>167.5</v>
      </c>
      <c r="G21">
        <v>138</v>
      </c>
      <c r="H21">
        <v>964.5</v>
      </c>
      <c r="I21">
        <v>285.10000000000002</v>
      </c>
      <c r="J21">
        <v>3.4</v>
      </c>
    </row>
    <row r="22" spans="1:10" x14ac:dyDescent="0.25">
      <c r="A22" s="1">
        <v>1988</v>
      </c>
      <c r="B22">
        <v>463.7</v>
      </c>
      <c r="C22">
        <v>440.4</v>
      </c>
      <c r="D22">
        <v>9.6999999999999993</v>
      </c>
      <c r="E22">
        <v>53.5</v>
      </c>
      <c r="F22">
        <v>161.9</v>
      </c>
      <c r="G22">
        <v>185.8</v>
      </c>
      <c r="H22">
        <v>1089.7</v>
      </c>
      <c r="I22">
        <v>318</v>
      </c>
      <c r="J22">
        <v>3.3</v>
      </c>
    </row>
    <row r="23" spans="1:10" x14ac:dyDescent="0.25">
      <c r="A23" s="1">
        <v>1989</v>
      </c>
      <c r="B23">
        <v>369</v>
      </c>
      <c r="C23">
        <v>421.8</v>
      </c>
      <c r="D23">
        <v>9.1</v>
      </c>
      <c r="E23">
        <v>53.8</v>
      </c>
      <c r="F23">
        <v>213.9</v>
      </c>
      <c r="G23">
        <v>167.1</v>
      </c>
      <c r="H23">
        <v>1125.8</v>
      </c>
      <c r="I23">
        <v>393.4</v>
      </c>
      <c r="J23">
        <v>3.4</v>
      </c>
    </row>
    <row r="24" spans="1:10" x14ac:dyDescent="0.25">
      <c r="A24" s="1">
        <v>1990</v>
      </c>
      <c r="B24">
        <v>401.1</v>
      </c>
      <c r="C24">
        <v>463.4</v>
      </c>
      <c r="D24">
        <v>10.6</v>
      </c>
      <c r="E24">
        <v>48.9</v>
      </c>
      <c r="F24">
        <v>194.8</v>
      </c>
      <c r="G24">
        <v>169.8</v>
      </c>
      <c r="H24">
        <v>1033.2</v>
      </c>
      <c r="I24">
        <v>309.89999999999998</v>
      </c>
      <c r="J24">
        <v>3.6</v>
      </c>
    </row>
    <row r="25" spans="1:10" x14ac:dyDescent="0.25">
      <c r="A25" s="1">
        <v>1991</v>
      </c>
      <c r="B25">
        <v>325.39999999999998</v>
      </c>
      <c r="C25">
        <v>509.2</v>
      </c>
      <c r="D25">
        <v>13.8</v>
      </c>
      <c r="E25">
        <v>68.900000000000006</v>
      </c>
      <c r="F25">
        <v>192.8</v>
      </c>
      <c r="G25">
        <v>168.1</v>
      </c>
      <c r="H25">
        <v>1079.5</v>
      </c>
      <c r="I25">
        <v>269.60000000000002</v>
      </c>
      <c r="J25">
        <v>4.5</v>
      </c>
    </row>
    <row r="26" spans="1:10" x14ac:dyDescent="0.25">
      <c r="A26" s="1">
        <v>1992</v>
      </c>
      <c r="B26">
        <v>431.6</v>
      </c>
      <c r="C26">
        <v>520.4</v>
      </c>
      <c r="D26">
        <v>13.5</v>
      </c>
      <c r="E26">
        <v>68.2</v>
      </c>
      <c r="F26">
        <v>179.3</v>
      </c>
      <c r="G26">
        <v>190.9</v>
      </c>
      <c r="H26">
        <v>1104</v>
      </c>
      <c r="I26">
        <v>273.10000000000002</v>
      </c>
      <c r="J26">
        <v>3.8</v>
      </c>
    </row>
    <row r="27" spans="1:10" x14ac:dyDescent="0.25">
      <c r="A27" s="1">
        <v>1993</v>
      </c>
      <c r="B27">
        <v>295.89999999999998</v>
      </c>
      <c r="C27">
        <v>481.3</v>
      </c>
      <c r="D27">
        <v>12.9</v>
      </c>
      <c r="E27">
        <v>68.599999999999994</v>
      </c>
      <c r="F27">
        <v>193</v>
      </c>
      <c r="G27">
        <v>137.1</v>
      </c>
      <c r="H27">
        <v>912.6</v>
      </c>
      <c r="I27">
        <v>273.60000000000002</v>
      </c>
      <c r="J27">
        <v>4.5</v>
      </c>
    </row>
    <row r="28" spans="1:10" x14ac:dyDescent="0.25">
      <c r="A28" s="1">
        <v>1994</v>
      </c>
      <c r="B28">
        <v>489.9</v>
      </c>
      <c r="C28">
        <v>633.9</v>
      </c>
      <c r="D28">
        <v>13.5</v>
      </c>
      <c r="E28">
        <v>76.900000000000006</v>
      </c>
      <c r="F28">
        <v>203.5</v>
      </c>
      <c r="G28">
        <v>151.80000000000001</v>
      </c>
      <c r="H28">
        <v>1111.3</v>
      </c>
      <c r="I28">
        <v>288.10000000000002</v>
      </c>
      <c r="J28">
        <v>4.9000000000000004</v>
      </c>
    </row>
    <row r="29" spans="1:10" x14ac:dyDescent="0.25">
      <c r="A29" s="1">
        <v>1995</v>
      </c>
      <c r="B29">
        <v>342.9</v>
      </c>
      <c r="C29">
        <v>487.5</v>
      </c>
      <c r="D29">
        <v>9.6</v>
      </c>
      <c r="E29">
        <v>85.4</v>
      </c>
      <c r="F29">
        <v>197.8</v>
      </c>
      <c r="G29">
        <v>107.4</v>
      </c>
      <c r="H29">
        <v>762.8</v>
      </c>
      <c r="I29">
        <v>244.8</v>
      </c>
      <c r="J29">
        <v>4.3</v>
      </c>
    </row>
    <row r="30" spans="1:10" x14ac:dyDescent="0.25">
      <c r="A30" s="1">
        <v>1996</v>
      </c>
      <c r="B30">
        <v>387.3</v>
      </c>
      <c r="C30">
        <v>443.7</v>
      </c>
      <c r="D30">
        <v>12.9</v>
      </c>
      <c r="E30">
        <v>64.400000000000006</v>
      </c>
      <c r="F30">
        <v>208.2</v>
      </c>
      <c r="G30">
        <v>191.9</v>
      </c>
      <c r="H30">
        <v>1013.8</v>
      </c>
      <c r="I30">
        <v>321.60000000000002</v>
      </c>
      <c r="J30">
        <v>0.4</v>
      </c>
    </row>
    <row r="31" spans="1:10" x14ac:dyDescent="0.25">
      <c r="A31" s="1">
        <v>1997</v>
      </c>
      <c r="B31">
        <v>336.9</v>
      </c>
      <c r="C31">
        <v>442.7</v>
      </c>
      <c r="D31">
        <v>20.2</v>
      </c>
      <c r="E31">
        <v>62.2</v>
      </c>
      <c r="F31">
        <v>183.5</v>
      </c>
      <c r="G31">
        <v>131.4</v>
      </c>
      <c r="H31">
        <v>835.4</v>
      </c>
      <c r="I31">
        <v>277.10000000000002</v>
      </c>
      <c r="J31">
        <v>0.4</v>
      </c>
    </row>
    <row r="32" spans="1:10" x14ac:dyDescent="0.25">
      <c r="A32" s="1">
        <v>1998</v>
      </c>
      <c r="B32">
        <v>279.10000000000002</v>
      </c>
      <c r="C32">
        <v>516</v>
      </c>
      <c r="D32">
        <v>19.3</v>
      </c>
      <c r="E32">
        <v>70.3</v>
      </c>
      <c r="F32">
        <v>194.1</v>
      </c>
      <c r="G32">
        <v>162.30000000000001</v>
      </c>
      <c r="H32">
        <v>964.4</v>
      </c>
      <c r="I32">
        <v>322.10000000000002</v>
      </c>
      <c r="J32">
        <v>0.5</v>
      </c>
    </row>
    <row r="33" spans="1:10" x14ac:dyDescent="0.25">
      <c r="A33" s="1">
        <v>1999</v>
      </c>
      <c r="B33">
        <v>309.3</v>
      </c>
      <c r="C33">
        <v>523.5</v>
      </c>
      <c r="D33">
        <v>17.899999999999999</v>
      </c>
      <c r="E33">
        <v>59</v>
      </c>
      <c r="F33">
        <v>155.6</v>
      </c>
      <c r="G33">
        <v>150.80000000000001</v>
      </c>
      <c r="H33">
        <v>850.1</v>
      </c>
      <c r="I33">
        <v>263.39999999999998</v>
      </c>
      <c r="J33">
        <v>0.5</v>
      </c>
    </row>
    <row r="34" spans="1:10" x14ac:dyDescent="0.25">
      <c r="A34" s="1">
        <v>2000</v>
      </c>
      <c r="B34">
        <v>319.8</v>
      </c>
      <c r="C34">
        <v>429</v>
      </c>
      <c r="D34">
        <v>14.1</v>
      </c>
      <c r="E34">
        <v>69.5</v>
      </c>
      <c r="F34">
        <v>181.1</v>
      </c>
      <c r="G34">
        <v>190.5</v>
      </c>
      <c r="H34">
        <v>1080.4000000000001</v>
      </c>
      <c r="I34">
        <v>359.5</v>
      </c>
      <c r="J34">
        <v>0.6</v>
      </c>
    </row>
    <row r="35" spans="1:10" x14ac:dyDescent="0.25">
      <c r="A35" s="1">
        <v>2001</v>
      </c>
      <c r="B35">
        <v>342.7</v>
      </c>
      <c r="C35">
        <v>535.70000000000005</v>
      </c>
      <c r="D35">
        <v>21.6</v>
      </c>
      <c r="E35">
        <v>72.599999999999994</v>
      </c>
      <c r="F35">
        <v>195.5</v>
      </c>
      <c r="G35">
        <v>177.1</v>
      </c>
      <c r="H35">
        <v>1077.0999999999999</v>
      </c>
      <c r="I35">
        <v>353.1</v>
      </c>
      <c r="J35">
        <v>0.5</v>
      </c>
    </row>
    <row r="36" spans="1:10" x14ac:dyDescent="0.25">
      <c r="A36" s="1">
        <v>2002</v>
      </c>
      <c r="B36">
        <v>350.1</v>
      </c>
      <c r="C36">
        <v>403.8</v>
      </c>
      <c r="D36">
        <v>9.9</v>
      </c>
      <c r="E36">
        <v>51.9</v>
      </c>
      <c r="F36">
        <v>238.5</v>
      </c>
      <c r="G36">
        <v>215.1</v>
      </c>
      <c r="H36">
        <v>1006.9</v>
      </c>
      <c r="I36">
        <v>317.2</v>
      </c>
      <c r="J36">
        <v>0.4</v>
      </c>
    </row>
    <row r="37" spans="1:10" x14ac:dyDescent="0.25">
      <c r="A37" s="1">
        <v>2003</v>
      </c>
      <c r="B37">
        <v>317.60000000000002</v>
      </c>
      <c r="C37">
        <v>478.1</v>
      </c>
      <c r="D37">
        <v>12.5</v>
      </c>
      <c r="E37">
        <v>60.1</v>
      </c>
      <c r="F37">
        <v>231.2</v>
      </c>
      <c r="G37">
        <v>180.8</v>
      </c>
      <c r="H37">
        <v>947.4</v>
      </c>
      <c r="I37">
        <v>322.2</v>
      </c>
      <c r="J37">
        <v>0.5</v>
      </c>
    </row>
    <row r="38" spans="1:10" x14ac:dyDescent="0.25">
      <c r="A38" s="1">
        <v>2004</v>
      </c>
      <c r="B38">
        <v>285.7</v>
      </c>
      <c r="C38">
        <v>455</v>
      </c>
      <c r="D38">
        <v>12.2</v>
      </c>
      <c r="E38">
        <v>50.1</v>
      </c>
      <c r="F38">
        <v>229.1</v>
      </c>
      <c r="G38">
        <v>131.4</v>
      </c>
      <c r="H38">
        <v>847.5</v>
      </c>
      <c r="I38">
        <v>262.60000000000002</v>
      </c>
      <c r="J38">
        <v>0.6</v>
      </c>
    </row>
    <row r="39" spans="1:10" x14ac:dyDescent="0.25">
      <c r="A39" s="1">
        <v>2005</v>
      </c>
      <c r="B39">
        <v>314.60000000000002</v>
      </c>
      <c r="C39">
        <v>490.3</v>
      </c>
      <c r="D39">
        <v>10.199999999999999</v>
      </c>
      <c r="E39">
        <v>71.7</v>
      </c>
      <c r="F39">
        <v>210.1</v>
      </c>
      <c r="G39">
        <v>118.6</v>
      </c>
      <c r="H39">
        <v>808</v>
      </c>
      <c r="I39">
        <v>292.89999999999998</v>
      </c>
      <c r="J39">
        <v>0.6</v>
      </c>
    </row>
    <row r="40" spans="1:10" s="22" customFormat="1" x14ac:dyDescent="0.25">
      <c r="A40" s="21">
        <v>2006</v>
      </c>
      <c r="B40" s="22">
        <v>213.8</v>
      </c>
      <c r="C40" s="22">
        <v>529.9</v>
      </c>
      <c r="D40" s="22">
        <v>24.5</v>
      </c>
      <c r="E40" s="22">
        <v>123</v>
      </c>
      <c r="F40" s="22">
        <v>211.8</v>
      </c>
      <c r="G40" s="22">
        <v>153.6</v>
      </c>
      <c r="H40" s="22">
        <v>884.3</v>
      </c>
      <c r="I40" s="22">
        <v>282.2</v>
      </c>
      <c r="J40" s="22">
        <v>0.6</v>
      </c>
    </row>
    <row r="41" spans="1:10" s="22" customFormat="1" x14ac:dyDescent="0.25">
      <c r="A41" s="21">
        <v>2007</v>
      </c>
      <c r="B41" s="22">
        <v>322.8</v>
      </c>
      <c r="C41" s="22">
        <v>513.9</v>
      </c>
      <c r="D41" s="22">
        <v>18.899999999999999</v>
      </c>
      <c r="E41" s="22">
        <v>155.19999999999999</v>
      </c>
      <c r="F41" s="22">
        <v>212.2</v>
      </c>
      <c r="G41" s="22">
        <v>159.5</v>
      </c>
      <c r="H41" s="22">
        <v>1054.5999999999999</v>
      </c>
      <c r="I41" s="22">
        <v>352.5</v>
      </c>
      <c r="J41" s="22">
        <v>0.8</v>
      </c>
    </row>
    <row r="42" spans="1:10" s="22" customFormat="1" x14ac:dyDescent="0.25">
      <c r="A42" s="21">
        <v>2008</v>
      </c>
      <c r="B42" s="22">
        <v>286.89999999999998</v>
      </c>
      <c r="C42" s="22">
        <v>465</v>
      </c>
      <c r="D42" s="22">
        <v>17.2</v>
      </c>
      <c r="E42" s="22">
        <v>138.30000000000001</v>
      </c>
      <c r="F42" s="22">
        <v>212.2</v>
      </c>
      <c r="G42" s="22">
        <v>163.5</v>
      </c>
      <c r="H42" s="22">
        <v>980.9</v>
      </c>
      <c r="I42" s="22">
        <v>410.1</v>
      </c>
      <c r="J42" s="22">
        <v>1</v>
      </c>
    </row>
    <row r="43" spans="1:10" s="22" customFormat="1" x14ac:dyDescent="0.25">
      <c r="A43" s="21">
        <v>2009</v>
      </c>
      <c r="B43" s="22">
        <v>300.2</v>
      </c>
      <c r="C43" s="22">
        <v>466.6</v>
      </c>
      <c r="D43" s="22">
        <v>14.3</v>
      </c>
      <c r="E43" s="22">
        <v>134.5</v>
      </c>
      <c r="F43" s="22">
        <v>212.2</v>
      </c>
      <c r="G43" s="22">
        <v>221</v>
      </c>
      <c r="H43" s="22">
        <v>969.7</v>
      </c>
      <c r="I43" s="22">
        <v>405.6</v>
      </c>
      <c r="J43" s="22">
        <v>0.8</v>
      </c>
    </row>
    <row r="44" spans="1:10" s="22" customFormat="1" x14ac:dyDescent="0.25">
      <c r="A44" s="21">
        <v>2010</v>
      </c>
      <c r="B44" s="22">
        <v>280.10000000000002</v>
      </c>
      <c r="C44" s="22">
        <v>452.1</v>
      </c>
      <c r="D44" s="22">
        <v>27.2</v>
      </c>
      <c r="E44" s="22">
        <v>131</v>
      </c>
      <c r="F44" s="22">
        <v>212.2</v>
      </c>
      <c r="G44" s="22">
        <v>203.7</v>
      </c>
      <c r="H44" s="22">
        <v>976.1</v>
      </c>
      <c r="I44" s="22">
        <v>391.3</v>
      </c>
      <c r="J44" s="22">
        <v>1.3</v>
      </c>
    </row>
    <row r="45" spans="1:10" s="22" customFormat="1" x14ac:dyDescent="0.25">
      <c r="A45" s="21">
        <v>2011</v>
      </c>
      <c r="B45" s="22">
        <v>305.60000000000002</v>
      </c>
      <c r="C45" s="22">
        <v>472.5</v>
      </c>
      <c r="D45" s="22">
        <v>18.899999999999999</v>
      </c>
      <c r="E45" s="22">
        <v>90.6</v>
      </c>
      <c r="F45" s="22">
        <v>208.4</v>
      </c>
      <c r="G45" s="22">
        <v>198</v>
      </c>
      <c r="H45" s="22">
        <v>889.5</v>
      </c>
      <c r="I45" s="22">
        <v>367.4</v>
      </c>
      <c r="J45" s="22">
        <v>1</v>
      </c>
    </row>
    <row r="46" spans="1:10" s="22" customFormat="1" x14ac:dyDescent="0.25">
      <c r="A46" s="21">
        <v>2012</v>
      </c>
      <c r="B46" s="22">
        <v>277.5</v>
      </c>
      <c r="C46" s="22">
        <v>549.20000000000005</v>
      </c>
      <c r="D46" s="22">
        <v>19.100000000000001</v>
      </c>
      <c r="E46" s="22">
        <v>93.7</v>
      </c>
      <c r="F46" s="22">
        <v>208.4</v>
      </c>
      <c r="G46" s="22">
        <v>276.39999999999998</v>
      </c>
      <c r="H46" s="22">
        <v>1116.3</v>
      </c>
      <c r="I46" s="22">
        <v>506.9</v>
      </c>
      <c r="J46" s="22">
        <v>0.6</v>
      </c>
    </row>
    <row r="47" spans="1:10" s="22" customFormat="1" x14ac:dyDescent="0.25">
      <c r="A47" s="21">
        <v>2013</v>
      </c>
      <c r="B47" s="22">
        <v>269.8</v>
      </c>
      <c r="C47" s="22">
        <v>570.4</v>
      </c>
      <c r="D47" s="22">
        <v>21.4</v>
      </c>
      <c r="E47" s="22">
        <v>93.7</v>
      </c>
      <c r="F47" s="22">
        <v>208.4</v>
      </c>
      <c r="G47" s="22">
        <v>181.4</v>
      </c>
      <c r="H47" s="22">
        <v>802.3</v>
      </c>
      <c r="I47" s="22">
        <v>344.3</v>
      </c>
      <c r="J47" s="22">
        <v>1.1000000000000001</v>
      </c>
    </row>
    <row r="48" spans="1:10" s="22" customFormat="1" x14ac:dyDescent="0.25">
      <c r="A48" s="21">
        <v>2014</v>
      </c>
      <c r="B48" s="22">
        <v>263.10000000000002</v>
      </c>
      <c r="C48" s="22">
        <v>442.2</v>
      </c>
      <c r="D48" s="22">
        <v>21</v>
      </c>
      <c r="E48" s="22">
        <v>74.2</v>
      </c>
      <c r="F48" s="22">
        <v>208.4</v>
      </c>
      <c r="G48" s="22">
        <v>154.1</v>
      </c>
      <c r="H48" s="22">
        <v>715.9</v>
      </c>
      <c r="I48" s="22">
        <v>433.2</v>
      </c>
      <c r="J48" s="22">
        <v>1</v>
      </c>
    </row>
    <row r="49" spans="1:10" s="22" customFormat="1" x14ac:dyDescent="0.25">
      <c r="A49" s="21">
        <v>2015</v>
      </c>
      <c r="B49" s="22">
        <v>258.3</v>
      </c>
      <c r="C49" s="22">
        <v>418</v>
      </c>
      <c r="D49" s="22">
        <v>9.1</v>
      </c>
      <c r="E49" s="22">
        <v>69.3</v>
      </c>
      <c r="F49" s="22">
        <v>208.4</v>
      </c>
      <c r="G49" s="22">
        <v>169.3</v>
      </c>
      <c r="H49" s="22">
        <v>655.4</v>
      </c>
      <c r="I49" s="22">
        <v>345.9</v>
      </c>
      <c r="J49" s="22">
        <v>1.2</v>
      </c>
    </row>
    <row r="50" spans="1:10" s="22" customFormat="1" x14ac:dyDescent="0.25">
      <c r="A50" s="21">
        <v>2016</v>
      </c>
      <c r="B50" s="22">
        <v>322.5</v>
      </c>
      <c r="C50" s="22">
        <v>564.5</v>
      </c>
      <c r="D50" s="22">
        <v>16.5</v>
      </c>
      <c r="E50" s="22">
        <v>81.599999999999994</v>
      </c>
      <c r="F50" s="22">
        <v>201.3</v>
      </c>
      <c r="G50" s="22">
        <v>172.3</v>
      </c>
      <c r="H50" s="22">
        <v>1014.5</v>
      </c>
      <c r="I50" s="22">
        <v>316.7</v>
      </c>
      <c r="J50" s="22">
        <v>1.1000000000000001</v>
      </c>
    </row>
    <row r="51" spans="1:10" s="22" customFormat="1" x14ac:dyDescent="0.25">
      <c r="A51" s="21">
        <v>2017</v>
      </c>
      <c r="B51" s="22">
        <v>365.2</v>
      </c>
      <c r="C51" s="22">
        <v>597.9</v>
      </c>
      <c r="D51" s="22">
        <v>16.5</v>
      </c>
      <c r="E51" s="22">
        <v>85</v>
      </c>
      <c r="F51" s="22">
        <v>235.1</v>
      </c>
      <c r="G51" s="22">
        <v>164.8</v>
      </c>
      <c r="H51" s="22">
        <v>1036.8</v>
      </c>
      <c r="I51" s="22">
        <v>335.2</v>
      </c>
      <c r="J51" s="22">
        <v>1.1000000000000001</v>
      </c>
    </row>
    <row r="52" spans="1:10" s="22" customFormat="1" x14ac:dyDescent="0.25">
      <c r="A52" s="21">
        <v>2018</v>
      </c>
      <c r="B52" s="22">
        <v>345.1</v>
      </c>
      <c r="C52" s="22">
        <v>686.4</v>
      </c>
      <c r="D52" s="22">
        <v>11.4</v>
      </c>
      <c r="E52" s="22">
        <v>79.2</v>
      </c>
      <c r="F52" s="22">
        <v>235.1</v>
      </c>
      <c r="G52" s="22">
        <v>201.2</v>
      </c>
      <c r="H52" s="22">
        <v>1148.9000000000001</v>
      </c>
      <c r="I52" s="22">
        <v>346.1</v>
      </c>
      <c r="J52" s="22">
        <v>1</v>
      </c>
    </row>
    <row r="53" spans="1:10" x14ac:dyDescent="0.25">
      <c r="A53" s="1">
        <v>2019</v>
      </c>
    </row>
    <row r="54" spans="1:10" x14ac:dyDescent="0.25">
      <c r="A54" s="1">
        <v>2020</v>
      </c>
    </row>
    <row r="61" spans="1:10" x14ac:dyDescent="0.25">
      <c r="A61" s="1" t="s">
        <v>182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584"/>
  <sheetViews>
    <sheetView zoomScale="86" zoomScaleNormal="86" workbookViewId="0">
      <pane xSplit="1" ySplit="4" topLeftCell="Y536" activePane="bottomRight" state="frozen"/>
      <selection pane="topRight" activeCell="B1" sqref="B1"/>
      <selection pane="bottomLeft" activeCell="A5" sqref="A5"/>
      <selection pane="bottomRight" activeCell="AC567" sqref="AC567"/>
    </sheetView>
  </sheetViews>
  <sheetFormatPr defaultRowHeight="15" x14ac:dyDescent="0.25"/>
  <cols>
    <col min="1" max="1" width="15.5703125" style="4" bestFit="1" customWidth="1"/>
    <col min="2" max="2" width="10" customWidth="1"/>
    <col min="3" max="3" width="15.85546875" customWidth="1"/>
    <col min="4" max="5" width="14" customWidth="1"/>
    <col min="6" max="6" width="12.85546875" customWidth="1"/>
    <col min="7" max="9" width="13" customWidth="1"/>
    <col min="10" max="11" width="14" customWidth="1"/>
    <col min="12" max="13" width="11" bestFit="1" customWidth="1"/>
    <col min="18" max="19" width="9.140625" customWidth="1"/>
    <col min="20" max="20" width="14.7109375" style="34" customWidth="1"/>
    <col min="21" max="22" width="11.28515625" style="34" customWidth="1"/>
    <col min="23" max="25" width="11.28515625" customWidth="1"/>
    <col min="26" max="26" width="13.7109375" customWidth="1"/>
    <col min="27" max="27" width="17" customWidth="1"/>
    <col min="28" max="28" width="15.5703125" customWidth="1"/>
    <col min="29" max="29" width="17.140625" customWidth="1"/>
    <col min="32" max="32" width="11.5703125" customWidth="1"/>
    <col min="33" max="33" width="9.7109375" customWidth="1"/>
    <col min="38" max="38" width="11.42578125" customWidth="1"/>
    <col min="39" max="39" width="9.7109375" customWidth="1"/>
    <col min="40" max="40" width="12.5703125" customWidth="1"/>
    <col min="41" max="41" width="12.140625" customWidth="1"/>
    <col min="44" max="45" width="9.140625" customWidth="1"/>
    <col min="48" max="49" width="9.140625" customWidth="1"/>
    <col min="50" max="50" width="11.7109375" customWidth="1"/>
    <col min="51" max="51" width="9.7109375" customWidth="1"/>
    <col min="54" max="55" width="12.140625" customWidth="1"/>
    <col min="56" max="56" width="13.7109375" customWidth="1"/>
    <col min="57" max="57" width="11.5703125" customWidth="1"/>
    <col min="58" max="58" width="10.7109375" customWidth="1"/>
    <col min="59" max="59" width="11.7109375" customWidth="1"/>
    <col min="60" max="60" width="14" customWidth="1"/>
    <col min="61" max="61" width="14.42578125" customWidth="1"/>
    <col min="62" max="62" width="12.28515625" customWidth="1"/>
    <col min="63" max="63" width="11" customWidth="1"/>
    <col min="64" max="64" width="10.5703125" customWidth="1"/>
    <col min="65" max="65" width="10.42578125" customWidth="1"/>
    <col min="66" max="66" width="13.28515625" customWidth="1"/>
    <col min="67" max="67" width="10.5703125" customWidth="1"/>
    <col min="68" max="69" width="9.140625" customWidth="1"/>
    <col min="70" max="70" width="19.140625" customWidth="1"/>
    <col min="71" max="71" width="18.28515625" customWidth="1"/>
    <col min="72" max="74" width="9.140625" customWidth="1"/>
  </cols>
  <sheetData>
    <row r="1" spans="1:73" s="1" customFormat="1" ht="28.9" customHeight="1" x14ac:dyDescent="0.25">
      <c r="A1" s="4" t="s">
        <v>1</v>
      </c>
      <c r="B1" s="50" t="s">
        <v>4</v>
      </c>
      <c r="C1" s="50"/>
      <c r="D1" s="51" t="s">
        <v>25</v>
      </c>
      <c r="E1" s="51"/>
      <c r="F1" s="50" t="s">
        <v>23</v>
      </c>
      <c r="G1" s="50"/>
      <c r="H1" s="50"/>
      <c r="I1" s="50"/>
      <c r="J1" s="50" t="s">
        <v>21</v>
      </c>
      <c r="K1" s="50"/>
      <c r="L1" s="45" t="s">
        <v>9</v>
      </c>
      <c r="M1" s="45"/>
      <c r="N1" s="45"/>
      <c r="O1" s="45"/>
      <c r="P1" s="45" t="s">
        <v>26</v>
      </c>
      <c r="Q1" s="45"/>
      <c r="R1" s="45"/>
      <c r="S1" s="45"/>
      <c r="T1" s="52" t="s">
        <v>29</v>
      </c>
      <c r="U1" s="52"/>
      <c r="V1" s="45" t="s">
        <v>31</v>
      </c>
      <c r="W1" s="45"/>
      <c r="X1" s="45"/>
      <c r="Y1" s="45"/>
      <c r="Z1" s="45" t="s">
        <v>12</v>
      </c>
      <c r="AA1" s="45"/>
      <c r="AB1" s="45"/>
      <c r="AC1" s="45"/>
      <c r="AD1" s="45"/>
      <c r="AE1" s="45"/>
      <c r="AF1" s="45" t="s">
        <v>16</v>
      </c>
      <c r="AG1" s="45"/>
      <c r="AH1" s="45"/>
      <c r="AI1" s="45"/>
      <c r="AJ1" s="45"/>
      <c r="AK1" s="45"/>
      <c r="AL1" s="45"/>
      <c r="AM1" s="45"/>
      <c r="AN1" s="45" t="s">
        <v>34</v>
      </c>
      <c r="AO1" s="45"/>
      <c r="AP1" s="45"/>
      <c r="AQ1" s="45"/>
      <c r="AR1" s="45"/>
      <c r="AS1" s="45"/>
      <c r="AT1" s="45" t="s">
        <v>39</v>
      </c>
      <c r="AU1" s="45"/>
      <c r="AV1" s="45"/>
      <c r="AW1" s="45"/>
      <c r="AX1" s="45"/>
      <c r="AY1" s="45"/>
      <c r="AZ1" s="49" t="s">
        <v>40</v>
      </c>
      <c r="BA1" s="49"/>
      <c r="BB1" s="49"/>
      <c r="BC1" s="49"/>
      <c r="BD1" s="45" t="s">
        <v>42</v>
      </c>
      <c r="BE1" s="45"/>
      <c r="BF1" s="44" t="s">
        <v>43</v>
      </c>
      <c r="BG1" s="44"/>
      <c r="BH1" s="45" t="s">
        <v>50</v>
      </c>
      <c r="BI1" s="45"/>
      <c r="BJ1" s="45"/>
      <c r="BK1" s="45"/>
      <c r="BL1" s="45"/>
      <c r="BM1" s="45"/>
      <c r="BN1" s="45"/>
      <c r="BO1" s="45"/>
      <c r="BP1" s="45"/>
      <c r="BQ1" s="45"/>
      <c r="BR1" s="45"/>
      <c r="BS1" s="45"/>
      <c r="BT1" s="45"/>
      <c r="BU1" s="45"/>
    </row>
    <row r="2" spans="1:73" s="1" customFormat="1" x14ac:dyDescent="0.25">
      <c r="A2" s="4" t="s">
        <v>0</v>
      </c>
      <c r="B2" s="45" t="s">
        <v>5</v>
      </c>
      <c r="C2" s="45"/>
      <c r="D2" s="44" t="s">
        <v>24</v>
      </c>
      <c r="E2" s="44"/>
      <c r="F2" s="45" t="s">
        <v>22</v>
      </c>
      <c r="G2" s="45"/>
      <c r="H2" s="45"/>
      <c r="I2" s="45"/>
      <c r="J2" s="45" t="s">
        <v>20</v>
      </c>
      <c r="K2" s="45"/>
      <c r="L2" s="45" t="s">
        <v>8</v>
      </c>
      <c r="M2" s="45"/>
      <c r="N2" s="45"/>
      <c r="O2" s="45"/>
      <c r="P2" s="45" t="s">
        <v>28</v>
      </c>
      <c r="Q2" s="45"/>
      <c r="R2" s="44" t="s">
        <v>27</v>
      </c>
      <c r="S2" s="44"/>
      <c r="T2" s="52" t="s">
        <v>30</v>
      </c>
      <c r="U2" s="52"/>
      <c r="V2" s="45" t="s">
        <v>33</v>
      </c>
      <c r="W2" s="45"/>
      <c r="X2" s="45" t="s">
        <v>32</v>
      </c>
      <c r="Y2" s="45"/>
      <c r="Z2" s="45" t="s">
        <v>13</v>
      </c>
      <c r="AA2" s="45"/>
      <c r="AB2" s="45" t="s">
        <v>14</v>
      </c>
      <c r="AC2" s="45"/>
      <c r="AD2" s="45" t="s">
        <v>15</v>
      </c>
      <c r="AE2" s="45"/>
      <c r="AF2" s="45" t="s">
        <v>17</v>
      </c>
      <c r="AG2" s="45"/>
      <c r="AH2" s="45" t="s">
        <v>15</v>
      </c>
      <c r="AI2" s="45"/>
      <c r="AJ2" s="45" t="s">
        <v>18</v>
      </c>
      <c r="AK2" s="45"/>
      <c r="AL2" s="49" t="s">
        <v>19</v>
      </c>
      <c r="AM2" s="49"/>
      <c r="AN2" s="48" t="s">
        <v>35</v>
      </c>
      <c r="AO2" s="48"/>
      <c r="AP2" s="47" t="s">
        <v>36</v>
      </c>
      <c r="AQ2" s="47"/>
      <c r="AR2" s="44" t="s">
        <v>37</v>
      </c>
      <c r="AS2" s="44"/>
      <c r="AT2" s="47" t="s">
        <v>36</v>
      </c>
      <c r="AU2" s="47"/>
      <c r="AV2" s="44" t="s">
        <v>38</v>
      </c>
      <c r="AW2" s="44"/>
      <c r="AX2" s="44" t="s">
        <v>120</v>
      </c>
      <c r="AY2" s="44"/>
      <c r="AZ2" s="47" t="s">
        <v>36</v>
      </c>
      <c r="BA2" s="47"/>
      <c r="BB2" s="45" t="s">
        <v>35</v>
      </c>
      <c r="BC2" s="45"/>
      <c r="BD2" s="45" t="s">
        <v>41</v>
      </c>
      <c r="BE2" s="45"/>
      <c r="BF2" s="44" t="s">
        <v>44</v>
      </c>
      <c r="BG2" s="44"/>
      <c r="BH2" s="44" t="s">
        <v>45</v>
      </c>
      <c r="BI2" s="44"/>
      <c r="BJ2" s="44" t="s">
        <v>46</v>
      </c>
      <c r="BK2" s="44"/>
      <c r="BL2" s="44" t="s">
        <v>47</v>
      </c>
      <c r="BM2" s="44"/>
      <c r="BN2" s="44" t="s">
        <v>48</v>
      </c>
      <c r="BO2" s="44"/>
      <c r="BP2" s="44" t="s">
        <v>44</v>
      </c>
      <c r="BQ2" s="44"/>
      <c r="BR2" s="44" t="s">
        <v>49</v>
      </c>
      <c r="BS2" s="44"/>
      <c r="BT2" s="46" t="s">
        <v>185</v>
      </c>
      <c r="BU2" s="46"/>
    </row>
    <row r="3" spans="1:73" s="1" customFormat="1" x14ac:dyDescent="0.25">
      <c r="A3" s="4" t="s">
        <v>2</v>
      </c>
      <c r="B3" s="45" t="s">
        <v>3</v>
      </c>
      <c r="C3" s="45"/>
      <c r="D3" s="44" t="s">
        <v>10</v>
      </c>
      <c r="E3" s="44"/>
      <c r="F3" s="45" t="s">
        <v>3</v>
      </c>
      <c r="G3" s="45"/>
      <c r="H3" s="45" t="s">
        <v>10</v>
      </c>
      <c r="I3" s="45"/>
      <c r="J3" s="45" t="s">
        <v>3</v>
      </c>
      <c r="K3" s="45"/>
      <c r="L3" s="45" t="s">
        <v>3</v>
      </c>
      <c r="M3" s="45"/>
      <c r="N3" s="45" t="s">
        <v>10</v>
      </c>
      <c r="O3" s="45"/>
      <c r="P3" s="45" t="s">
        <v>3</v>
      </c>
      <c r="Q3" s="45"/>
      <c r="R3" s="44" t="s">
        <v>3</v>
      </c>
      <c r="S3" s="44"/>
      <c r="T3" s="52" t="s">
        <v>10</v>
      </c>
      <c r="U3" s="52"/>
      <c r="V3" s="45" t="s">
        <v>10</v>
      </c>
      <c r="W3" s="45"/>
      <c r="X3" s="45" t="s">
        <v>10</v>
      </c>
      <c r="Y3" s="45"/>
      <c r="Z3" s="45" t="s">
        <v>3</v>
      </c>
      <c r="AA3" s="45"/>
      <c r="AB3" s="45" t="s">
        <v>3</v>
      </c>
      <c r="AC3" s="45"/>
      <c r="AD3" s="45" t="s">
        <v>3</v>
      </c>
      <c r="AE3" s="45"/>
      <c r="AF3" s="45" t="s">
        <v>3</v>
      </c>
      <c r="AG3" s="45"/>
      <c r="AH3" s="45" t="s">
        <v>3</v>
      </c>
      <c r="AI3" s="45"/>
      <c r="AJ3" s="45" t="s">
        <v>3</v>
      </c>
      <c r="AK3" s="45"/>
      <c r="AL3" s="45" t="s">
        <v>3</v>
      </c>
      <c r="AM3" s="45"/>
      <c r="AN3" s="45" t="s">
        <v>3</v>
      </c>
      <c r="AO3" s="45"/>
      <c r="AP3" s="45" t="s">
        <v>3</v>
      </c>
      <c r="AQ3" s="45"/>
      <c r="AR3" s="44" t="s">
        <v>3</v>
      </c>
      <c r="AS3" s="44"/>
      <c r="AT3" s="45" t="s">
        <v>3</v>
      </c>
      <c r="AU3" s="45"/>
      <c r="AV3" s="44" t="s">
        <v>3</v>
      </c>
      <c r="AW3" s="44"/>
      <c r="AX3" s="44" t="s">
        <v>3</v>
      </c>
      <c r="AY3" s="44"/>
      <c r="AZ3" s="45" t="s">
        <v>3</v>
      </c>
      <c r="BA3" s="45"/>
      <c r="BB3" s="45" t="s">
        <v>3</v>
      </c>
      <c r="BC3" s="45"/>
      <c r="BD3" s="45" t="s">
        <v>3</v>
      </c>
      <c r="BE3" s="45"/>
      <c r="BF3" s="44" t="s">
        <v>3</v>
      </c>
      <c r="BG3" s="44"/>
      <c r="BH3" s="44" t="s">
        <v>3</v>
      </c>
      <c r="BI3" s="44"/>
      <c r="BJ3" s="44" t="s">
        <v>3</v>
      </c>
      <c r="BK3" s="44"/>
      <c r="BL3" s="44" t="s">
        <v>3</v>
      </c>
      <c r="BM3" s="44"/>
      <c r="BN3" s="44" t="s">
        <v>3</v>
      </c>
      <c r="BO3" s="44"/>
      <c r="BP3" s="44" t="s">
        <v>3</v>
      </c>
      <c r="BQ3" s="44"/>
      <c r="BR3" s="44" t="s">
        <v>3</v>
      </c>
      <c r="BS3" s="44"/>
      <c r="BT3" s="44" t="s">
        <v>3</v>
      </c>
      <c r="BU3" s="44"/>
    </row>
    <row r="4" spans="1:73" s="1" customFormat="1" x14ac:dyDescent="0.25">
      <c r="A4" s="4" t="s">
        <v>59</v>
      </c>
      <c r="B4" s="3" t="s">
        <v>6</v>
      </c>
      <c r="C4" s="3" t="s">
        <v>7</v>
      </c>
      <c r="D4" s="3" t="s">
        <v>6</v>
      </c>
      <c r="E4" s="3" t="s">
        <v>7</v>
      </c>
      <c r="F4" s="3" t="s">
        <v>6</v>
      </c>
      <c r="G4" s="3" t="s">
        <v>7</v>
      </c>
      <c r="H4" s="3" t="s">
        <v>6</v>
      </c>
      <c r="I4" s="3" t="s">
        <v>7</v>
      </c>
      <c r="J4" s="3" t="s">
        <v>6</v>
      </c>
      <c r="K4" s="3" t="s">
        <v>7</v>
      </c>
      <c r="L4" s="3" t="s">
        <v>6</v>
      </c>
      <c r="M4" s="3" t="s">
        <v>7</v>
      </c>
      <c r="N4" s="3" t="s">
        <v>6</v>
      </c>
      <c r="O4" s="3" t="s">
        <v>7</v>
      </c>
      <c r="P4" s="3" t="s">
        <v>6</v>
      </c>
      <c r="Q4" s="3" t="s">
        <v>7</v>
      </c>
      <c r="R4" s="35" t="s">
        <v>6</v>
      </c>
      <c r="S4" s="35" t="s">
        <v>7</v>
      </c>
      <c r="T4" s="33" t="s">
        <v>6</v>
      </c>
      <c r="U4" s="33" t="s">
        <v>7</v>
      </c>
      <c r="V4" s="33" t="s">
        <v>6</v>
      </c>
      <c r="W4" s="3" t="s">
        <v>7</v>
      </c>
      <c r="X4" s="3" t="s">
        <v>6</v>
      </c>
      <c r="Y4" s="3" t="s">
        <v>7</v>
      </c>
      <c r="Z4" s="3" t="s">
        <v>6</v>
      </c>
      <c r="AA4" s="3" t="s">
        <v>7</v>
      </c>
      <c r="AB4" s="3" t="s">
        <v>6</v>
      </c>
      <c r="AC4" s="3" t="s">
        <v>7</v>
      </c>
      <c r="AD4" s="3" t="s">
        <v>6</v>
      </c>
      <c r="AE4" s="3" t="s">
        <v>7</v>
      </c>
      <c r="AF4" s="3" t="s">
        <v>6</v>
      </c>
      <c r="AG4" s="3" t="s">
        <v>7</v>
      </c>
      <c r="AH4" s="3" t="s">
        <v>6</v>
      </c>
      <c r="AI4" s="3" t="s">
        <v>7</v>
      </c>
      <c r="AJ4" s="3" t="s">
        <v>6</v>
      </c>
      <c r="AK4" s="3" t="s">
        <v>7</v>
      </c>
      <c r="AL4" s="3" t="s">
        <v>6</v>
      </c>
      <c r="AM4" s="3" t="s">
        <v>7</v>
      </c>
      <c r="AN4" s="3" t="s">
        <v>6</v>
      </c>
      <c r="AO4" s="3" t="s">
        <v>7</v>
      </c>
      <c r="AP4" s="3" t="s">
        <v>6</v>
      </c>
      <c r="AQ4" s="3" t="s">
        <v>7</v>
      </c>
      <c r="AR4" s="35" t="s">
        <v>6</v>
      </c>
      <c r="AS4" s="35" t="s">
        <v>7</v>
      </c>
      <c r="AT4" s="3" t="s">
        <v>6</v>
      </c>
      <c r="AU4" s="3" t="s">
        <v>7</v>
      </c>
      <c r="AV4" s="35" t="s">
        <v>6</v>
      </c>
      <c r="AW4" s="35" t="s">
        <v>7</v>
      </c>
      <c r="AX4" s="35" t="s">
        <v>6</v>
      </c>
      <c r="AY4" s="35" t="s">
        <v>7</v>
      </c>
      <c r="AZ4" s="3" t="s">
        <v>6</v>
      </c>
      <c r="BA4" s="3" t="s">
        <v>7</v>
      </c>
      <c r="BB4" s="3" t="s">
        <v>6</v>
      </c>
      <c r="BC4" s="3" t="s">
        <v>7</v>
      </c>
      <c r="BD4" s="3" t="s">
        <v>6</v>
      </c>
      <c r="BE4" s="3" t="s">
        <v>7</v>
      </c>
      <c r="BF4" s="35" t="s">
        <v>6</v>
      </c>
      <c r="BG4" s="35" t="s">
        <v>7</v>
      </c>
      <c r="BH4" s="35" t="s">
        <v>6</v>
      </c>
      <c r="BI4" s="35" t="s">
        <v>7</v>
      </c>
      <c r="BJ4" s="35" t="s">
        <v>6</v>
      </c>
      <c r="BK4" s="35" t="s">
        <v>7</v>
      </c>
      <c r="BL4" s="35" t="s">
        <v>6</v>
      </c>
      <c r="BM4" s="35" t="s">
        <v>7</v>
      </c>
      <c r="BN4" s="35" t="s">
        <v>6</v>
      </c>
      <c r="BO4" s="35" t="s">
        <v>7</v>
      </c>
      <c r="BP4" s="35" t="s">
        <v>6</v>
      </c>
      <c r="BQ4" s="35" t="s">
        <v>7</v>
      </c>
      <c r="BR4" s="35" t="s">
        <v>6</v>
      </c>
      <c r="BS4" s="35" t="s">
        <v>7</v>
      </c>
      <c r="BT4" s="35" t="s">
        <v>6</v>
      </c>
      <c r="BU4" s="35" t="s">
        <v>7</v>
      </c>
    </row>
    <row r="5" spans="1:73" x14ac:dyDescent="0.25">
      <c r="A5" s="5">
        <v>25934</v>
      </c>
      <c r="B5">
        <v>418</v>
      </c>
      <c r="C5" t="s">
        <v>11</v>
      </c>
      <c r="D5" t="s">
        <v>11</v>
      </c>
      <c r="E5" t="s">
        <v>11</v>
      </c>
      <c r="F5" t="s">
        <v>11</v>
      </c>
      <c r="G5" t="s">
        <v>11</v>
      </c>
      <c r="H5" t="s">
        <v>11</v>
      </c>
      <c r="I5" t="s">
        <v>11</v>
      </c>
      <c r="J5" t="s">
        <v>11</v>
      </c>
      <c r="K5" t="s">
        <v>11</v>
      </c>
      <c r="L5">
        <v>19010</v>
      </c>
      <c r="M5" t="s">
        <v>11</v>
      </c>
      <c r="N5" t="s">
        <v>11</v>
      </c>
      <c r="O5" t="s">
        <v>11</v>
      </c>
      <c r="P5" t="s">
        <v>11</v>
      </c>
      <c r="Q5" t="s">
        <v>11</v>
      </c>
      <c r="R5" t="s">
        <v>11</v>
      </c>
      <c r="S5" t="s">
        <v>11</v>
      </c>
      <c r="T5" s="34">
        <v>38910</v>
      </c>
      <c r="U5" s="34">
        <v>8750</v>
      </c>
      <c r="V5" s="34">
        <v>1840</v>
      </c>
      <c r="W5" t="s">
        <v>11</v>
      </c>
      <c r="X5">
        <v>2570</v>
      </c>
      <c r="Y5" t="s">
        <v>11</v>
      </c>
      <c r="Z5">
        <v>2427</v>
      </c>
      <c r="AA5">
        <v>1997</v>
      </c>
      <c r="AB5">
        <v>16684</v>
      </c>
      <c r="AC5">
        <v>6672</v>
      </c>
      <c r="AD5">
        <v>2030</v>
      </c>
      <c r="AE5" t="s">
        <v>11</v>
      </c>
      <c r="AF5">
        <v>3375</v>
      </c>
      <c r="AG5" t="s">
        <v>11</v>
      </c>
      <c r="AH5">
        <f>AD5</f>
        <v>2030</v>
      </c>
      <c r="AI5" t="str">
        <f>AE5</f>
        <v>NoData</v>
      </c>
      <c r="AJ5">
        <v>14233</v>
      </c>
      <c r="AK5" t="str">
        <f>AG5</f>
        <v>NoData</v>
      </c>
      <c r="AL5">
        <v>22318</v>
      </c>
      <c r="AM5">
        <v>3658</v>
      </c>
      <c r="AN5">
        <v>66</v>
      </c>
      <c r="AO5" t="str">
        <f>AK5</f>
        <v>NoData</v>
      </c>
      <c r="AP5" t="s">
        <v>11</v>
      </c>
      <c r="AQ5" t="s">
        <v>11</v>
      </c>
      <c r="AR5" t="s">
        <v>11</v>
      </c>
      <c r="AS5" t="s">
        <v>11</v>
      </c>
      <c r="AT5" t="str">
        <f t="shared" ref="AT5:AT7" si="0">AP5</f>
        <v>NoData</v>
      </c>
      <c r="AU5" t="str">
        <f t="shared" ref="AU5:AU7" si="1">AQ5</f>
        <v>NoData</v>
      </c>
      <c r="AV5" t="s">
        <v>11</v>
      </c>
      <c r="AW5" t="s">
        <v>11</v>
      </c>
      <c r="AX5" t="s">
        <v>11</v>
      </c>
      <c r="AY5" t="s">
        <v>11</v>
      </c>
      <c r="AZ5" t="str">
        <f t="shared" ref="AZ5:AZ68" si="2">AT5</f>
        <v>NoData</v>
      </c>
      <c r="BA5" t="str">
        <f t="shared" ref="BA5:BA68" si="3">AU5</f>
        <v>NoData</v>
      </c>
      <c r="BB5">
        <f>AN5</f>
        <v>66</v>
      </c>
      <c r="BC5" t="str">
        <f>AO5</f>
        <v>NoData</v>
      </c>
      <c r="BD5" t="s">
        <v>11</v>
      </c>
      <c r="BE5" t="s">
        <v>11</v>
      </c>
      <c r="BF5" t="s">
        <v>11</v>
      </c>
      <c r="BG5" t="s">
        <v>11</v>
      </c>
      <c r="BH5">
        <v>0</v>
      </c>
      <c r="BI5" t="s">
        <v>11</v>
      </c>
      <c r="BJ5" t="s">
        <v>11</v>
      </c>
      <c r="BK5" t="s">
        <v>11</v>
      </c>
      <c r="BL5" t="s">
        <v>11</v>
      </c>
      <c r="BM5" t="s">
        <v>11</v>
      </c>
      <c r="BN5" t="s">
        <v>11</v>
      </c>
      <c r="BO5" t="s">
        <v>11</v>
      </c>
      <c r="BP5" t="str">
        <f t="shared" ref="BP5:BP68" si="4">BF5</f>
        <v>NoData</v>
      </c>
      <c r="BQ5" t="str">
        <f t="shared" ref="BQ5:BQ68" si="5">BG5</f>
        <v>NoData</v>
      </c>
      <c r="BR5" t="s">
        <v>11</v>
      </c>
      <c r="BS5" t="s">
        <v>11</v>
      </c>
      <c r="BT5" t="s">
        <v>11</v>
      </c>
      <c r="BU5" t="s">
        <v>11</v>
      </c>
    </row>
    <row r="6" spans="1:73" x14ac:dyDescent="0.25">
      <c r="A6" s="5">
        <v>25965</v>
      </c>
      <c r="B6">
        <v>676</v>
      </c>
      <c r="C6" t="s">
        <v>11</v>
      </c>
      <c r="D6" t="s">
        <v>11</v>
      </c>
      <c r="E6" t="s">
        <v>11</v>
      </c>
      <c r="F6" t="s">
        <v>11</v>
      </c>
      <c r="G6" t="s">
        <v>11</v>
      </c>
      <c r="H6" t="s">
        <v>11</v>
      </c>
      <c r="I6" t="s">
        <v>11</v>
      </c>
      <c r="J6" t="s">
        <v>11</v>
      </c>
      <c r="K6" t="s">
        <v>11</v>
      </c>
      <c r="L6">
        <v>47710</v>
      </c>
      <c r="M6" t="s">
        <v>11</v>
      </c>
      <c r="N6" t="s">
        <v>11</v>
      </c>
      <c r="O6" t="s">
        <v>11</v>
      </c>
      <c r="P6" t="s">
        <v>11</v>
      </c>
      <c r="Q6" t="s">
        <v>11</v>
      </c>
      <c r="R6" t="s">
        <v>11</v>
      </c>
      <c r="S6" t="s">
        <v>11</v>
      </c>
      <c r="T6" s="34">
        <v>61580</v>
      </c>
      <c r="U6" s="34">
        <v>30720</v>
      </c>
      <c r="V6" s="34">
        <v>3722</v>
      </c>
      <c r="W6" t="s">
        <v>11</v>
      </c>
      <c r="X6">
        <v>3221</v>
      </c>
      <c r="Y6" t="s">
        <v>11</v>
      </c>
      <c r="Z6">
        <v>4818</v>
      </c>
      <c r="AA6">
        <v>4285</v>
      </c>
      <c r="AB6">
        <v>24203</v>
      </c>
      <c r="AC6">
        <v>14023</v>
      </c>
      <c r="AD6">
        <v>2191</v>
      </c>
      <c r="AE6" t="s">
        <v>11</v>
      </c>
      <c r="AF6">
        <v>6097</v>
      </c>
      <c r="AG6" t="s">
        <v>11</v>
      </c>
      <c r="AH6">
        <f t="shared" ref="AH6:AH69" si="6">AD6</f>
        <v>2191</v>
      </c>
      <c r="AI6" t="str">
        <f t="shared" ref="AI6:AK69" si="7">AE6</f>
        <v>NoData</v>
      </c>
      <c r="AJ6">
        <v>13143</v>
      </c>
      <c r="AK6" t="str">
        <f t="shared" si="7"/>
        <v>NoData</v>
      </c>
      <c r="AL6">
        <v>33919</v>
      </c>
      <c r="AM6">
        <v>18209</v>
      </c>
      <c r="AN6">
        <v>107</v>
      </c>
      <c r="AO6" t="str">
        <f t="shared" ref="AO6:AO52" si="8">AK6</f>
        <v>NoData</v>
      </c>
      <c r="AP6" t="s">
        <v>11</v>
      </c>
      <c r="AQ6" t="s">
        <v>11</v>
      </c>
      <c r="AR6" t="s">
        <v>11</v>
      </c>
      <c r="AS6" t="s">
        <v>11</v>
      </c>
      <c r="AT6" t="str">
        <f t="shared" si="0"/>
        <v>NoData</v>
      </c>
      <c r="AU6" t="str">
        <f t="shared" si="1"/>
        <v>NoData</v>
      </c>
      <c r="AV6" t="s">
        <v>11</v>
      </c>
      <c r="AW6" t="s">
        <v>11</v>
      </c>
      <c r="AX6" t="s">
        <v>11</v>
      </c>
      <c r="AY6" t="s">
        <v>11</v>
      </c>
      <c r="AZ6" t="str">
        <f t="shared" si="2"/>
        <v>NoData</v>
      </c>
      <c r="BA6" t="str">
        <f t="shared" si="3"/>
        <v>NoData</v>
      </c>
      <c r="BB6">
        <f t="shared" ref="BB6:BB69" si="9">AN6</f>
        <v>107</v>
      </c>
      <c r="BC6" t="str">
        <f t="shared" ref="BC6:BC69" si="10">AO6</f>
        <v>NoData</v>
      </c>
      <c r="BD6" t="s">
        <v>11</v>
      </c>
      <c r="BE6" t="s">
        <v>11</v>
      </c>
      <c r="BF6" t="s">
        <v>11</v>
      </c>
      <c r="BG6" t="s">
        <v>11</v>
      </c>
      <c r="BH6">
        <v>42</v>
      </c>
      <c r="BI6" t="s">
        <v>11</v>
      </c>
      <c r="BJ6" t="s">
        <v>11</v>
      </c>
      <c r="BK6" t="s">
        <v>11</v>
      </c>
      <c r="BL6" t="s">
        <v>11</v>
      </c>
      <c r="BM6" t="s">
        <v>11</v>
      </c>
      <c r="BN6" t="s">
        <v>11</v>
      </c>
      <c r="BO6" t="s">
        <v>11</v>
      </c>
      <c r="BP6" t="str">
        <f t="shared" si="4"/>
        <v>NoData</v>
      </c>
      <c r="BQ6" t="str">
        <f t="shared" si="5"/>
        <v>NoData</v>
      </c>
      <c r="BR6" t="s">
        <v>11</v>
      </c>
      <c r="BS6" t="s">
        <v>11</v>
      </c>
      <c r="BT6" t="s">
        <v>11</v>
      </c>
      <c r="BU6" t="s">
        <v>11</v>
      </c>
    </row>
    <row r="7" spans="1:73" x14ac:dyDescent="0.25">
      <c r="A7" s="5">
        <v>25993</v>
      </c>
      <c r="B7">
        <v>903</v>
      </c>
      <c r="C7" t="s">
        <v>11</v>
      </c>
      <c r="D7" t="s">
        <v>11</v>
      </c>
      <c r="E7" t="s">
        <v>11</v>
      </c>
      <c r="F7" t="s">
        <v>11</v>
      </c>
      <c r="G7" t="s">
        <v>11</v>
      </c>
      <c r="H7" t="s">
        <v>11</v>
      </c>
      <c r="I7" t="s">
        <v>11</v>
      </c>
      <c r="J7" t="s">
        <v>11</v>
      </c>
      <c r="K7" t="s">
        <v>11</v>
      </c>
      <c r="L7">
        <v>60760</v>
      </c>
      <c r="M7" t="s">
        <v>11</v>
      </c>
      <c r="N7" t="s">
        <v>11</v>
      </c>
      <c r="O7" t="s">
        <v>11</v>
      </c>
      <c r="P7" t="s">
        <v>11</v>
      </c>
      <c r="Q7" t="s">
        <v>11</v>
      </c>
      <c r="R7" t="s">
        <v>11</v>
      </c>
      <c r="S7" t="s">
        <v>11</v>
      </c>
      <c r="T7" s="34">
        <v>75200</v>
      </c>
      <c r="U7" s="34">
        <v>38840</v>
      </c>
      <c r="V7" s="34">
        <v>4933</v>
      </c>
      <c r="W7" t="s">
        <v>11</v>
      </c>
      <c r="X7">
        <v>4416</v>
      </c>
      <c r="Y7" t="s">
        <v>11</v>
      </c>
      <c r="Z7">
        <v>4688</v>
      </c>
      <c r="AA7">
        <v>3828</v>
      </c>
      <c r="AB7">
        <v>28141</v>
      </c>
      <c r="AC7">
        <v>16891</v>
      </c>
      <c r="AD7">
        <v>2901</v>
      </c>
      <c r="AE7" t="s">
        <v>11</v>
      </c>
      <c r="AF7">
        <v>6752</v>
      </c>
      <c r="AG7" t="s">
        <v>11</v>
      </c>
      <c r="AH7">
        <f t="shared" si="6"/>
        <v>2901</v>
      </c>
      <c r="AI7" t="str">
        <f t="shared" si="7"/>
        <v>NoData</v>
      </c>
      <c r="AJ7">
        <v>18397</v>
      </c>
      <c r="AK7" t="str">
        <f t="shared" si="7"/>
        <v>NoData</v>
      </c>
      <c r="AL7">
        <v>46569</v>
      </c>
      <c r="AM7">
        <v>27989</v>
      </c>
      <c r="AN7">
        <v>74</v>
      </c>
      <c r="AO7" t="str">
        <f t="shared" si="8"/>
        <v>NoData</v>
      </c>
      <c r="AP7" t="s">
        <v>11</v>
      </c>
      <c r="AQ7" t="s">
        <v>11</v>
      </c>
      <c r="AR7" t="s">
        <v>11</v>
      </c>
      <c r="AS7" t="s">
        <v>11</v>
      </c>
      <c r="AT7" t="str">
        <f t="shared" si="0"/>
        <v>NoData</v>
      </c>
      <c r="AU7" t="str">
        <f t="shared" si="1"/>
        <v>NoData</v>
      </c>
      <c r="AV7" t="s">
        <v>11</v>
      </c>
      <c r="AW7" t="s">
        <v>11</v>
      </c>
      <c r="AX7" t="s">
        <v>11</v>
      </c>
      <c r="AY7" t="s">
        <v>11</v>
      </c>
      <c r="AZ7" t="str">
        <f t="shared" si="2"/>
        <v>NoData</v>
      </c>
      <c r="BA7" t="str">
        <f t="shared" si="3"/>
        <v>NoData</v>
      </c>
      <c r="BB7">
        <f t="shared" si="9"/>
        <v>74</v>
      </c>
      <c r="BC7" t="str">
        <f t="shared" si="10"/>
        <v>NoData</v>
      </c>
      <c r="BD7" t="s">
        <v>11</v>
      </c>
      <c r="BE7" t="s">
        <v>11</v>
      </c>
      <c r="BF7" t="s">
        <v>11</v>
      </c>
      <c r="BG7" t="s">
        <v>11</v>
      </c>
      <c r="BH7">
        <v>13</v>
      </c>
      <c r="BI7" t="s">
        <v>11</v>
      </c>
      <c r="BJ7" t="s">
        <v>11</v>
      </c>
      <c r="BK7" t="s">
        <v>11</v>
      </c>
      <c r="BL7" t="s">
        <v>11</v>
      </c>
      <c r="BM7" t="s">
        <v>11</v>
      </c>
      <c r="BN7" t="s">
        <v>11</v>
      </c>
      <c r="BO7" t="s">
        <v>11</v>
      </c>
      <c r="BP7" t="str">
        <f t="shared" si="4"/>
        <v>NoData</v>
      </c>
      <c r="BQ7" t="str">
        <f t="shared" si="5"/>
        <v>NoData</v>
      </c>
      <c r="BR7" t="s">
        <v>11</v>
      </c>
      <c r="BS7" t="s">
        <v>11</v>
      </c>
      <c r="BT7" t="s">
        <v>11</v>
      </c>
      <c r="BU7" t="s">
        <v>11</v>
      </c>
    </row>
    <row r="8" spans="1:73" x14ac:dyDescent="0.25">
      <c r="A8" s="5">
        <v>26024</v>
      </c>
      <c r="B8">
        <v>1669</v>
      </c>
      <c r="C8" t="s">
        <v>11</v>
      </c>
      <c r="D8" t="s">
        <v>11</v>
      </c>
      <c r="E8" t="s">
        <v>11</v>
      </c>
      <c r="F8" t="s">
        <v>11</v>
      </c>
      <c r="G8" t="s">
        <v>11</v>
      </c>
      <c r="H8" t="s">
        <v>11</v>
      </c>
      <c r="I8" t="s">
        <v>11</v>
      </c>
      <c r="J8" t="s">
        <v>11</v>
      </c>
      <c r="K8" t="s">
        <v>11</v>
      </c>
      <c r="L8">
        <v>64170</v>
      </c>
      <c r="M8" t="s">
        <v>11</v>
      </c>
      <c r="N8" t="s">
        <v>11</v>
      </c>
      <c r="O8" t="s">
        <v>11</v>
      </c>
      <c r="P8" t="s">
        <v>11</v>
      </c>
      <c r="Q8" t="s">
        <v>11</v>
      </c>
      <c r="R8" t="s">
        <v>11</v>
      </c>
      <c r="S8" t="s">
        <v>11</v>
      </c>
      <c r="T8" s="34">
        <v>89590</v>
      </c>
      <c r="U8" s="34">
        <v>52270</v>
      </c>
      <c r="V8" s="34">
        <v>4730</v>
      </c>
      <c r="W8" t="s">
        <v>11</v>
      </c>
      <c r="X8">
        <v>4871</v>
      </c>
      <c r="Y8" t="s">
        <v>11</v>
      </c>
      <c r="Z8">
        <v>4889</v>
      </c>
      <c r="AA8">
        <v>3984</v>
      </c>
      <c r="AB8">
        <v>30917</v>
      </c>
      <c r="AC8">
        <v>20076</v>
      </c>
      <c r="AD8">
        <v>3409</v>
      </c>
      <c r="AE8" t="s">
        <v>11</v>
      </c>
      <c r="AF8">
        <v>7284</v>
      </c>
      <c r="AG8" t="s">
        <v>11</v>
      </c>
      <c r="AH8">
        <f t="shared" si="6"/>
        <v>3409</v>
      </c>
      <c r="AI8" t="str">
        <f t="shared" si="7"/>
        <v>NoData</v>
      </c>
      <c r="AJ8">
        <v>23100</v>
      </c>
      <c r="AK8" t="str">
        <f t="shared" si="7"/>
        <v>NoData</v>
      </c>
      <c r="AL8">
        <v>57974</v>
      </c>
      <c r="AM8">
        <v>40764</v>
      </c>
      <c r="AN8">
        <v>104</v>
      </c>
      <c r="AO8" t="str">
        <f t="shared" si="8"/>
        <v>NoData</v>
      </c>
      <c r="AP8" t="s">
        <v>11</v>
      </c>
      <c r="AQ8" t="s">
        <v>11</v>
      </c>
      <c r="AR8" t="s">
        <v>11</v>
      </c>
      <c r="AS8" t="s">
        <v>11</v>
      </c>
      <c r="AT8" t="str">
        <f t="shared" ref="AT8:AT71" si="11">AP8</f>
        <v>NoData</v>
      </c>
      <c r="AU8" t="str">
        <f t="shared" ref="AU8:AU71" si="12">AQ8</f>
        <v>NoData</v>
      </c>
      <c r="AV8" t="s">
        <v>11</v>
      </c>
      <c r="AW8" t="s">
        <v>11</v>
      </c>
      <c r="AX8" t="s">
        <v>11</v>
      </c>
      <c r="AY8" t="s">
        <v>11</v>
      </c>
      <c r="AZ8" t="str">
        <f t="shared" si="2"/>
        <v>NoData</v>
      </c>
      <c r="BA8" t="str">
        <f t="shared" si="3"/>
        <v>NoData</v>
      </c>
      <c r="BB8">
        <f t="shared" si="9"/>
        <v>104</v>
      </c>
      <c r="BC8" t="str">
        <f t="shared" si="10"/>
        <v>NoData</v>
      </c>
      <c r="BD8" t="s">
        <v>11</v>
      </c>
      <c r="BE8" t="s">
        <v>11</v>
      </c>
      <c r="BF8" t="s">
        <v>11</v>
      </c>
      <c r="BG8" t="s">
        <v>11</v>
      </c>
      <c r="BH8">
        <v>27</v>
      </c>
      <c r="BI8" t="s">
        <v>11</v>
      </c>
      <c r="BJ8" t="s">
        <v>11</v>
      </c>
      <c r="BK8" t="s">
        <v>11</v>
      </c>
      <c r="BL8" t="s">
        <v>11</v>
      </c>
      <c r="BM8" t="s">
        <v>11</v>
      </c>
      <c r="BN8" t="s">
        <v>11</v>
      </c>
      <c r="BO8" t="s">
        <v>11</v>
      </c>
      <c r="BP8" t="str">
        <f t="shared" si="4"/>
        <v>NoData</v>
      </c>
      <c r="BQ8" t="str">
        <f t="shared" si="5"/>
        <v>NoData</v>
      </c>
      <c r="BR8" t="s">
        <v>11</v>
      </c>
      <c r="BS8" t="s">
        <v>11</v>
      </c>
      <c r="BT8" t="s">
        <v>11</v>
      </c>
      <c r="BU8" t="s">
        <v>11</v>
      </c>
    </row>
    <row r="9" spans="1:73" x14ac:dyDescent="0.25">
      <c r="A9" s="5">
        <v>26054</v>
      </c>
      <c r="B9">
        <v>1356</v>
      </c>
      <c r="C9" t="s">
        <v>11</v>
      </c>
      <c r="D9" t="s">
        <v>11</v>
      </c>
      <c r="E9" t="s">
        <v>11</v>
      </c>
      <c r="F9" t="s">
        <v>11</v>
      </c>
      <c r="G9" t="s">
        <v>11</v>
      </c>
      <c r="H9" t="s">
        <v>11</v>
      </c>
      <c r="I9" t="s">
        <v>11</v>
      </c>
      <c r="J9" t="s">
        <v>11</v>
      </c>
      <c r="K9" t="s">
        <v>11</v>
      </c>
      <c r="L9">
        <v>64730</v>
      </c>
      <c r="M9" t="s">
        <v>11</v>
      </c>
      <c r="N9" t="s">
        <v>11</v>
      </c>
      <c r="O9" t="s">
        <v>11</v>
      </c>
      <c r="P9" t="s">
        <v>11</v>
      </c>
      <c r="Q9" t="s">
        <v>11</v>
      </c>
      <c r="R9" t="s">
        <v>11</v>
      </c>
      <c r="S9" t="s">
        <v>11</v>
      </c>
      <c r="T9" s="34">
        <v>93680</v>
      </c>
      <c r="U9" s="34">
        <v>51990</v>
      </c>
      <c r="V9" s="34">
        <v>3323</v>
      </c>
      <c r="W9" t="s">
        <v>11</v>
      </c>
      <c r="X9">
        <v>4339</v>
      </c>
      <c r="Y9" t="s">
        <v>11</v>
      </c>
      <c r="Z9">
        <v>5279</v>
      </c>
      <c r="AA9">
        <v>4304</v>
      </c>
      <c r="AB9">
        <v>31714</v>
      </c>
      <c r="AC9">
        <v>20707</v>
      </c>
      <c r="AD9">
        <v>3630</v>
      </c>
      <c r="AE9" t="s">
        <v>11</v>
      </c>
      <c r="AF9">
        <v>8163</v>
      </c>
      <c r="AG9" t="s">
        <v>11</v>
      </c>
      <c r="AH9">
        <f t="shared" si="6"/>
        <v>3630</v>
      </c>
      <c r="AI9" t="str">
        <f t="shared" si="7"/>
        <v>NoData</v>
      </c>
      <c r="AJ9">
        <v>26513</v>
      </c>
      <c r="AK9" t="str">
        <f t="shared" si="7"/>
        <v>NoData</v>
      </c>
      <c r="AL9">
        <v>57327</v>
      </c>
      <c r="AM9">
        <v>41307</v>
      </c>
      <c r="AN9">
        <v>52</v>
      </c>
      <c r="AO9" t="str">
        <f t="shared" si="8"/>
        <v>NoData</v>
      </c>
      <c r="AP9" t="s">
        <v>11</v>
      </c>
      <c r="AQ9" t="s">
        <v>11</v>
      </c>
      <c r="AR9" t="s">
        <v>11</v>
      </c>
      <c r="AS9" t="s">
        <v>11</v>
      </c>
      <c r="AT9" t="str">
        <f t="shared" si="11"/>
        <v>NoData</v>
      </c>
      <c r="AU9" t="str">
        <f t="shared" si="12"/>
        <v>NoData</v>
      </c>
      <c r="AV9" t="s">
        <v>11</v>
      </c>
      <c r="AW9" t="s">
        <v>11</v>
      </c>
      <c r="AX9" t="s">
        <v>11</v>
      </c>
      <c r="AY9" t="s">
        <v>11</v>
      </c>
      <c r="AZ9" t="str">
        <f t="shared" si="2"/>
        <v>NoData</v>
      </c>
      <c r="BA9" t="str">
        <f t="shared" si="3"/>
        <v>NoData</v>
      </c>
      <c r="BB9">
        <f t="shared" si="9"/>
        <v>52</v>
      </c>
      <c r="BC9" t="str">
        <f t="shared" si="10"/>
        <v>NoData</v>
      </c>
      <c r="BD9" t="s">
        <v>11</v>
      </c>
      <c r="BE9" t="s">
        <v>11</v>
      </c>
      <c r="BF9" t="s">
        <v>11</v>
      </c>
      <c r="BG9" t="s">
        <v>11</v>
      </c>
      <c r="BH9">
        <v>19</v>
      </c>
      <c r="BI9" t="s">
        <v>11</v>
      </c>
      <c r="BJ9" t="s">
        <v>11</v>
      </c>
      <c r="BK9" t="s">
        <v>11</v>
      </c>
      <c r="BL9" t="s">
        <v>11</v>
      </c>
      <c r="BM9" t="s">
        <v>11</v>
      </c>
      <c r="BN9" t="s">
        <v>11</v>
      </c>
      <c r="BO9" t="s">
        <v>11</v>
      </c>
      <c r="BP9" t="str">
        <f t="shared" si="4"/>
        <v>NoData</v>
      </c>
      <c r="BQ9" t="str">
        <f t="shared" si="5"/>
        <v>NoData</v>
      </c>
      <c r="BR9" t="s">
        <v>11</v>
      </c>
      <c r="BS9" t="s">
        <v>11</v>
      </c>
      <c r="BT9" t="s">
        <v>11</v>
      </c>
      <c r="BU9" t="s">
        <v>11</v>
      </c>
    </row>
    <row r="10" spans="1:73" x14ac:dyDescent="0.25">
      <c r="A10" s="5">
        <v>26085</v>
      </c>
      <c r="B10">
        <v>1417</v>
      </c>
      <c r="C10" t="s">
        <v>11</v>
      </c>
      <c r="D10" t="s">
        <v>11</v>
      </c>
      <c r="E10" t="s">
        <v>11</v>
      </c>
      <c r="F10" t="s">
        <v>11</v>
      </c>
      <c r="G10" t="s">
        <v>11</v>
      </c>
      <c r="H10" t="s">
        <v>11</v>
      </c>
      <c r="I10" t="s">
        <v>11</v>
      </c>
      <c r="J10" t="s">
        <v>11</v>
      </c>
      <c r="K10" t="s">
        <v>11</v>
      </c>
      <c r="L10">
        <v>58870</v>
      </c>
      <c r="M10" t="s">
        <v>11</v>
      </c>
      <c r="N10" t="s">
        <v>11</v>
      </c>
      <c r="O10" t="s">
        <v>11</v>
      </c>
      <c r="P10" t="s">
        <v>11</v>
      </c>
      <c r="Q10" t="s">
        <v>11</v>
      </c>
      <c r="R10" t="s">
        <v>11</v>
      </c>
      <c r="S10" t="s">
        <v>11</v>
      </c>
      <c r="T10" s="34">
        <v>90570</v>
      </c>
      <c r="U10" s="34">
        <v>54090</v>
      </c>
      <c r="V10" s="34">
        <v>2555</v>
      </c>
      <c r="W10" t="s">
        <v>11</v>
      </c>
      <c r="X10">
        <v>4922</v>
      </c>
      <c r="Y10" t="s">
        <v>11</v>
      </c>
      <c r="Z10">
        <v>5206</v>
      </c>
      <c r="AA10">
        <v>4488</v>
      </c>
      <c r="AB10">
        <v>27991</v>
      </c>
      <c r="AC10">
        <v>16588</v>
      </c>
      <c r="AD10">
        <v>4614</v>
      </c>
      <c r="AE10" t="s">
        <v>11</v>
      </c>
      <c r="AF10">
        <v>8087</v>
      </c>
      <c r="AG10" t="s">
        <v>11</v>
      </c>
      <c r="AH10">
        <f t="shared" si="6"/>
        <v>4614</v>
      </c>
      <c r="AI10" t="str">
        <f t="shared" si="7"/>
        <v>NoData</v>
      </c>
      <c r="AJ10">
        <v>30043</v>
      </c>
      <c r="AK10" t="str">
        <f t="shared" si="7"/>
        <v>NoData</v>
      </c>
      <c r="AL10">
        <v>54791</v>
      </c>
      <c r="AM10">
        <v>37681</v>
      </c>
      <c r="AN10">
        <v>68</v>
      </c>
      <c r="AO10" t="str">
        <f t="shared" si="8"/>
        <v>NoData</v>
      </c>
      <c r="AP10" t="s">
        <v>11</v>
      </c>
      <c r="AQ10" t="s">
        <v>11</v>
      </c>
      <c r="AR10" t="s">
        <v>11</v>
      </c>
      <c r="AS10" t="s">
        <v>11</v>
      </c>
      <c r="AT10" t="str">
        <f t="shared" si="11"/>
        <v>NoData</v>
      </c>
      <c r="AU10" t="str">
        <f t="shared" si="12"/>
        <v>NoData</v>
      </c>
      <c r="AV10" t="s">
        <v>11</v>
      </c>
      <c r="AW10" t="s">
        <v>11</v>
      </c>
      <c r="AX10" t="s">
        <v>11</v>
      </c>
      <c r="AY10" t="s">
        <v>11</v>
      </c>
      <c r="AZ10" t="str">
        <f t="shared" si="2"/>
        <v>NoData</v>
      </c>
      <c r="BA10" t="str">
        <f t="shared" si="3"/>
        <v>NoData</v>
      </c>
      <c r="BB10">
        <f t="shared" si="9"/>
        <v>68</v>
      </c>
      <c r="BC10" t="str">
        <f t="shared" si="10"/>
        <v>NoData</v>
      </c>
      <c r="BD10" t="s">
        <v>11</v>
      </c>
      <c r="BE10" t="s">
        <v>11</v>
      </c>
      <c r="BF10" t="s">
        <v>11</v>
      </c>
      <c r="BG10" t="s">
        <v>11</v>
      </c>
      <c r="BH10">
        <v>47</v>
      </c>
      <c r="BI10" t="s">
        <v>11</v>
      </c>
      <c r="BJ10" t="s">
        <v>11</v>
      </c>
      <c r="BK10" t="s">
        <v>11</v>
      </c>
      <c r="BL10" t="s">
        <v>11</v>
      </c>
      <c r="BM10" t="s">
        <v>11</v>
      </c>
      <c r="BN10" t="s">
        <v>11</v>
      </c>
      <c r="BO10" t="s">
        <v>11</v>
      </c>
      <c r="BP10" t="str">
        <f t="shared" si="4"/>
        <v>NoData</v>
      </c>
      <c r="BQ10" t="str">
        <f t="shared" si="5"/>
        <v>NoData</v>
      </c>
      <c r="BR10" t="s">
        <v>11</v>
      </c>
      <c r="BS10" t="s">
        <v>11</v>
      </c>
      <c r="BT10" t="s">
        <v>11</v>
      </c>
      <c r="BU10" t="s">
        <v>11</v>
      </c>
    </row>
    <row r="11" spans="1:73" x14ac:dyDescent="0.25">
      <c r="A11" s="5">
        <v>26115</v>
      </c>
      <c r="B11">
        <v>1905</v>
      </c>
      <c r="C11" t="s">
        <v>11</v>
      </c>
      <c r="D11" t="s">
        <v>11</v>
      </c>
      <c r="E11" t="s">
        <v>11</v>
      </c>
      <c r="F11" t="s">
        <v>11</v>
      </c>
      <c r="G11" t="s">
        <v>11</v>
      </c>
      <c r="H11" t="s">
        <v>11</v>
      </c>
      <c r="I11" t="s">
        <v>11</v>
      </c>
      <c r="J11" t="s">
        <v>11</v>
      </c>
      <c r="K11" t="s">
        <v>11</v>
      </c>
      <c r="L11">
        <v>72700</v>
      </c>
      <c r="M11" t="s">
        <v>11</v>
      </c>
      <c r="N11" t="s">
        <v>11</v>
      </c>
      <c r="O11" t="s">
        <v>11</v>
      </c>
      <c r="P11" t="s">
        <v>11</v>
      </c>
      <c r="Q11" t="s">
        <v>11</v>
      </c>
      <c r="R11" t="s">
        <v>11</v>
      </c>
      <c r="S11" t="s">
        <v>11</v>
      </c>
      <c r="T11" s="34">
        <v>115800</v>
      </c>
      <c r="U11" s="34">
        <v>76610</v>
      </c>
      <c r="V11" s="34">
        <v>4232</v>
      </c>
      <c r="W11" t="s">
        <v>11</v>
      </c>
      <c r="X11">
        <v>6272</v>
      </c>
      <c r="Y11" t="s">
        <v>11</v>
      </c>
      <c r="Z11">
        <v>6203</v>
      </c>
      <c r="AA11">
        <v>5355</v>
      </c>
      <c r="AB11">
        <v>39442</v>
      </c>
      <c r="AC11">
        <v>28369</v>
      </c>
      <c r="AD11">
        <v>5473</v>
      </c>
      <c r="AE11" t="s">
        <v>11</v>
      </c>
      <c r="AF11">
        <v>7909</v>
      </c>
      <c r="AG11" t="s">
        <v>11</v>
      </c>
      <c r="AH11">
        <f t="shared" si="6"/>
        <v>5473</v>
      </c>
      <c r="AI11" t="str">
        <f t="shared" si="7"/>
        <v>NoData</v>
      </c>
      <c r="AJ11">
        <v>32372</v>
      </c>
      <c r="AK11" t="str">
        <f t="shared" si="7"/>
        <v>NoData</v>
      </c>
      <c r="AL11">
        <v>69163</v>
      </c>
      <c r="AM11">
        <v>50923</v>
      </c>
      <c r="AN11">
        <v>238</v>
      </c>
      <c r="AO11" t="str">
        <f t="shared" si="8"/>
        <v>NoData</v>
      </c>
      <c r="AP11" t="s">
        <v>11</v>
      </c>
      <c r="AQ11" t="s">
        <v>11</v>
      </c>
      <c r="AR11" t="s">
        <v>11</v>
      </c>
      <c r="AS11" t="s">
        <v>11</v>
      </c>
      <c r="AT11" t="str">
        <f t="shared" si="11"/>
        <v>NoData</v>
      </c>
      <c r="AU11" t="str">
        <f t="shared" si="12"/>
        <v>NoData</v>
      </c>
      <c r="AV11" t="s">
        <v>11</v>
      </c>
      <c r="AW11" t="s">
        <v>11</v>
      </c>
      <c r="AX11" t="s">
        <v>11</v>
      </c>
      <c r="AY11" t="s">
        <v>11</v>
      </c>
      <c r="AZ11" t="str">
        <f t="shared" si="2"/>
        <v>NoData</v>
      </c>
      <c r="BA11" t="str">
        <f t="shared" si="3"/>
        <v>NoData</v>
      </c>
      <c r="BB11">
        <f t="shared" si="9"/>
        <v>238</v>
      </c>
      <c r="BC11" t="str">
        <f t="shared" si="10"/>
        <v>NoData</v>
      </c>
      <c r="BD11" t="s">
        <v>11</v>
      </c>
      <c r="BE11" t="s">
        <v>11</v>
      </c>
      <c r="BF11" t="s">
        <v>11</v>
      </c>
      <c r="BG11" t="s">
        <v>11</v>
      </c>
      <c r="BH11">
        <v>24</v>
      </c>
      <c r="BI11" t="s">
        <v>11</v>
      </c>
      <c r="BJ11" t="s">
        <v>11</v>
      </c>
      <c r="BK11" t="s">
        <v>11</v>
      </c>
      <c r="BL11" t="s">
        <v>11</v>
      </c>
      <c r="BM11" t="s">
        <v>11</v>
      </c>
      <c r="BN11" t="s">
        <v>11</v>
      </c>
      <c r="BO11" t="s">
        <v>11</v>
      </c>
      <c r="BP11" t="str">
        <f t="shared" si="4"/>
        <v>NoData</v>
      </c>
      <c r="BQ11" t="str">
        <f t="shared" si="5"/>
        <v>NoData</v>
      </c>
      <c r="BR11" t="s">
        <v>11</v>
      </c>
      <c r="BS11" t="s">
        <v>11</v>
      </c>
      <c r="BT11" t="s">
        <v>11</v>
      </c>
      <c r="BU11" t="s">
        <v>11</v>
      </c>
    </row>
    <row r="12" spans="1:73" x14ac:dyDescent="0.25">
      <c r="A12" s="5">
        <v>26146</v>
      </c>
      <c r="B12">
        <v>1289</v>
      </c>
      <c r="C12" t="s">
        <v>11</v>
      </c>
      <c r="D12" t="s">
        <v>11</v>
      </c>
      <c r="E12" t="s">
        <v>11</v>
      </c>
      <c r="F12" t="s">
        <v>11</v>
      </c>
      <c r="G12" t="s">
        <v>11</v>
      </c>
      <c r="H12" t="s">
        <v>11</v>
      </c>
      <c r="I12" t="s">
        <v>11</v>
      </c>
      <c r="J12" t="s">
        <v>11</v>
      </c>
      <c r="K12" t="s">
        <v>11</v>
      </c>
      <c r="L12">
        <v>64330</v>
      </c>
      <c r="M12" t="s">
        <v>11</v>
      </c>
      <c r="N12" t="s">
        <v>11</v>
      </c>
      <c r="O12" t="s">
        <v>11</v>
      </c>
      <c r="P12" t="s">
        <v>11</v>
      </c>
      <c r="Q12" t="s">
        <v>11</v>
      </c>
      <c r="R12" t="s">
        <v>11</v>
      </c>
      <c r="S12" t="s">
        <v>11</v>
      </c>
      <c r="T12" s="34">
        <v>86000</v>
      </c>
      <c r="U12" s="34">
        <v>44200</v>
      </c>
      <c r="V12" s="34">
        <v>4330</v>
      </c>
      <c r="W12" t="s">
        <v>11</v>
      </c>
      <c r="X12">
        <v>3734</v>
      </c>
      <c r="Y12" t="s">
        <v>11</v>
      </c>
      <c r="Z12">
        <v>4681</v>
      </c>
      <c r="AA12">
        <v>3887</v>
      </c>
      <c r="AB12">
        <v>33003</v>
      </c>
      <c r="AC12">
        <v>21548</v>
      </c>
      <c r="AD12">
        <v>5323</v>
      </c>
      <c r="AE12" t="s">
        <v>11</v>
      </c>
      <c r="AF12">
        <v>7560</v>
      </c>
      <c r="AG12" t="s">
        <v>11</v>
      </c>
      <c r="AH12">
        <f t="shared" si="6"/>
        <v>5323</v>
      </c>
      <c r="AI12" t="str">
        <f t="shared" si="7"/>
        <v>NoData</v>
      </c>
      <c r="AJ12">
        <v>31522</v>
      </c>
      <c r="AK12" t="str">
        <f t="shared" si="7"/>
        <v>NoData</v>
      </c>
      <c r="AL12">
        <v>60558</v>
      </c>
      <c r="AM12">
        <v>42548</v>
      </c>
      <c r="AN12">
        <v>98</v>
      </c>
      <c r="AO12" t="str">
        <f t="shared" si="8"/>
        <v>NoData</v>
      </c>
      <c r="AP12" t="s">
        <v>11</v>
      </c>
      <c r="AQ12" t="s">
        <v>11</v>
      </c>
      <c r="AR12" t="s">
        <v>11</v>
      </c>
      <c r="AS12" t="s">
        <v>11</v>
      </c>
      <c r="AT12" t="str">
        <f t="shared" si="11"/>
        <v>NoData</v>
      </c>
      <c r="AU12" t="str">
        <f t="shared" si="12"/>
        <v>NoData</v>
      </c>
      <c r="AV12" t="s">
        <v>11</v>
      </c>
      <c r="AW12" t="s">
        <v>11</v>
      </c>
      <c r="AX12" t="s">
        <v>11</v>
      </c>
      <c r="AY12" t="s">
        <v>11</v>
      </c>
      <c r="AZ12" t="str">
        <f t="shared" si="2"/>
        <v>NoData</v>
      </c>
      <c r="BA12" t="str">
        <f t="shared" si="3"/>
        <v>NoData</v>
      </c>
      <c r="BB12">
        <f t="shared" si="9"/>
        <v>98</v>
      </c>
      <c r="BC12" t="str">
        <f t="shared" si="10"/>
        <v>NoData</v>
      </c>
      <c r="BD12" t="s">
        <v>11</v>
      </c>
      <c r="BE12" t="s">
        <v>11</v>
      </c>
      <c r="BF12" t="s">
        <v>11</v>
      </c>
      <c r="BG12" t="s">
        <v>11</v>
      </c>
      <c r="BH12">
        <v>26</v>
      </c>
      <c r="BI12" t="s">
        <v>11</v>
      </c>
      <c r="BJ12" t="s">
        <v>11</v>
      </c>
      <c r="BK12" t="s">
        <v>11</v>
      </c>
      <c r="BL12" t="s">
        <v>11</v>
      </c>
      <c r="BM12" t="s">
        <v>11</v>
      </c>
      <c r="BN12" t="s">
        <v>11</v>
      </c>
      <c r="BO12" t="s">
        <v>11</v>
      </c>
      <c r="BP12" t="str">
        <f t="shared" si="4"/>
        <v>NoData</v>
      </c>
      <c r="BQ12" t="str">
        <f t="shared" si="5"/>
        <v>NoData</v>
      </c>
      <c r="BR12" t="s">
        <v>11</v>
      </c>
      <c r="BS12" t="s">
        <v>11</v>
      </c>
      <c r="BT12" t="s">
        <v>11</v>
      </c>
      <c r="BU12" t="s">
        <v>11</v>
      </c>
    </row>
    <row r="13" spans="1:73" x14ac:dyDescent="0.25">
      <c r="A13" s="5">
        <v>26177</v>
      </c>
      <c r="B13">
        <v>1209</v>
      </c>
      <c r="C13" t="s">
        <v>11</v>
      </c>
      <c r="D13" t="s">
        <v>11</v>
      </c>
      <c r="E13" t="s">
        <v>11</v>
      </c>
      <c r="F13" t="s">
        <v>11</v>
      </c>
      <c r="G13" t="s">
        <v>11</v>
      </c>
      <c r="H13" t="s">
        <v>11</v>
      </c>
      <c r="I13" t="s">
        <v>11</v>
      </c>
      <c r="J13" t="s">
        <v>11</v>
      </c>
      <c r="K13" t="s">
        <v>11</v>
      </c>
      <c r="L13">
        <v>62090</v>
      </c>
      <c r="M13" t="s">
        <v>11</v>
      </c>
      <c r="N13" t="s">
        <v>11</v>
      </c>
      <c r="O13" t="s">
        <v>11</v>
      </c>
      <c r="P13" t="s">
        <v>11</v>
      </c>
      <c r="Q13" t="s">
        <v>11</v>
      </c>
      <c r="R13" t="s">
        <v>11</v>
      </c>
      <c r="S13" t="s">
        <v>11</v>
      </c>
      <c r="T13" s="34">
        <v>82160</v>
      </c>
      <c r="U13" s="34">
        <v>42660</v>
      </c>
      <c r="V13" s="34">
        <v>4481</v>
      </c>
      <c r="W13" t="s">
        <v>11</v>
      </c>
      <c r="X13">
        <v>4039</v>
      </c>
      <c r="Y13" t="s">
        <v>11</v>
      </c>
      <c r="Z13">
        <v>6092</v>
      </c>
      <c r="AA13">
        <v>5042</v>
      </c>
      <c r="AB13">
        <v>30615</v>
      </c>
      <c r="AC13">
        <v>19037</v>
      </c>
      <c r="AD13">
        <v>4606</v>
      </c>
      <c r="AE13" t="s">
        <v>11</v>
      </c>
      <c r="AF13">
        <v>8042</v>
      </c>
      <c r="AG13" t="s">
        <v>11</v>
      </c>
      <c r="AH13">
        <f t="shared" si="6"/>
        <v>4606</v>
      </c>
      <c r="AI13" t="str">
        <f t="shared" si="7"/>
        <v>NoData</v>
      </c>
      <c r="AJ13">
        <v>24409</v>
      </c>
      <c r="AK13" t="str">
        <f t="shared" si="7"/>
        <v>NoData</v>
      </c>
      <c r="AL13">
        <v>58235</v>
      </c>
      <c r="AM13">
        <v>41555</v>
      </c>
      <c r="AN13">
        <v>48</v>
      </c>
      <c r="AO13" t="str">
        <f t="shared" si="8"/>
        <v>NoData</v>
      </c>
      <c r="AP13" t="s">
        <v>11</v>
      </c>
      <c r="AQ13" t="s">
        <v>11</v>
      </c>
      <c r="AR13" t="s">
        <v>11</v>
      </c>
      <c r="AS13" t="s">
        <v>11</v>
      </c>
      <c r="AT13" t="str">
        <f t="shared" si="11"/>
        <v>NoData</v>
      </c>
      <c r="AU13" t="str">
        <f t="shared" si="12"/>
        <v>NoData</v>
      </c>
      <c r="AV13" t="s">
        <v>11</v>
      </c>
      <c r="AW13" t="s">
        <v>11</v>
      </c>
      <c r="AX13" t="s">
        <v>11</v>
      </c>
      <c r="AY13" t="s">
        <v>11</v>
      </c>
      <c r="AZ13" t="str">
        <f t="shared" si="2"/>
        <v>NoData</v>
      </c>
      <c r="BA13" t="str">
        <f t="shared" si="3"/>
        <v>NoData</v>
      </c>
      <c r="BB13">
        <f t="shared" si="9"/>
        <v>48</v>
      </c>
      <c r="BC13" t="str">
        <f t="shared" si="10"/>
        <v>NoData</v>
      </c>
      <c r="BD13" t="s">
        <v>11</v>
      </c>
      <c r="BE13" t="s">
        <v>11</v>
      </c>
      <c r="BF13" t="s">
        <v>11</v>
      </c>
      <c r="BG13" t="s">
        <v>11</v>
      </c>
      <c r="BH13">
        <v>0</v>
      </c>
      <c r="BI13" t="s">
        <v>11</v>
      </c>
      <c r="BJ13" t="s">
        <v>11</v>
      </c>
      <c r="BK13" t="s">
        <v>11</v>
      </c>
      <c r="BL13" t="s">
        <v>11</v>
      </c>
      <c r="BM13" t="s">
        <v>11</v>
      </c>
      <c r="BN13" t="s">
        <v>11</v>
      </c>
      <c r="BO13" t="s">
        <v>11</v>
      </c>
      <c r="BP13" t="str">
        <f t="shared" si="4"/>
        <v>NoData</v>
      </c>
      <c r="BQ13" t="str">
        <f t="shared" si="5"/>
        <v>NoData</v>
      </c>
      <c r="BR13" t="s">
        <v>11</v>
      </c>
      <c r="BS13" t="s">
        <v>11</v>
      </c>
      <c r="BT13" t="s">
        <v>11</v>
      </c>
      <c r="BU13" t="s">
        <v>11</v>
      </c>
    </row>
    <row r="14" spans="1:73" x14ac:dyDescent="0.25">
      <c r="A14" s="5">
        <v>26207</v>
      </c>
      <c r="B14">
        <v>934</v>
      </c>
      <c r="C14" t="s">
        <v>11</v>
      </c>
      <c r="D14" t="s">
        <v>11</v>
      </c>
      <c r="E14" t="s">
        <v>11</v>
      </c>
      <c r="F14" t="s">
        <v>11</v>
      </c>
      <c r="G14" t="s">
        <v>11</v>
      </c>
      <c r="H14" t="s">
        <v>11</v>
      </c>
      <c r="I14" t="s">
        <v>11</v>
      </c>
      <c r="J14" t="s">
        <v>11</v>
      </c>
      <c r="K14" t="s">
        <v>11</v>
      </c>
      <c r="L14">
        <v>43310</v>
      </c>
      <c r="M14" t="s">
        <v>11</v>
      </c>
      <c r="N14" t="s">
        <v>11</v>
      </c>
      <c r="O14" t="s">
        <v>11</v>
      </c>
      <c r="P14" t="s">
        <v>11</v>
      </c>
      <c r="Q14" t="s">
        <v>11</v>
      </c>
      <c r="R14" t="s">
        <v>11</v>
      </c>
      <c r="S14" t="s">
        <v>11</v>
      </c>
      <c r="T14" s="34">
        <v>54200</v>
      </c>
      <c r="U14" s="34">
        <v>17780</v>
      </c>
      <c r="V14" s="34">
        <v>3018</v>
      </c>
      <c r="W14" t="s">
        <v>11</v>
      </c>
      <c r="X14">
        <v>3185</v>
      </c>
      <c r="Y14" t="s">
        <v>11</v>
      </c>
      <c r="Z14">
        <v>4150</v>
      </c>
      <c r="AA14">
        <v>3078</v>
      </c>
      <c r="AB14">
        <v>22912</v>
      </c>
      <c r="AC14">
        <v>10926</v>
      </c>
      <c r="AD14">
        <v>2531</v>
      </c>
      <c r="AE14" t="s">
        <v>11</v>
      </c>
      <c r="AF14">
        <v>4718</v>
      </c>
      <c r="AG14" t="s">
        <v>11</v>
      </c>
      <c r="AH14">
        <f t="shared" si="6"/>
        <v>2531</v>
      </c>
      <c r="AI14" t="str">
        <f t="shared" si="7"/>
        <v>NoData</v>
      </c>
      <c r="AJ14">
        <v>15152</v>
      </c>
      <c r="AK14" t="str">
        <f t="shared" si="7"/>
        <v>NoData</v>
      </c>
      <c r="AL14">
        <v>27285</v>
      </c>
      <c r="AM14">
        <v>8765</v>
      </c>
      <c r="AN14">
        <v>0</v>
      </c>
      <c r="AO14" t="str">
        <f t="shared" si="8"/>
        <v>NoData</v>
      </c>
      <c r="AP14" t="s">
        <v>11</v>
      </c>
      <c r="AQ14" t="s">
        <v>11</v>
      </c>
      <c r="AR14" t="s">
        <v>11</v>
      </c>
      <c r="AS14" t="s">
        <v>11</v>
      </c>
      <c r="AT14" t="str">
        <f t="shared" si="11"/>
        <v>NoData</v>
      </c>
      <c r="AU14" t="str">
        <f t="shared" si="12"/>
        <v>NoData</v>
      </c>
      <c r="AV14" t="s">
        <v>11</v>
      </c>
      <c r="AW14" t="s">
        <v>11</v>
      </c>
      <c r="AX14" t="s">
        <v>11</v>
      </c>
      <c r="AY14" t="s">
        <v>11</v>
      </c>
      <c r="AZ14" t="str">
        <f t="shared" si="2"/>
        <v>NoData</v>
      </c>
      <c r="BA14" t="str">
        <f t="shared" si="3"/>
        <v>NoData</v>
      </c>
      <c r="BB14">
        <f t="shared" si="9"/>
        <v>0</v>
      </c>
      <c r="BC14" t="str">
        <f t="shared" si="10"/>
        <v>NoData</v>
      </c>
      <c r="BD14" t="s">
        <v>11</v>
      </c>
      <c r="BE14" t="s">
        <v>11</v>
      </c>
      <c r="BF14" t="s">
        <v>11</v>
      </c>
      <c r="BG14" t="s">
        <v>11</v>
      </c>
      <c r="BH14">
        <v>0</v>
      </c>
      <c r="BI14" t="s">
        <v>11</v>
      </c>
      <c r="BJ14" t="s">
        <v>11</v>
      </c>
      <c r="BK14" t="s">
        <v>11</v>
      </c>
      <c r="BL14" t="s">
        <v>11</v>
      </c>
      <c r="BM14" t="s">
        <v>11</v>
      </c>
      <c r="BN14" t="s">
        <v>11</v>
      </c>
      <c r="BO14" t="s">
        <v>11</v>
      </c>
      <c r="BP14" t="str">
        <f t="shared" si="4"/>
        <v>NoData</v>
      </c>
      <c r="BQ14" t="str">
        <f t="shared" si="5"/>
        <v>NoData</v>
      </c>
      <c r="BR14" t="s">
        <v>11</v>
      </c>
      <c r="BS14" t="s">
        <v>11</v>
      </c>
      <c r="BT14" t="s">
        <v>11</v>
      </c>
      <c r="BU14" t="s">
        <v>11</v>
      </c>
    </row>
    <row r="15" spans="1:73" x14ac:dyDescent="0.25">
      <c r="A15" s="5">
        <v>26238</v>
      </c>
      <c r="B15">
        <v>596</v>
      </c>
      <c r="C15" t="s">
        <v>11</v>
      </c>
      <c r="D15" t="s">
        <v>11</v>
      </c>
      <c r="E15" t="s">
        <v>11</v>
      </c>
      <c r="F15" t="s">
        <v>11</v>
      </c>
      <c r="G15" t="s">
        <v>11</v>
      </c>
      <c r="H15" t="s">
        <v>11</v>
      </c>
      <c r="I15" t="s">
        <v>11</v>
      </c>
      <c r="J15" t="s">
        <v>11</v>
      </c>
      <c r="K15" t="s">
        <v>11</v>
      </c>
      <c r="L15">
        <v>36210</v>
      </c>
      <c r="M15" t="s">
        <v>11</v>
      </c>
      <c r="N15" t="s">
        <v>11</v>
      </c>
      <c r="O15" t="s">
        <v>11</v>
      </c>
      <c r="P15" t="s">
        <v>11</v>
      </c>
      <c r="Q15" t="s">
        <v>11</v>
      </c>
      <c r="R15" t="s">
        <v>11</v>
      </c>
      <c r="S15" t="s">
        <v>11</v>
      </c>
      <c r="T15" s="34">
        <v>54730</v>
      </c>
      <c r="U15" s="34">
        <v>20780</v>
      </c>
      <c r="V15" s="34">
        <v>2474</v>
      </c>
      <c r="W15" t="s">
        <v>11</v>
      </c>
      <c r="X15">
        <v>3433</v>
      </c>
      <c r="Y15" t="s">
        <v>11</v>
      </c>
      <c r="Z15">
        <v>4001</v>
      </c>
      <c r="AA15">
        <v>3208</v>
      </c>
      <c r="AB15">
        <v>15710</v>
      </c>
      <c r="AC15">
        <v>4149</v>
      </c>
      <c r="AD15">
        <v>2163</v>
      </c>
      <c r="AE15" t="s">
        <v>11</v>
      </c>
      <c r="AF15">
        <v>4562</v>
      </c>
      <c r="AG15" t="s">
        <v>11</v>
      </c>
      <c r="AH15">
        <f t="shared" si="6"/>
        <v>2163</v>
      </c>
      <c r="AI15" t="str">
        <f t="shared" si="7"/>
        <v>NoData</v>
      </c>
      <c r="AJ15">
        <v>11741</v>
      </c>
      <c r="AK15" t="str">
        <f t="shared" si="7"/>
        <v>NoData</v>
      </c>
      <c r="AL15">
        <v>21875</v>
      </c>
      <c r="AM15">
        <v>3665</v>
      </c>
      <c r="AN15">
        <v>5</v>
      </c>
      <c r="AO15" t="str">
        <f t="shared" si="8"/>
        <v>NoData</v>
      </c>
      <c r="AP15" t="s">
        <v>11</v>
      </c>
      <c r="AQ15" t="s">
        <v>11</v>
      </c>
      <c r="AR15" t="s">
        <v>11</v>
      </c>
      <c r="AS15" t="s">
        <v>11</v>
      </c>
      <c r="AT15" t="str">
        <f t="shared" si="11"/>
        <v>NoData</v>
      </c>
      <c r="AU15" t="str">
        <f t="shared" si="12"/>
        <v>NoData</v>
      </c>
      <c r="AV15" t="s">
        <v>11</v>
      </c>
      <c r="AW15" t="s">
        <v>11</v>
      </c>
      <c r="AX15" t="s">
        <v>11</v>
      </c>
      <c r="AY15" t="s">
        <v>11</v>
      </c>
      <c r="AZ15" t="str">
        <f t="shared" si="2"/>
        <v>NoData</v>
      </c>
      <c r="BA15" t="str">
        <f t="shared" si="3"/>
        <v>NoData</v>
      </c>
      <c r="BB15">
        <f t="shared" si="9"/>
        <v>5</v>
      </c>
      <c r="BC15" t="str">
        <f t="shared" si="10"/>
        <v>NoData</v>
      </c>
      <c r="BD15" t="s">
        <v>11</v>
      </c>
      <c r="BE15" t="s">
        <v>11</v>
      </c>
      <c r="BF15" t="s">
        <v>11</v>
      </c>
      <c r="BG15" t="s">
        <v>11</v>
      </c>
      <c r="BH15">
        <v>26</v>
      </c>
      <c r="BI15" t="s">
        <v>11</v>
      </c>
      <c r="BJ15" t="s">
        <v>11</v>
      </c>
      <c r="BK15" t="s">
        <v>11</v>
      </c>
      <c r="BL15" t="s">
        <v>11</v>
      </c>
      <c r="BM15" t="s">
        <v>11</v>
      </c>
      <c r="BN15" t="s">
        <v>11</v>
      </c>
      <c r="BO15" t="s">
        <v>11</v>
      </c>
      <c r="BP15" t="str">
        <f t="shared" si="4"/>
        <v>NoData</v>
      </c>
      <c r="BQ15" t="str">
        <f t="shared" si="5"/>
        <v>NoData</v>
      </c>
      <c r="BR15" t="s">
        <v>11</v>
      </c>
      <c r="BS15" t="s">
        <v>11</v>
      </c>
      <c r="BT15" t="s">
        <v>11</v>
      </c>
      <c r="BU15" t="s">
        <v>11</v>
      </c>
    </row>
    <row r="16" spans="1:73" x14ac:dyDescent="0.25">
      <c r="A16" s="5">
        <v>26268</v>
      </c>
      <c r="B16">
        <v>293</v>
      </c>
      <c r="C16" t="s">
        <v>11</v>
      </c>
      <c r="D16" t="s">
        <v>11</v>
      </c>
      <c r="E16" t="s">
        <v>11</v>
      </c>
      <c r="F16" t="s">
        <v>11</v>
      </c>
      <c r="G16" t="s">
        <v>11</v>
      </c>
      <c r="H16" t="s">
        <v>11</v>
      </c>
      <c r="I16" t="s">
        <v>11</v>
      </c>
      <c r="J16" t="s">
        <v>11</v>
      </c>
      <c r="K16" t="s">
        <v>11</v>
      </c>
      <c r="L16">
        <v>37000</v>
      </c>
      <c r="M16" t="s">
        <v>11</v>
      </c>
      <c r="N16" t="s">
        <v>11</v>
      </c>
      <c r="O16" t="s">
        <v>11</v>
      </c>
      <c r="P16" t="s">
        <v>11</v>
      </c>
      <c r="Q16" t="s">
        <v>11</v>
      </c>
      <c r="R16" t="s">
        <v>11</v>
      </c>
      <c r="S16" t="s">
        <v>11</v>
      </c>
      <c r="T16" s="34">
        <v>54070</v>
      </c>
      <c r="U16" s="34">
        <v>19880</v>
      </c>
      <c r="V16" s="34">
        <v>1644</v>
      </c>
      <c r="W16" t="s">
        <v>11</v>
      </c>
      <c r="X16">
        <v>2228</v>
      </c>
      <c r="Y16" t="s">
        <v>11</v>
      </c>
      <c r="Z16">
        <v>2098</v>
      </c>
      <c r="AA16">
        <v>1562</v>
      </c>
      <c r="AB16">
        <v>10447</v>
      </c>
      <c r="AC16">
        <v>241</v>
      </c>
      <c r="AD16">
        <v>1953</v>
      </c>
      <c r="AE16" t="s">
        <v>11</v>
      </c>
      <c r="AF16">
        <v>2926</v>
      </c>
      <c r="AG16" t="s">
        <v>11</v>
      </c>
      <c r="AH16">
        <f t="shared" si="6"/>
        <v>1953</v>
      </c>
      <c r="AI16" t="str">
        <f t="shared" si="7"/>
        <v>NoData</v>
      </c>
      <c r="AJ16">
        <v>10649</v>
      </c>
      <c r="AK16" t="str">
        <f t="shared" si="7"/>
        <v>NoData</v>
      </c>
      <c r="AL16">
        <v>20659</v>
      </c>
      <c r="AM16">
        <v>1809</v>
      </c>
      <c r="AN16">
        <v>74</v>
      </c>
      <c r="AO16" t="str">
        <f t="shared" si="8"/>
        <v>NoData</v>
      </c>
      <c r="AP16" t="s">
        <v>11</v>
      </c>
      <c r="AQ16" t="s">
        <v>11</v>
      </c>
      <c r="AR16" t="s">
        <v>11</v>
      </c>
      <c r="AS16" t="s">
        <v>11</v>
      </c>
      <c r="AT16" t="str">
        <f t="shared" si="11"/>
        <v>NoData</v>
      </c>
      <c r="AU16" t="str">
        <f t="shared" si="12"/>
        <v>NoData</v>
      </c>
      <c r="AV16" t="s">
        <v>11</v>
      </c>
      <c r="AW16" t="s">
        <v>11</v>
      </c>
      <c r="AX16" t="s">
        <v>11</v>
      </c>
      <c r="AY16" t="s">
        <v>11</v>
      </c>
      <c r="AZ16" t="str">
        <f t="shared" si="2"/>
        <v>NoData</v>
      </c>
      <c r="BA16" t="str">
        <f t="shared" si="3"/>
        <v>NoData</v>
      </c>
      <c r="BB16">
        <f t="shared" si="9"/>
        <v>74</v>
      </c>
      <c r="BC16" t="str">
        <f t="shared" si="10"/>
        <v>NoData</v>
      </c>
      <c r="BD16" t="s">
        <v>11</v>
      </c>
      <c r="BE16" t="s">
        <v>11</v>
      </c>
      <c r="BF16" t="s">
        <v>11</v>
      </c>
      <c r="BG16" t="s">
        <v>11</v>
      </c>
      <c r="BH16">
        <v>28</v>
      </c>
      <c r="BI16" t="s">
        <v>11</v>
      </c>
      <c r="BJ16" t="s">
        <v>11</v>
      </c>
      <c r="BK16" t="s">
        <v>11</v>
      </c>
      <c r="BL16" t="s">
        <v>11</v>
      </c>
      <c r="BM16" t="s">
        <v>11</v>
      </c>
      <c r="BN16" t="s">
        <v>11</v>
      </c>
      <c r="BO16" t="s">
        <v>11</v>
      </c>
      <c r="BP16" t="str">
        <f t="shared" si="4"/>
        <v>NoData</v>
      </c>
      <c r="BQ16" t="str">
        <f t="shared" si="5"/>
        <v>NoData</v>
      </c>
      <c r="BR16" t="s">
        <v>11</v>
      </c>
      <c r="BS16" t="s">
        <v>11</v>
      </c>
      <c r="BT16" t="s">
        <v>11</v>
      </c>
      <c r="BU16" t="s">
        <v>11</v>
      </c>
    </row>
    <row r="17" spans="1:73" x14ac:dyDescent="0.25">
      <c r="A17" s="5">
        <v>26299</v>
      </c>
      <c r="B17">
        <v>316</v>
      </c>
      <c r="C17" t="s">
        <v>11</v>
      </c>
      <c r="D17" t="s">
        <v>11</v>
      </c>
      <c r="E17" t="s">
        <v>11</v>
      </c>
      <c r="F17" t="s">
        <v>11</v>
      </c>
      <c r="G17" t="s">
        <v>11</v>
      </c>
      <c r="H17" t="s">
        <v>11</v>
      </c>
      <c r="I17" t="s">
        <v>11</v>
      </c>
      <c r="J17">
        <v>1116</v>
      </c>
      <c r="K17" t="s">
        <v>11</v>
      </c>
      <c r="L17">
        <v>14570</v>
      </c>
      <c r="M17" t="s">
        <v>11</v>
      </c>
      <c r="N17" t="s">
        <v>11</v>
      </c>
      <c r="O17" t="s">
        <v>11</v>
      </c>
      <c r="P17" t="s">
        <v>11</v>
      </c>
      <c r="Q17" t="s">
        <v>11</v>
      </c>
      <c r="R17" t="s">
        <v>11</v>
      </c>
      <c r="S17" t="s">
        <v>11</v>
      </c>
      <c r="T17" s="34">
        <v>38860</v>
      </c>
      <c r="U17" s="34">
        <v>10450</v>
      </c>
      <c r="V17" s="34">
        <v>1991</v>
      </c>
      <c r="W17" t="s">
        <v>11</v>
      </c>
      <c r="X17">
        <v>2742</v>
      </c>
      <c r="Y17" t="s">
        <v>11</v>
      </c>
      <c r="Z17">
        <v>1880</v>
      </c>
      <c r="AA17">
        <v>1518</v>
      </c>
      <c r="AB17">
        <v>20773</v>
      </c>
      <c r="AC17">
        <v>10748</v>
      </c>
      <c r="AD17">
        <v>1861</v>
      </c>
      <c r="AE17" t="s">
        <v>11</v>
      </c>
      <c r="AF17">
        <v>2118</v>
      </c>
      <c r="AG17" t="s">
        <v>11</v>
      </c>
      <c r="AH17">
        <f t="shared" si="6"/>
        <v>1861</v>
      </c>
      <c r="AI17" t="str">
        <f t="shared" si="7"/>
        <v>NoData</v>
      </c>
      <c r="AJ17">
        <v>10512</v>
      </c>
      <c r="AK17" t="s">
        <v>11</v>
      </c>
      <c r="AL17">
        <v>17816</v>
      </c>
      <c r="AM17">
        <v>-684</v>
      </c>
      <c r="AN17">
        <v>75</v>
      </c>
      <c r="AO17" t="str">
        <f t="shared" si="8"/>
        <v>NoData</v>
      </c>
      <c r="AP17" t="s">
        <v>11</v>
      </c>
      <c r="AQ17" t="s">
        <v>11</v>
      </c>
      <c r="AR17" t="s">
        <v>11</v>
      </c>
      <c r="AS17" t="s">
        <v>11</v>
      </c>
      <c r="AT17" t="str">
        <f t="shared" si="11"/>
        <v>NoData</v>
      </c>
      <c r="AU17" t="str">
        <f t="shared" si="12"/>
        <v>NoData</v>
      </c>
      <c r="AV17" t="s">
        <v>11</v>
      </c>
      <c r="AW17" t="s">
        <v>11</v>
      </c>
      <c r="AX17" t="s">
        <v>11</v>
      </c>
      <c r="AY17" t="s">
        <v>11</v>
      </c>
      <c r="AZ17" t="str">
        <f t="shared" si="2"/>
        <v>NoData</v>
      </c>
      <c r="BA17" t="str">
        <f t="shared" si="3"/>
        <v>NoData</v>
      </c>
      <c r="BB17">
        <f t="shared" si="9"/>
        <v>75</v>
      </c>
      <c r="BC17" t="str">
        <f t="shared" si="10"/>
        <v>NoData</v>
      </c>
      <c r="BD17" t="s">
        <v>11</v>
      </c>
      <c r="BE17" t="s">
        <v>11</v>
      </c>
      <c r="BF17" t="s">
        <v>11</v>
      </c>
      <c r="BG17" t="s">
        <v>11</v>
      </c>
      <c r="BH17">
        <v>28</v>
      </c>
      <c r="BI17" t="s">
        <v>11</v>
      </c>
      <c r="BJ17" t="s">
        <v>11</v>
      </c>
      <c r="BK17" t="s">
        <v>11</v>
      </c>
      <c r="BL17" t="s">
        <v>11</v>
      </c>
      <c r="BM17" t="s">
        <v>11</v>
      </c>
      <c r="BN17" t="s">
        <v>11</v>
      </c>
      <c r="BO17" t="s">
        <v>11</v>
      </c>
      <c r="BP17" t="str">
        <f t="shared" si="4"/>
        <v>NoData</v>
      </c>
      <c r="BQ17" t="str">
        <f t="shared" si="5"/>
        <v>NoData</v>
      </c>
      <c r="BR17" t="s">
        <v>11</v>
      </c>
      <c r="BS17" t="s">
        <v>11</v>
      </c>
      <c r="BT17" t="s">
        <v>11</v>
      </c>
      <c r="BU17" t="s">
        <v>11</v>
      </c>
    </row>
    <row r="18" spans="1:73" x14ac:dyDescent="0.25">
      <c r="A18" s="5">
        <v>26330</v>
      </c>
      <c r="B18">
        <v>547</v>
      </c>
      <c r="C18" t="s">
        <v>11</v>
      </c>
      <c r="D18" t="s">
        <v>11</v>
      </c>
      <c r="E18" t="s">
        <v>11</v>
      </c>
      <c r="F18" t="s">
        <v>11</v>
      </c>
      <c r="G18" t="s">
        <v>11</v>
      </c>
      <c r="H18" t="s">
        <v>11</v>
      </c>
      <c r="I18" t="s">
        <v>11</v>
      </c>
      <c r="J18">
        <v>992</v>
      </c>
      <c r="K18" t="s">
        <v>11</v>
      </c>
      <c r="L18">
        <v>55630</v>
      </c>
      <c r="M18" t="s">
        <v>11</v>
      </c>
      <c r="N18" t="s">
        <v>11</v>
      </c>
      <c r="O18" t="s">
        <v>11</v>
      </c>
      <c r="P18" t="s">
        <v>11</v>
      </c>
      <c r="Q18" t="s">
        <v>11</v>
      </c>
      <c r="R18" t="s">
        <v>11</v>
      </c>
      <c r="S18" t="s">
        <v>11</v>
      </c>
      <c r="T18" s="34">
        <v>59740</v>
      </c>
      <c r="U18" s="34">
        <v>29320</v>
      </c>
      <c r="V18" s="34">
        <v>3197</v>
      </c>
      <c r="W18" t="s">
        <v>11</v>
      </c>
      <c r="X18">
        <v>3111</v>
      </c>
      <c r="Y18" t="s">
        <v>11</v>
      </c>
      <c r="Z18">
        <v>4923</v>
      </c>
      <c r="AA18">
        <v>4504</v>
      </c>
      <c r="AB18">
        <v>23812</v>
      </c>
      <c r="AC18">
        <v>13271</v>
      </c>
      <c r="AD18">
        <v>1992</v>
      </c>
      <c r="AE18" t="s">
        <v>11</v>
      </c>
      <c r="AF18">
        <v>5508</v>
      </c>
      <c r="AG18" t="s">
        <v>11</v>
      </c>
      <c r="AH18">
        <f t="shared" si="6"/>
        <v>1992</v>
      </c>
      <c r="AI18" t="str">
        <f t="shared" si="7"/>
        <v>NoData</v>
      </c>
      <c r="AJ18">
        <v>11518</v>
      </c>
      <c r="AK18" t="s">
        <v>11</v>
      </c>
      <c r="AL18">
        <v>33567</v>
      </c>
      <c r="AM18">
        <v>16947</v>
      </c>
      <c r="AN18">
        <v>130</v>
      </c>
      <c r="AO18" t="str">
        <f t="shared" si="8"/>
        <v>NoData</v>
      </c>
      <c r="AP18" t="s">
        <v>11</v>
      </c>
      <c r="AQ18" t="s">
        <v>11</v>
      </c>
      <c r="AR18" t="s">
        <v>11</v>
      </c>
      <c r="AS18" t="s">
        <v>11</v>
      </c>
      <c r="AT18" t="str">
        <f t="shared" si="11"/>
        <v>NoData</v>
      </c>
      <c r="AU18" t="str">
        <f t="shared" si="12"/>
        <v>NoData</v>
      </c>
      <c r="AV18" t="s">
        <v>11</v>
      </c>
      <c r="AW18" t="s">
        <v>11</v>
      </c>
      <c r="AX18" t="s">
        <v>11</v>
      </c>
      <c r="AY18" t="s">
        <v>11</v>
      </c>
      <c r="AZ18" t="str">
        <f t="shared" si="2"/>
        <v>NoData</v>
      </c>
      <c r="BA18" t="str">
        <f t="shared" si="3"/>
        <v>NoData</v>
      </c>
      <c r="BB18">
        <f t="shared" si="9"/>
        <v>130</v>
      </c>
      <c r="BC18" t="str">
        <f t="shared" si="10"/>
        <v>NoData</v>
      </c>
      <c r="BD18" t="s">
        <v>11</v>
      </c>
      <c r="BE18" t="s">
        <v>11</v>
      </c>
      <c r="BF18" t="s">
        <v>11</v>
      </c>
      <c r="BG18" t="s">
        <v>11</v>
      </c>
      <c r="BH18">
        <v>12</v>
      </c>
      <c r="BI18" t="s">
        <v>11</v>
      </c>
      <c r="BJ18" t="s">
        <v>11</v>
      </c>
      <c r="BK18" t="s">
        <v>11</v>
      </c>
      <c r="BL18" t="s">
        <v>11</v>
      </c>
      <c r="BM18" t="s">
        <v>11</v>
      </c>
      <c r="BN18" t="s">
        <v>11</v>
      </c>
      <c r="BO18" t="s">
        <v>11</v>
      </c>
      <c r="BP18" t="str">
        <f t="shared" si="4"/>
        <v>NoData</v>
      </c>
      <c r="BQ18" t="str">
        <f t="shared" si="5"/>
        <v>NoData</v>
      </c>
      <c r="BR18" t="s">
        <v>11</v>
      </c>
      <c r="BS18" t="s">
        <v>11</v>
      </c>
      <c r="BT18" t="s">
        <v>11</v>
      </c>
      <c r="BU18" t="s">
        <v>11</v>
      </c>
    </row>
    <row r="19" spans="1:73" x14ac:dyDescent="0.25">
      <c r="A19" s="5">
        <v>26359</v>
      </c>
      <c r="B19">
        <v>728</v>
      </c>
      <c r="C19" t="s">
        <v>11</v>
      </c>
      <c r="D19" t="s">
        <v>11</v>
      </c>
      <c r="E19" t="s">
        <v>11</v>
      </c>
      <c r="F19" t="s">
        <v>11</v>
      </c>
      <c r="G19" t="s">
        <v>11</v>
      </c>
      <c r="H19" t="s">
        <v>11</v>
      </c>
      <c r="I19" t="s">
        <v>11</v>
      </c>
      <c r="J19">
        <v>2035</v>
      </c>
      <c r="K19" t="s">
        <v>11</v>
      </c>
      <c r="L19">
        <v>62390</v>
      </c>
      <c r="M19" t="s">
        <v>11</v>
      </c>
      <c r="N19" t="s">
        <v>11</v>
      </c>
      <c r="O19" t="s">
        <v>11</v>
      </c>
      <c r="P19" t="s">
        <v>11</v>
      </c>
      <c r="Q19" t="s">
        <v>11</v>
      </c>
      <c r="R19" t="s">
        <v>11</v>
      </c>
      <c r="S19" t="s">
        <v>11</v>
      </c>
      <c r="T19" s="34">
        <v>79930</v>
      </c>
      <c r="U19" s="34">
        <v>45050</v>
      </c>
      <c r="V19" s="34">
        <v>4431</v>
      </c>
      <c r="W19" t="s">
        <v>11</v>
      </c>
      <c r="X19">
        <v>4613</v>
      </c>
      <c r="Y19" t="s">
        <v>11</v>
      </c>
      <c r="Z19">
        <v>3576</v>
      </c>
      <c r="AA19">
        <v>3180</v>
      </c>
      <c r="AB19">
        <v>28739</v>
      </c>
      <c r="AC19">
        <v>17464</v>
      </c>
      <c r="AD19">
        <v>2948</v>
      </c>
      <c r="AE19" t="s">
        <v>11</v>
      </c>
      <c r="AF19">
        <v>4537</v>
      </c>
      <c r="AG19" t="s">
        <v>11</v>
      </c>
      <c r="AH19">
        <f t="shared" si="6"/>
        <v>2948</v>
      </c>
      <c r="AI19" t="str">
        <f t="shared" si="7"/>
        <v>NoData</v>
      </c>
      <c r="AJ19">
        <v>17298</v>
      </c>
      <c r="AK19" t="s">
        <v>11</v>
      </c>
      <c r="AL19">
        <v>49539</v>
      </c>
      <c r="AM19">
        <v>31709</v>
      </c>
      <c r="AN19">
        <v>83</v>
      </c>
      <c r="AO19" t="str">
        <f t="shared" si="8"/>
        <v>NoData</v>
      </c>
      <c r="AP19" t="s">
        <v>11</v>
      </c>
      <c r="AQ19" t="s">
        <v>11</v>
      </c>
      <c r="AR19" t="s">
        <v>11</v>
      </c>
      <c r="AS19" t="s">
        <v>11</v>
      </c>
      <c r="AT19" t="str">
        <f t="shared" si="11"/>
        <v>NoData</v>
      </c>
      <c r="AU19" t="str">
        <f t="shared" si="12"/>
        <v>NoData</v>
      </c>
      <c r="AV19" t="s">
        <v>11</v>
      </c>
      <c r="AW19" t="s">
        <v>11</v>
      </c>
      <c r="AX19" t="s">
        <v>11</v>
      </c>
      <c r="AY19" t="s">
        <v>11</v>
      </c>
      <c r="AZ19" t="str">
        <f t="shared" si="2"/>
        <v>NoData</v>
      </c>
      <c r="BA19" t="str">
        <f t="shared" si="3"/>
        <v>NoData</v>
      </c>
      <c r="BB19">
        <f t="shared" si="9"/>
        <v>83</v>
      </c>
      <c r="BC19" t="str">
        <f t="shared" si="10"/>
        <v>NoData</v>
      </c>
      <c r="BD19" t="s">
        <v>11</v>
      </c>
      <c r="BE19" t="s">
        <v>11</v>
      </c>
      <c r="BF19" t="s">
        <v>11</v>
      </c>
      <c r="BG19" t="s">
        <v>11</v>
      </c>
      <c r="BH19">
        <v>28</v>
      </c>
      <c r="BI19" t="s">
        <v>11</v>
      </c>
      <c r="BJ19" t="s">
        <v>11</v>
      </c>
      <c r="BK19" t="s">
        <v>11</v>
      </c>
      <c r="BL19" t="s">
        <v>11</v>
      </c>
      <c r="BM19" t="s">
        <v>11</v>
      </c>
      <c r="BN19" t="s">
        <v>11</v>
      </c>
      <c r="BO19" t="s">
        <v>11</v>
      </c>
      <c r="BP19" t="str">
        <f t="shared" si="4"/>
        <v>NoData</v>
      </c>
      <c r="BQ19" t="str">
        <f t="shared" si="5"/>
        <v>NoData</v>
      </c>
      <c r="BR19" t="s">
        <v>11</v>
      </c>
      <c r="BS19" t="s">
        <v>11</v>
      </c>
      <c r="BT19" t="s">
        <v>11</v>
      </c>
      <c r="BU19" t="s">
        <v>11</v>
      </c>
    </row>
    <row r="20" spans="1:73" x14ac:dyDescent="0.25">
      <c r="A20" s="5">
        <v>26390</v>
      </c>
      <c r="B20">
        <v>1350</v>
      </c>
      <c r="C20" t="s">
        <v>11</v>
      </c>
      <c r="D20" t="s">
        <v>11</v>
      </c>
      <c r="E20" t="s">
        <v>11</v>
      </c>
      <c r="F20" t="s">
        <v>11</v>
      </c>
      <c r="G20" t="s">
        <v>11</v>
      </c>
      <c r="H20" t="s">
        <v>11</v>
      </c>
      <c r="I20" t="s">
        <v>11</v>
      </c>
      <c r="J20">
        <v>1989</v>
      </c>
      <c r="K20" t="s">
        <v>11</v>
      </c>
      <c r="L20">
        <v>62790</v>
      </c>
      <c r="M20" t="s">
        <v>11</v>
      </c>
      <c r="N20" t="s">
        <v>11</v>
      </c>
      <c r="O20" t="s">
        <v>11</v>
      </c>
      <c r="P20" t="s">
        <v>11</v>
      </c>
      <c r="Q20" t="s">
        <v>11</v>
      </c>
      <c r="R20" t="s">
        <v>11</v>
      </c>
      <c r="S20" t="s">
        <v>11</v>
      </c>
      <c r="T20" s="34">
        <v>95600</v>
      </c>
      <c r="U20" s="34">
        <v>58040</v>
      </c>
      <c r="V20" s="34">
        <v>4738</v>
      </c>
      <c r="W20" t="s">
        <v>11</v>
      </c>
      <c r="X20">
        <v>5021</v>
      </c>
      <c r="Y20" t="s">
        <v>11</v>
      </c>
      <c r="Z20">
        <v>4910</v>
      </c>
      <c r="AA20">
        <v>4519</v>
      </c>
      <c r="AB20">
        <v>34662</v>
      </c>
      <c r="AC20">
        <v>23557</v>
      </c>
      <c r="AD20">
        <v>2535</v>
      </c>
      <c r="AE20" t="s">
        <v>11</v>
      </c>
      <c r="AF20">
        <v>5260</v>
      </c>
      <c r="AG20" t="s">
        <v>11</v>
      </c>
      <c r="AH20">
        <f t="shared" si="6"/>
        <v>2535</v>
      </c>
      <c r="AI20" t="str">
        <f t="shared" si="7"/>
        <v>NoData</v>
      </c>
      <c r="AJ20">
        <v>18639</v>
      </c>
      <c r="AK20" t="s">
        <v>11</v>
      </c>
      <c r="AL20">
        <v>53075</v>
      </c>
      <c r="AM20">
        <v>36165</v>
      </c>
      <c r="AN20">
        <v>73</v>
      </c>
      <c r="AO20" t="str">
        <f t="shared" si="8"/>
        <v>NoData</v>
      </c>
      <c r="AP20" t="s">
        <v>11</v>
      </c>
      <c r="AQ20" t="s">
        <v>11</v>
      </c>
      <c r="AR20" t="s">
        <v>11</v>
      </c>
      <c r="AS20" t="s">
        <v>11</v>
      </c>
      <c r="AT20" t="str">
        <f t="shared" si="11"/>
        <v>NoData</v>
      </c>
      <c r="AU20" t="str">
        <f t="shared" si="12"/>
        <v>NoData</v>
      </c>
      <c r="AV20" t="s">
        <v>11</v>
      </c>
      <c r="AW20" t="s">
        <v>11</v>
      </c>
      <c r="AX20" t="s">
        <v>11</v>
      </c>
      <c r="AY20" t="s">
        <v>11</v>
      </c>
      <c r="AZ20" t="str">
        <f t="shared" si="2"/>
        <v>NoData</v>
      </c>
      <c r="BA20" t="str">
        <f t="shared" si="3"/>
        <v>NoData</v>
      </c>
      <c r="BB20">
        <f t="shared" si="9"/>
        <v>73</v>
      </c>
      <c r="BC20" t="str">
        <f t="shared" si="10"/>
        <v>NoData</v>
      </c>
      <c r="BD20" t="s">
        <v>11</v>
      </c>
      <c r="BE20" t="s">
        <v>11</v>
      </c>
      <c r="BF20" t="s">
        <v>11</v>
      </c>
      <c r="BG20" t="s">
        <v>11</v>
      </c>
      <c r="BH20">
        <v>24</v>
      </c>
      <c r="BI20" t="s">
        <v>11</v>
      </c>
      <c r="BJ20" t="s">
        <v>11</v>
      </c>
      <c r="BK20" t="s">
        <v>11</v>
      </c>
      <c r="BL20" t="s">
        <v>11</v>
      </c>
      <c r="BM20" t="s">
        <v>11</v>
      </c>
      <c r="BN20" t="s">
        <v>11</v>
      </c>
      <c r="BO20" t="s">
        <v>11</v>
      </c>
      <c r="BP20" t="str">
        <f t="shared" si="4"/>
        <v>NoData</v>
      </c>
      <c r="BQ20" t="str">
        <f t="shared" si="5"/>
        <v>NoData</v>
      </c>
      <c r="BR20" t="s">
        <v>11</v>
      </c>
      <c r="BS20" t="s">
        <v>11</v>
      </c>
      <c r="BT20" t="s">
        <v>11</v>
      </c>
      <c r="BU20" t="s">
        <v>11</v>
      </c>
    </row>
    <row r="21" spans="1:73" x14ac:dyDescent="0.25">
      <c r="A21" s="5">
        <v>26420</v>
      </c>
      <c r="B21">
        <v>1059</v>
      </c>
      <c r="C21" t="s">
        <v>11</v>
      </c>
      <c r="D21" t="s">
        <v>11</v>
      </c>
      <c r="E21" t="s">
        <v>11</v>
      </c>
      <c r="F21" t="s">
        <v>11</v>
      </c>
      <c r="G21" t="s">
        <v>11</v>
      </c>
      <c r="H21" t="s">
        <v>11</v>
      </c>
      <c r="I21" t="s">
        <v>11</v>
      </c>
      <c r="J21">
        <v>2647</v>
      </c>
      <c r="K21" t="s">
        <v>11</v>
      </c>
      <c r="L21">
        <v>72460</v>
      </c>
      <c r="M21" t="s">
        <v>11</v>
      </c>
      <c r="N21" t="s">
        <v>11</v>
      </c>
      <c r="O21" t="s">
        <v>11</v>
      </c>
      <c r="P21" t="s">
        <v>11</v>
      </c>
      <c r="Q21" t="s">
        <v>11</v>
      </c>
      <c r="R21" t="s">
        <v>11</v>
      </c>
      <c r="S21" t="s">
        <v>11</v>
      </c>
      <c r="T21" s="34">
        <v>96560</v>
      </c>
      <c r="U21" s="34">
        <v>54940</v>
      </c>
      <c r="V21" s="34">
        <v>3199</v>
      </c>
      <c r="W21" t="s">
        <v>11</v>
      </c>
      <c r="X21">
        <v>5901</v>
      </c>
      <c r="Y21" t="s">
        <v>11</v>
      </c>
      <c r="Z21">
        <v>5803</v>
      </c>
      <c r="AA21">
        <v>5218</v>
      </c>
      <c r="AB21">
        <v>33258</v>
      </c>
      <c r="AC21">
        <v>21792</v>
      </c>
      <c r="AD21">
        <v>4558</v>
      </c>
      <c r="AE21" t="s">
        <v>11</v>
      </c>
      <c r="AF21">
        <v>5997</v>
      </c>
      <c r="AG21" t="s">
        <v>11</v>
      </c>
      <c r="AH21">
        <f t="shared" si="6"/>
        <v>4558</v>
      </c>
      <c r="AI21" t="str">
        <f t="shared" si="7"/>
        <v>NoData</v>
      </c>
      <c r="AJ21">
        <v>26161</v>
      </c>
      <c r="AK21" t="s">
        <v>11</v>
      </c>
      <c r="AL21">
        <v>60840</v>
      </c>
      <c r="AM21">
        <v>44170</v>
      </c>
      <c r="AN21">
        <v>82</v>
      </c>
      <c r="AO21" t="str">
        <f t="shared" si="8"/>
        <v>NoData</v>
      </c>
      <c r="AP21" t="s">
        <v>11</v>
      </c>
      <c r="AQ21" t="s">
        <v>11</v>
      </c>
      <c r="AR21" t="s">
        <v>11</v>
      </c>
      <c r="AS21" t="s">
        <v>11</v>
      </c>
      <c r="AT21" t="str">
        <f t="shared" si="11"/>
        <v>NoData</v>
      </c>
      <c r="AU21" t="str">
        <f t="shared" si="12"/>
        <v>NoData</v>
      </c>
      <c r="AV21" t="s">
        <v>11</v>
      </c>
      <c r="AW21" t="s">
        <v>11</v>
      </c>
      <c r="AX21" t="s">
        <v>11</v>
      </c>
      <c r="AY21" t="s">
        <v>11</v>
      </c>
      <c r="AZ21" t="str">
        <f t="shared" si="2"/>
        <v>NoData</v>
      </c>
      <c r="BA21" t="str">
        <f t="shared" si="3"/>
        <v>NoData</v>
      </c>
      <c r="BB21">
        <f t="shared" si="9"/>
        <v>82</v>
      </c>
      <c r="BC21" t="str">
        <f t="shared" si="10"/>
        <v>NoData</v>
      </c>
      <c r="BD21" t="s">
        <v>11</v>
      </c>
      <c r="BE21" t="s">
        <v>11</v>
      </c>
      <c r="BF21" t="s">
        <v>11</v>
      </c>
      <c r="BG21" t="s">
        <v>11</v>
      </c>
      <c r="BH21">
        <v>25</v>
      </c>
      <c r="BI21" t="s">
        <v>11</v>
      </c>
      <c r="BJ21" t="s">
        <v>11</v>
      </c>
      <c r="BK21" t="s">
        <v>11</v>
      </c>
      <c r="BL21" t="s">
        <v>11</v>
      </c>
      <c r="BM21" t="s">
        <v>11</v>
      </c>
      <c r="BN21" t="s">
        <v>11</v>
      </c>
      <c r="BO21" t="s">
        <v>11</v>
      </c>
      <c r="BP21" t="str">
        <f t="shared" si="4"/>
        <v>NoData</v>
      </c>
      <c r="BQ21" t="str">
        <f t="shared" si="5"/>
        <v>NoData</v>
      </c>
      <c r="BR21" t="s">
        <v>11</v>
      </c>
      <c r="BS21" t="s">
        <v>11</v>
      </c>
      <c r="BT21" t="s">
        <v>11</v>
      </c>
      <c r="BU21" t="s">
        <v>11</v>
      </c>
    </row>
    <row r="22" spans="1:73" x14ac:dyDescent="0.25">
      <c r="A22" s="5">
        <v>26451</v>
      </c>
      <c r="B22">
        <v>1822</v>
      </c>
      <c r="C22" t="s">
        <v>11</v>
      </c>
      <c r="D22" t="s">
        <v>11</v>
      </c>
      <c r="E22" t="s">
        <v>11</v>
      </c>
      <c r="F22" t="s">
        <v>11</v>
      </c>
      <c r="G22" t="s">
        <v>11</v>
      </c>
      <c r="H22" t="s">
        <v>11</v>
      </c>
      <c r="I22" t="s">
        <v>11</v>
      </c>
      <c r="J22">
        <v>3323</v>
      </c>
      <c r="K22" t="s">
        <v>11</v>
      </c>
      <c r="L22">
        <v>70060</v>
      </c>
      <c r="M22" t="s">
        <v>11</v>
      </c>
      <c r="N22" t="s">
        <v>11</v>
      </c>
      <c r="O22" t="s">
        <v>11</v>
      </c>
      <c r="P22" t="s">
        <v>11</v>
      </c>
      <c r="Q22" t="s">
        <v>11</v>
      </c>
      <c r="R22" t="s">
        <v>11</v>
      </c>
      <c r="S22" t="s">
        <v>11</v>
      </c>
      <c r="T22" s="34">
        <v>91460</v>
      </c>
      <c r="U22" s="34">
        <v>53120</v>
      </c>
      <c r="V22" s="34">
        <v>2681</v>
      </c>
      <c r="W22" t="s">
        <v>11</v>
      </c>
      <c r="X22">
        <v>5495</v>
      </c>
      <c r="Y22" t="s">
        <v>11</v>
      </c>
      <c r="Z22">
        <v>5245</v>
      </c>
      <c r="AA22">
        <v>4764</v>
      </c>
      <c r="AB22">
        <v>32700</v>
      </c>
      <c r="AC22">
        <v>21807</v>
      </c>
      <c r="AD22">
        <v>4758</v>
      </c>
      <c r="AE22" t="s">
        <v>11</v>
      </c>
      <c r="AF22">
        <v>4751</v>
      </c>
      <c r="AG22" t="s">
        <v>11</v>
      </c>
      <c r="AH22">
        <f t="shared" si="6"/>
        <v>4758</v>
      </c>
      <c r="AI22" t="str">
        <f t="shared" si="7"/>
        <v>NoData</v>
      </c>
      <c r="AJ22">
        <v>26993</v>
      </c>
      <c r="AK22" t="s">
        <v>11</v>
      </c>
      <c r="AL22">
        <v>54079</v>
      </c>
      <c r="AM22">
        <v>41449</v>
      </c>
      <c r="AN22">
        <v>135</v>
      </c>
      <c r="AO22" t="str">
        <f t="shared" si="8"/>
        <v>NoData</v>
      </c>
      <c r="AP22" t="s">
        <v>11</v>
      </c>
      <c r="AQ22" t="s">
        <v>11</v>
      </c>
      <c r="AR22" t="s">
        <v>11</v>
      </c>
      <c r="AS22" t="s">
        <v>11</v>
      </c>
      <c r="AT22" t="str">
        <f t="shared" si="11"/>
        <v>NoData</v>
      </c>
      <c r="AU22" t="str">
        <f t="shared" si="12"/>
        <v>NoData</v>
      </c>
      <c r="AV22" t="s">
        <v>11</v>
      </c>
      <c r="AW22" t="s">
        <v>11</v>
      </c>
      <c r="AX22" t="s">
        <v>11</v>
      </c>
      <c r="AY22" t="s">
        <v>11</v>
      </c>
      <c r="AZ22" t="str">
        <f t="shared" si="2"/>
        <v>NoData</v>
      </c>
      <c r="BA22" t="str">
        <f t="shared" si="3"/>
        <v>NoData</v>
      </c>
      <c r="BB22">
        <f t="shared" si="9"/>
        <v>135</v>
      </c>
      <c r="BC22" t="str">
        <f t="shared" si="10"/>
        <v>NoData</v>
      </c>
      <c r="BD22" t="s">
        <v>11</v>
      </c>
      <c r="BE22" t="s">
        <v>11</v>
      </c>
      <c r="BF22" t="s">
        <v>11</v>
      </c>
      <c r="BG22" t="s">
        <v>11</v>
      </c>
      <c r="BH22">
        <v>49</v>
      </c>
      <c r="BI22" t="s">
        <v>11</v>
      </c>
      <c r="BJ22" t="s">
        <v>11</v>
      </c>
      <c r="BK22" t="s">
        <v>11</v>
      </c>
      <c r="BL22" t="s">
        <v>11</v>
      </c>
      <c r="BM22" t="s">
        <v>11</v>
      </c>
      <c r="BN22" t="s">
        <v>11</v>
      </c>
      <c r="BO22" t="s">
        <v>11</v>
      </c>
      <c r="BP22" t="str">
        <f t="shared" si="4"/>
        <v>NoData</v>
      </c>
      <c r="BQ22" t="str">
        <f t="shared" si="5"/>
        <v>NoData</v>
      </c>
      <c r="BR22" t="s">
        <v>11</v>
      </c>
      <c r="BS22" t="s">
        <v>11</v>
      </c>
      <c r="BT22" t="s">
        <v>11</v>
      </c>
      <c r="BU22" t="s">
        <v>11</v>
      </c>
    </row>
    <row r="23" spans="1:73" x14ac:dyDescent="0.25">
      <c r="A23" s="5">
        <v>26481</v>
      </c>
      <c r="B23">
        <v>2017</v>
      </c>
      <c r="C23" t="s">
        <v>11</v>
      </c>
      <c r="D23" t="s">
        <v>11</v>
      </c>
      <c r="E23" t="s">
        <v>11</v>
      </c>
      <c r="F23" t="s">
        <v>11</v>
      </c>
      <c r="G23" t="s">
        <v>11</v>
      </c>
      <c r="H23" t="s">
        <v>11</v>
      </c>
      <c r="I23" t="s">
        <v>11</v>
      </c>
      <c r="J23">
        <v>3261</v>
      </c>
      <c r="K23" t="s">
        <v>11</v>
      </c>
      <c r="L23">
        <v>79760</v>
      </c>
      <c r="M23" t="s">
        <v>11</v>
      </c>
      <c r="N23" t="s">
        <v>11</v>
      </c>
      <c r="O23" t="s">
        <v>11</v>
      </c>
      <c r="P23" t="s">
        <v>11</v>
      </c>
      <c r="Q23" t="s">
        <v>11</v>
      </c>
      <c r="R23" t="s">
        <v>11</v>
      </c>
      <c r="S23" t="s">
        <v>11</v>
      </c>
      <c r="T23" s="34">
        <v>112500</v>
      </c>
      <c r="U23" s="34">
        <v>72580</v>
      </c>
      <c r="V23" s="34">
        <v>4774</v>
      </c>
      <c r="W23" t="s">
        <v>11</v>
      </c>
      <c r="X23">
        <v>6088</v>
      </c>
      <c r="Y23" t="s">
        <v>11</v>
      </c>
      <c r="Z23">
        <v>6061</v>
      </c>
      <c r="AA23">
        <v>5519</v>
      </c>
      <c r="AB23">
        <v>36407</v>
      </c>
      <c r="AC23">
        <v>25884</v>
      </c>
      <c r="AD23">
        <v>5300</v>
      </c>
      <c r="AE23" t="s">
        <v>11</v>
      </c>
      <c r="AF23">
        <v>6501</v>
      </c>
      <c r="AG23" t="s">
        <v>11</v>
      </c>
      <c r="AH23">
        <f t="shared" si="6"/>
        <v>5300</v>
      </c>
      <c r="AI23" t="str">
        <f t="shared" si="7"/>
        <v>NoData</v>
      </c>
      <c r="AJ23">
        <v>32017</v>
      </c>
      <c r="AK23" t="s">
        <v>11</v>
      </c>
      <c r="AL23">
        <v>64565</v>
      </c>
      <c r="AM23">
        <v>47125</v>
      </c>
      <c r="AN23">
        <v>163</v>
      </c>
      <c r="AO23" t="str">
        <f t="shared" si="8"/>
        <v>NoData</v>
      </c>
      <c r="AP23" t="s">
        <v>11</v>
      </c>
      <c r="AQ23" t="s">
        <v>11</v>
      </c>
      <c r="AR23" t="s">
        <v>11</v>
      </c>
      <c r="AS23" t="s">
        <v>11</v>
      </c>
      <c r="AT23" t="str">
        <f t="shared" si="11"/>
        <v>NoData</v>
      </c>
      <c r="AU23" t="str">
        <f t="shared" si="12"/>
        <v>NoData</v>
      </c>
      <c r="AV23" t="s">
        <v>11</v>
      </c>
      <c r="AW23" t="s">
        <v>11</v>
      </c>
      <c r="AX23" t="s">
        <v>11</v>
      </c>
      <c r="AY23" t="s">
        <v>11</v>
      </c>
      <c r="AZ23" t="str">
        <f t="shared" si="2"/>
        <v>NoData</v>
      </c>
      <c r="BA23" t="str">
        <f t="shared" si="3"/>
        <v>NoData</v>
      </c>
      <c r="BB23">
        <f t="shared" si="9"/>
        <v>163</v>
      </c>
      <c r="BC23" t="str">
        <f t="shared" si="10"/>
        <v>NoData</v>
      </c>
      <c r="BD23" t="s">
        <v>11</v>
      </c>
      <c r="BE23" t="s">
        <v>11</v>
      </c>
      <c r="BF23" t="s">
        <v>11</v>
      </c>
      <c r="BG23" t="s">
        <v>11</v>
      </c>
      <c r="BH23">
        <v>28</v>
      </c>
      <c r="BI23" t="s">
        <v>11</v>
      </c>
      <c r="BJ23" t="s">
        <v>11</v>
      </c>
      <c r="BK23" t="s">
        <v>11</v>
      </c>
      <c r="BL23" t="s">
        <v>11</v>
      </c>
      <c r="BM23" t="s">
        <v>11</v>
      </c>
      <c r="BN23" t="s">
        <v>11</v>
      </c>
      <c r="BO23" t="s">
        <v>11</v>
      </c>
      <c r="BP23" t="str">
        <f t="shared" si="4"/>
        <v>NoData</v>
      </c>
      <c r="BQ23" t="str">
        <f t="shared" si="5"/>
        <v>NoData</v>
      </c>
      <c r="BR23" t="s">
        <v>11</v>
      </c>
      <c r="BS23" t="s">
        <v>11</v>
      </c>
      <c r="BT23" t="s">
        <v>11</v>
      </c>
      <c r="BU23" t="s">
        <v>11</v>
      </c>
    </row>
    <row r="24" spans="1:73" x14ac:dyDescent="0.25">
      <c r="A24" s="5">
        <v>26512</v>
      </c>
      <c r="B24">
        <v>1523</v>
      </c>
      <c r="C24" t="s">
        <v>11</v>
      </c>
      <c r="D24" t="s">
        <v>11</v>
      </c>
      <c r="E24" t="s">
        <v>11</v>
      </c>
      <c r="F24" t="s">
        <v>11</v>
      </c>
      <c r="G24" t="s">
        <v>11</v>
      </c>
      <c r="H24" t="s">
        <v>11</v>
      </c>
      <c r="I24" t="s">
        <v>11</v>
      </c>
      <c r="J24">
        <v>1406</v>
      </c>
      <c r="K24" t="s">
        <v>11</v>
      </c>
      <c r="L24">
        <v>72730</v>
      </c>
      <c r="M24" t="s">
        <v>11</v>
      </c>
      <c r="N24" t="s">
        <v>11</v>
      </c>
      <c r="O24" t="s">
        <v>11</v>
      </c>
      <c r="P24" t="s">
        <v>11</v>
      </c>
      <c r="Q24" t="s">
        <v>11</v>
      </c>
      <c r="R24" t="s">
        <v>11</v>
      </c>
      <c r="S24" t="s">
        <v>11</v>
      </c>
      <c r="T24" s="34">
        <v>94100</v>
      </c>
      <c r="U24" s="34">
        <v>52890</v>
      </c>
      <c r="V24" s="34">
        <v>3008</v>
      </c>
      <c r="W24" t="s">
        <v>11</v>
      </c>
      <c r="X24">
        <v>5400</v>
      </c>
      <c r="Y24" t="s">
        <v>11</v>
      </c>
      <c r="Z24">
        <v>5689</v>
      </c>
      <c r="AA24">
        <v>5009</v>
      </c>
      <c r="AB24">
        <v>30942</v>
      </c>
      <c r="AC24">
        <v>20088</v>
      </c>
      <c r="AD24">
        <v>5595</v>
      </c>
      <c r="AE24" t="s">
        <v>11</v>
      </c>
      <c r="AF24">
        <v>6259</v>
      </c>
      <c r="AG24" t="s">
        <v>11</v>
      </c>
      <c r="AH24">
        <f t="shared" si="6"/>
        <v>5595</v>
      </c>
      <c r="AI24" t="str">
        <f t="shared" si="7"/>
        <v>NoData</v>
      </c>
      <c r="AJ24">
        <v>32982</v>
      </c>
      <c r="AK24" t="s">
        <v>11</v>
      </c>
      <c r="AL24">
        <v>68337</v>
      </c>
      <c r="AM24">
        <v>50427</v>
      </c>
      <c r="AN24">
        <v>53</v>
      </c>
      <c r="AO24" t="str">
        <f t="shared" si="8"/>
        <v>NoData</v>
      </c>
      <c r="AP24" t="s">
        <v>11</v>
      </c>
      <c r="AQ24" t="s">
        <v>11</v>
      </c>
      <c r="AR24" t="s">
        <v>11</v>
      </c>
      <c r="AS24" t="s">
        <v>11</v>
      </c>
      <c r="AT24" t="str">
        <f t="shared" si="11"/>
        <v>NoData</v>
      </c>
      <c r="AU24" t="str">
        <f t="shared" si="12"/>
        <v>NoData</v>
      </c>
      <c r="AV24" t="s">
        <v>11</v>
      </c>
      <c r="AW24" t="s">
        <v>11</v>
      </c>
      <c r="AX24" t="s">
        <v>11</v>
      </c>
      <c r="AY24" t="s">
        <v>11</v>
      </c>
      <c r="AZ24" t="str">
        <f t="shared" si="2"/>
        <v>NoData</v>
      </c>
      <c r="BA24" t="str">
        <f t="shared" si="3"/>
        <v>NoData</v>
      </c>
      <c r="BB24">
        <f t="shared" si="9"/>
        <v>53</v>
      </c>
      <c r="BC24" t="str">
        <f t="shared" si="10"/>
        <v>NoData</v>
      </c>
      <c r="BD24" t="s">
        <v>11</v>
      </c>
      <c r="BE24" t="s">
        <v>11</v>
      </c>
      <c r="BF24" t="s">
        <v>11</v>
      </c>
      <c r="BG24" t="s">
        <v>11</v>
      </c>
      <c r="BH24">
        <v>7</v>
      </c>
      <c r="BI24" t="s">
        <v>11</v>
      </c>
      <c r="BJ24" t="s">
        <v>11</v>
      </c>
      <c r="BK24" t="s">
        <v>11</v>
      </c>
      <c r="BL24" t="s">
        <v>11</v>
      </c>
      <c r="BM24" t="s">
        <v>11</v>
      </c>
      <c r="BN24" t="s">
        <v>11</v>
      </c>
      <c r="BO24" t="s">
        <v>11</v>
      </c>
      <c r="BP24" t="str">
        <f t="shared" si="4"/>
        <v>NoData</v>
      </c>
      <c r="BQ24" t="str">
        <f t="shared" si="5"/>
        <v>NoData</v>
      </c>
      <c r="BR24" t="s">
        <v>11</v>
      </c>
      <c r="BS24" t="s">
        <v>11</v>
      </c>
      <c r="BT24" t="s">
        <v>11</v>
      </c>
      <c r="BU24" t="s">
        <v>11</v>
      </c>
    </row>
    <row r="25" spans="1:73" x14ac:dyDescent="0.25">
      <c r="A25" s="5">
        <v>26543</v>
      </c>
      <c r="B25">
        <v>2660</v>
      </c>
      <c r="C25" t="s">
        <v>11</v>
      </c>
      <c r="D25" t="s">
        <v>11</v>
      </c>
      <c r="E25" t="s">
        <v>11</v>
      </c>
      <c r="F25" t="s">
        <v>11</v>
      </c>
      <c r="G25" t="s">
        <v>11</v>
      </c>
      <c r="H25" t="s">
        <v>11</v>
      </c>
      <c r="I25" t="s">
        <v>11</v>
      </c>
      <c r="J25">
        <v>1882</v>
      </c>
      <c r="K25" t="s">
        <v>11</v>
      </c>
      <c r="L25">
        <v>59620</v>
      </c>
      <c r="M25" t="s">
        <v>11</v>
      </c>
      <c r="N25" t="s">
        <v>11</v>
      </c>
      <c r="O25" t="s">
        <v>11</v>
      </c>
      <c r="P25" t="s">
        <v>11</v>
      </c>
      <c r="Q25" t="s">
        <v>11</v>
      </c>
      <c r="R25" t="s">
        <v>11</v>
      </c>
      <c r="S25" t="s">
        <v>11</v>
      </c>
      <c r="T25" s="34">
        <v>77930</v>
      </c>
      <c r="U25" s="34">
        <v>37150</v>
      </c>
      <c r="V25" s="34">
        <v>3277</v>
      </c>
      <c r="W25" t="s">
        <v>11</v>
      </c>
      <c r="X25">
        <v>3261</v>
      </c>
      <c r="Y25" t="s">
        <v>11</v>
      </c>
      <c r="Z25">
        <v>5487</v>
      </c>
      <c r="AA25">
        <v>4419</v>
      </c>
      <c r="AB25">
        <v>30100</v>
      </c>
      <c r="AC25">
        <v>20159</v>
      </c>
      <c r="AD25">
        <v>3740</v>
      </c>
      <c r="AE25" t="s">
        <v>11</v>
      </c>
      <c r="AF25">
        <v>4236</v>
      </c>
      <c r="AG25" t="s">
        <v>11</v>
      </c>
      <c r="AH25">
        <f t="shared" si="6"/>
        <v>3740</v>
      </c>
      <c r="AI25" t="str">
        <f t="shared" si="7"/>
        <v>NoData</v>
      </c>
      <c r="AJ25">
        <v>21934</v>
      </c>
      <c r="AK25" t="s">
        <v>11</v>
      </c>
      <c r="AL25">
        <v>48196</v>
      </c>
      <c r="AM25">
        <v>30466</v>
      </c>
      <c r="AN25">
        <v>83</v>
      </c>
      <c r="AO25" t="str">
        <f t="shared" si="8"/>
        <v>NoData</v>
      </c>
      <c r="AP25" t="s">
        <v>11</v>
      </c>
      <c r="AQ25" t="s">
        <v>11</v>
      </c>
      <c r="AR25" t="s">
        <v>11</v>
      </c>
      <c r="AS25" t="s">
        <v>11</v>
      </c>
      <c r="AT25" t="str">
        <f t="shared" si="11"/>
        <v>NoData</v>
      </c>
      <c r="AU25" t="str">
        <f t="shared" si="12"/>
        <v>NoData</v>
      </c>
      <c r="AV25" t="s">
        <v>11</v>
      </c>
      <c r="AW25" t="s">
        <v>11</v>
      </c>
      <c r="AX25" t="s">
        <v>11</v>
      </c>
      <c r="AY25" t="s">
        <v>11</v>
      </c>
      <c r="AZ25" t="str">
        <f t="shared" si="2"/>
        <v>NoData</v>
      </c>
      <c r="BA25" t="str">
        <f t="shared" si="3"/>
        <v>NoData</v>
      </c>
      <c r="BB25">
        <f t="shared" si="9"/>
        <v>83</v>
      </c>
      <c r="BC25" t="str">
        <f t="shared" si="10"/>
        <v>NoData</v>
      </c>
      <c r="BD25" t="s">
        <v>11</v>
      </c>
      <c r="BE25" t="s">
        <v>11</v>
      </c>
      <c r="BF25" t="s">
        <v>11</v>
      </c>
      <c r="BG25" t="s">
        <v>11</v>
      </c>
      <c r="BH25">
        <v>0</v>
      </c>
      <c r="BI25" t="s">
        <v>11</v>
      </c>
      <c r="BJ25" t="s">
        <v>11</v>
      </c>
      <c r="BK25" t="s">
        <v>11</v>
      </c>
      <c r="BL25" t="s">
        <v>11</v>
      </c>
      <c r="BM25" t="s">
        <v>11</v>
      </c>
      <c r="BN25" t="s">
        <v>11</v>
      </c>
      <c r="BO25" t="s">
        <v>11</v>
      </c>
      <c r="BP25" t="str">
        <f t="shared" si="4"/>
        <v>NoData</v>
      </c>
      <c r="BQ25" t="str">
        <f t="shared" si="5"/>
        <v>NoData</v>
      </c>
      <c r="BR25" t="s">
        <v>11</v>
      </c>
      <c r="BS25" t="s">
        <v>11</v>
      </c>
      <c r="BT25" t="s">
        <v>11</v>
      </c>
      <c r="BU25" t="s">
        <v>11</v>
      </c>
    </row>
    <row r="26" spans="1:73" x14ac:dyDescent="0.25">
      <c r="A26" s="5">
        <v>26573</v>
      </c>
      <c r="B26">
        <v>886</v>
      </c>
      <c r="C26" t="s">
        <v>11</v>
      </c>
      <c r="D26" t="s">
        <v>11</v>
      </c>
      <c r="E26" t="s">
        <v>11</v>
      </c>
      <c r="F26" t="s">
        <v>11</v>
      </c>
      <c r="G26" t="s">
        <v>11</v>
      </c>
      <c r="H26" t="s">
        <v>11</v>
      </c>
      <c r="I26" t="s">
        <v>11</v>
      </c>
      <c r="J26">
        <v>0</v>
      </c>
      <c r="K26" t="s">
        <v>11</v>
      </c>
      <c r="L26">
        <v>37400</v>
      </c>
      <c r="M26" t="s">
        <v>11</v>
      </c>
      <c r="N26" t="s">
        <v>11</v>
      </c>
      <c r="O26" t="s">
        <v>11</v>
      </c>
      <c r="P26" t="s">
        <v>11</v>
      </c>
      <c r="Q26" t="s">
        <v>11</v>
      </c>
      <c r="R26" t="s">
        <v>11</v>
      </c>
      <c r="S26" t="s">
        <v>11</v>
      </c>
      <c r="T26" s="34">
        <v>33350</v>
      </c>
      <c r="U26" s="34">
        <v>-8190</v>
      </c>
      <c r="V26" s="34">
        <v>1567</v>
      </c>
      <c r="W26" t="s">
        <v>11</v>
      </c>
      <c r="X26">
        <v>1947</v>
      </c>
      <c r="Y26" t="s">
        <v>11</v>
      </c>
      <c r="Z26">
        <v>1763</v>
      </c>
      <c r="AA26">
        <v>1225</v>
      </c>
      <c r="AB26">
        <v>11330</v>
      </c>
      <c r="AC26">
        <v>431</v>
      </c>
      <c r="AD26">
        <v>1526</v>
      </c>
      <c r="AE26" t="s">
        <v>11</v>
      </c>
      <c r="AF26">
        <v>3205</v>
      </c>
      <c r="AG26" t="s">
        <v>11</v>
      </c>
      <c r="AH26">
        <f t="shared" si="6"/>
        <v>1526</v>
      </c>
      <c r="AI26" t="str">
        <f t="shared" si="7"/>
        <v>NoData</v>
      </c>
      <c r="AJ26">
        <v>8815</v>
      </c>
      <c r="AK26" t="s">
        <v>11</v>
      </c>
      <c r="AL26">
        <v>13361</v>
      </c>
      <c r="AM26">
        <v>-5029</v>
      </c>
      <c r="AN26">
        <v>0</v>
      </c>
      <c r="AO26" t="str">
        <f t="shared" si="8"/>
        <v>NoData</v>
      </c>
      <c r="AP26" t="s">
        <v>11</v>
      </c>
      <c r="AQ26" t="s">
        <v>11</v>
      </c>
      <c r="AR26" t="s">
        <v>11</v>
      </c>
      <c r="AS26" t="s">
        <v>11</v>
      </c>
      <c r="AT26" t="str">
        <f t="shared" si="11"/>
        <v>NoData</v>
      </c>
      <c r="AU26" t="str">
        <f t="shared" si="12"/>
        <v>NoData</v>
      </c>
      <c r="AV26" t="s">
        <v>11</v>
      </c>
      <c r="AW26" t="s">
        <v>11</v>
      </c>
      <c r="AX26" t="s">
        <v>11</v>
      </c>
      <c r="AY26" t="s">
        <v>11</v>
      </c>
      <c r="AZ26" t="str">
        <f t="shared" si="2"/>
        <v>NoData</v>
      </c>
      <c r="BA26" t="str">
        <f t="shared" si="3"/>
        <v>NoData</v>
      </c>
      <c r="BB26">
        <f t="shared" si="9"/>
        <v>0</v>
      </c>
      <c r="BC26" t="str">
        <f t="shared" si="10"/>
        <v>NoData</v>
      </c>
      <c r="BD26" t="s">
        <v>11</v>
      </c>
      <c r="BE26" t="s">
        <v>11</v>
      </c>
      <c r="BF26" t="s">
        <v>11</v>
      </c>
      <c r="BG26" t="s">
        <v>11</v>
      </c>
      <c r="BH26">
        <v>0</v>
      </c>
      <c r="BI26" t="s">
        <v>11</v>
      </c>
      <c r="BJ26" t="s">
        <v>11</v>
      </c>
      <c r="BK26" t="s">
        <v>11</v>
      </c>
      <c r="BL26" t="s">
        <v>11</v>
      </c>
      <c r="BM26" t="s">
        <v>11</v>
      </c>
      <c r="BN26" t="s">
        <v>11</v>
      </c>
      <c r="BO26" t="s">
        <v>11</v>
      </c>
      <c r="BP26" t="str">
        <f t="shared" si="4"/>
        <v>NoData</v>
      </c>
      <c r="BQ26" t="str">
        <f t="shared" si="5"/>
        <v>NoData</v>
      </c>
      <c r="BR26" t="s">
        <v>11</v>
      </c>
      <c r="BS26" t="s">
        <v>11</v>
      </c>
      <c r="BT26" t="s">
        <v>11</v>
      </c>
      <c r="BU26" t="s">
        <v>11</v>
      </c>
    </row>
    <row r="27" spans="1:73" x14ac:dyDescent="0.25">
      <c r="A27" s="5">
        <v>26604</v>
      </c>
      <c r="B27">
        <v>497</v>
      </c>
      <c r="C27" t="s">
        <v>11</v>
      </c>
      <c r="D27" t="s">
        <v>11</v>
      </c>
      <c r="E27" t="s">
        <v>11</v>
      </c>
      <c r="F27" t="s">
        <v>11</v>
      </c>
      <c r="G27" t="s">
        <v>11</v>
      </c>
      <c r="H27" t="s">
        <v>11</v>
      </c>
      <c r="I27" t="s">
        <v>11</v>
      </c>
      <c r="J27">
        <v>1256</v>
      </c>
      <c r="K27" t="s">
        <v>11</v>
      </c>
      <c r="L27">
        <v>33890</v>
      </c>
      <c r="M27" t="s">
        <v>11</v>
      </c>
      <c r="N27" t="s">
        <v>11</v>
      </c>
      <c r="O27" t="s">
        <v>11</v>
      </c>
      <c r="P27" t="s">
        <v>11</v>
      </c>
      <c r="Q27" t="s">
        <v>11</v>
      </c>
      <c r="R27" t="s">
        <v>11</v>
      </c>
      <c r="S27" t="s">
        <v>11</v>
      </c>
      <c r="T27" s="34">
        <v>50550</v>
      </c>
      <c r="U27" s="34">
        <v>16590</v>
      </c>
      <c r="V27" s="34">
        <v>2490</v>
      </c>
      <c r="W27" t="s">
        <v>11</v>
      </c>
      <c r="X27">
        <v>3329</v>
      </c>
      <c r="Y27" t="s">
        <v>11</v>
      </c>
      <c r="Z27">
        <v>3039</v>
      </c>
      <c r="AA27">
        <v>2643</v>
      </c>
      <c r="AB27">
        <v>17261</v>
      </c>
      <c r="AC27">
        <v>7871</v>
      </c>
      <c r="AD27">
        <v>1754</v>
      </c>
      <c r="AE27" t="s">
        <v>11</v>
      </c>
      <c r="AF27">
        <v>2659</v>
      </c>
      <c r="AG27" t="s">
        <v>11</v>
      </c>
      <c r="AH27">
        <f t="shared" si="6"/>
        <v>1754</v>
      </c>
      <c r="AI27" t="str">
        <f t="shared" si="7"/>
        <v>NoData</v>
      </c>
      <c r="AJ27">
        <v>10505</v>
      </c>
      <c r="AK27" t="s">
        <v>11</v>
      </c>
      <c r="AL27">
        <v>16066</v>
      </c>
      <c r="AM27">
        <v>-1824</v>
      </c>
      <c r="AN27">
        <v>0</v>
      </c>
      <c r="AO27" t="str">
        <f t="shared" si="8"/>
        <v>NoData</v>
      </c>
      <c r="AP27" t="s">
        <v>11</v>
      </c>
      <c r="AQ27" t="s">
        <v>11</v>
      </c>
      <c r="AR27" t="s">
        <v>11</v>
      </c>
      <c r="AS27" t="s">
        <v>11</v>
      </c>
      <c r="AT27" t="str">
        <f t="shared" si="11"/>
        <v>NoData</v>
      </c>
      <c r="AU27" t="str">
        <f t="shared" si="12"/>
        <v>NoData</v>
      </c>
      <c r="AV27" t="s">
        <v>11</v>
      </c>
      <c r="AW27" t="s">
        <v>11</v>
      </c>
      <c r="AX27" t="s">
        <v>11</v>
      </c>
      <c r="AY27" t="s">
        <v>11</v>
      </c>
      <c r="AZ27" t="str">
        <f t="shared" si="2"/>
        <v>NoData</v>
      </c>
      <c r="BA27" t="str">
        <f t="shared" si="3"/>
        <v>NoData</v>
      </c>
      <c r="BB27">
        <f t="shared" si="9"/>
        <v>0</v>
      </c>
      <c r="BC27" t="str">
        <f t="shared" si="10"/>
        <v>NoData</v>
      </c>
      <c r="BD27" t="s">
        <v>11</v>
      </c>
      <c r="BE27" t="s">
        <v>11</v>
      </c>
      <c r="BF27" t="s">
        <v>11</v>
      </c>
      <c r="BG27" t="s">
        <v>11</v>
      </c>
      <c r="BH27">
        <v>0</v>
      </c>
      <c r="BI27" t="s">
        <v>11</v>
      </c>
      <c r="BJ27" t="s">
        <v>11</v>
      </c>
      <c r="BK27" t="s">
        <v>11</v>
      </c>
      <c r="BL27" t="s">
        <v>11</v>
      </c>
      <c r="BM27" t="s">
        <v>11</v>
      </c>
      <c r="BN27" t="s">
        <v>11</v>
      </c>
      <c r="BO27" t="s">
        <v>11</v>
      </c>
      <c r="BP27" t="str">
        <f t="shared" si="4"/>
        <v>NoData</v>
      </c>
      <c r="BQ27" t="str">
        <f t="shared" si="5"/>
        <v>NoData</v>
      </c>
      <c r="BR27" t="s">
        <v>11</v>
      </c>
      <c r="BS27" t="s">
        <v>11</v>
      </c>
      <c r="BT27" t="s">
        <v>11</v>
      </c>
      <c r="BU27" t="s">
        <v>11</v>
      </c>
    </row>
    <row r="28" spans="1:73" x14ac:dyDescent="0.25">
      <c r="A28" s="5">
        <v>26634</v>
      </c>
      <c r="B28">
        <v>449</v>
      </c>
      <c r="C28" t="s">
        <v>11</v>
      </c>
      <c r="D28" t="s">
        <v>11</v>
      </c>
      <c r="E28" t="s">
        <v>11</v>
      </c>
      <c r="F28" t="s">
        <v>11</v>
      </c>
      <c r="G28" t="s">
        <v>11</v>
      </c>
      <c r="H28" t="s">
        <v>11</v>
      </c>
      <c r="I28" t="s">
        <v>11</v>
      </c>
      <c r="J28">
        <v>993</v>
      </c>
      <c r="K28" t="s">
        <v>11</v>
      </c>
      <c r="L28">
        <v>38260</v>
      </c>
      <c r="M28" t="s">
        <v>11</v>
      </c>
      <c r="N28" t="s">
        <v>11</v>
      </c>
      <c r="O28" t="s">
        <v>11</v>
      </c>
      <c r="P28" t="s">
        <v>11</v>
      </c>
      <c r="Q28" t="s">
        <v>11</v>
      </c>
      <c r="R28" t="s">
        <v>11</v>
      </c>
      <c r="S28" t="s">
        <v>11</v>
      </c>
      <c r="T28" s="34">
        <v>55640</v>
      </c>
      <c r="U28" s="34">
        <v>17700</v>
      </c>
      <c r="V28" s="34">
        <v>1939</v>
      </c>
      <c r="W28" t="s">
        <v>11</v>
      </c>
      <c r="X28">
        <v>2108</v>
      </c>
      <c r="Y28" t="s">
        <v>11</v>
      </c>
      <c r="Z28">
        <v>2697</v>
      </c>
      <c r="AA28">
        <v>2195</v>
      </c>
      <c r="AB28">
        <v>15248</v>
      </c>
      <c r="AC28">
        <v>5916</v>
      </c>
      <c r="AD28">
        <v>1894</v>
      </c>
      <c r="AE28" t="s">
        <v>11</v>
      </c>
      <c r="AF28">
        <v>2500</v>
      </c>
      <c r="AG28" t="s">
        <v>11</v>
      </c>
      <c r="AH28">
        <f t="shared" si="6"/>
        <v>1894</v>
      </c>
      <c r="AI28" t="str">
        <f t="shared" si="7"/>
        <v>NoData</v>
      </c>
      <c r="AJ28">
        <v>12454</v>
      </c>
      <c r="AK28" t="s">
        <v>11</v>
      </c>
      <c r="AL28">
        <v>20707</v>
      </c>
      <c r="AM28">
        <v>2597</v>
      </c>
      <c r="AN28">
        <v>53</v>
      </c>
      <c r="AO28" t="str">
        <f t="shared" si="8"/>
        <v>NoData</v>
      </c>
      <c r="AP28" t="s">
        <v>11</v>
      </c>
      <c r="AQ28" t="s">
        <v>11</v>
      </c>
      <c r="AR28" t="s">
        <v>11</v>
      </c>
      <c r="AS28" t="s">
        <v>11</v>
      </c>
      <c r="AT28" t="str">
        <f t="shared" si="11"/>
        <v>NoData</v>
      </c>
      <c r="AU28" t="str">
        <f t="shared" si="12"/>
        <v>NoData</v>
      </c>
      <c r="AV28" t="s">
        <v>11</v>
      </c>
      <c r="AW28" t="s">
        <v>11</v>
      </c>
      <c r="AX28" t="s">
        <v>11</v>
      </c>
      <c r="AY28" t="s">
        <v>11</v>
      </c>
      <c r="AZ28" t="str">
        <f t="shared" si="2"/>
        <v>NoData</v>
      </c>
      <c r="BA28" t="str">
        <f t="shared" si="3"/>
        <v>NoData</v>
      </c>
      <c r="BB28">
        <f t="shared" si="9"/>
        <v>53</v>
      </c>
      <c r="BC28" t="str">
        <f t="shared" si="10"/>
        <v>NoData</v>
      </c>
      <c r="BD28" t="s">
        <v>11</v>
      </c>
      <c r="BE28" t="s">
        <v>11</v>
      </c>
      <c r="BF28" t="s">
        <v>11</v>
      </c>
      <c r="BG28" t="s">
        <v>11</v>
      </c>
      <c r="BH28">
        <v>0</v>
      </c>
      <c r="BI28" t="s">
        <v>11</v>
      </c>
      <c r="BJ28" t="s">
        <v>11</v>
      </c>
      <c r="BK28" t="s">
        <v>11</v>
      </c>
      <c r="BL28" t="s">
        <v>11</v>
      </c>
      <c r="BM28" t="s">
        <v>11</v>
      </c>
      <c r="BN28" t="s">
        <v>11</v>
      </c>
      <c r="BO28" t="s">
        <v>11</v>
      </c>
      <c r="BP28" t="str">
        <f t="shared" si="4"/>
        <v>NoData</v>
      </c>
      <c r="BQ28" t="str">
        <f t="shared" si="5"/>
        <v>NoData</v>
      </c>
      <c r="BR28" t="s">
        <v>11</v>
      </c>
      <c r="BS28" t="s">
        <v>11</v>
      </c>
      <c r="BT28" t="s">
        <v>11</v>
      </c>
      <c r="BU28" t="s">
        <v>11</v>
      </c>
    </row>
    <row r="29" spans="1:73" x14ac:dyDescent="0.25">
      <c r="A29" s="5">
        <v>26665</v>
      </c>
      <c r="B29">
        <v>247</v>
      </c>
      <c r="C29" t="s">
        <v>11</v>
      </c>
      <c r="D29" t="s">
        <v>11</v>
      </c>
      <c r="E29" t="s">
        <v>11</v>
      </c>
      <c r="F29" t="s">
        <v>11</v>
      </c>
      <c r="G29" t="s">
        <v>11</v>
      </c>
      <c r="H29" t="s">
        <v>11</v>
      </c>
      <c r="I29" t="s">
        <v>11</v>
      </c>
      <c r="J29">
        <v>472</v>
      </c>
      <c r="K29" t="s">
        <v>11</v>
      </c>
      <c r="L29">
        <v>5010</v>
      </c>
      <c r="M29">
        <v>-10917</v>
      </c>
      <c r="N29">
        <v>353</v>
      </c>
      <c r="O29" t="s">
        <v>11</v>
      </c>
      <c r="P29" t="s">
        <v>11</v>
      </c>
      <c r="Q29" t="s">
        <v>11</v>
      </c>
      <c r="R29" t="s">
        <v>11</v>
      </c>
      <c r="S29" t="s">
        <v>11</v>
      </c>
      <c r="T29" s="34">
        <v>37360</v>
      </c>
      <c r="U29" s="34">
        <v>8230</v>
      </c>
      <c r="V29" s="34">
        <v>2249</v>
      </c>
      <c r="W29" t="s">
        <v>11</v>
      </c>
      <c r="X29">
        <v>1982</v>
      </c>
      <c r="Y29" t="s">
        <v>11</v>
      </c>
      <c r="Z29">
        <v>2365</v>
      </c>
      <c r="AA29">
        <v>2059</v>
      </c>
      <c r="AB29">
        <v>17419</v>
      </c>
      <c r="AC29">
        <v>8926</v>
      </c>
      <c r="AD29">
        <v>1988</v>
      </c>
      <c r="AE29" t="s">
        <v>11</v>
      </c>
      <c r="AF29">
        <v>2791</v>
      </c>
      <c r="AG29" t="s">
        <v>11</v>
      </c>
      <c r="AH29">
        <f t="shared" si="6"/>
        <v>1988</v>
      </c>
      <c r="AI29" t="str">
        <f t="shared" si="7"/>
        <v>NoData</v>
      </c>
      <c r="AJ29">
        <v>11233</v>
      </c>
      <c r="AK29" t="s">
        <v>11</v>
      </c>
      <c r="AL29">
        <v>21675</v>
      </c>
      <c r="AM29">
        <v>3735</v>
      </c>
      <c r="AN29">
        <v>56</v>
      </c>
      <c r="AO29" t="str">
        <f t="shared" si="8"/>
        <v>NoData</v>
      </c>
      <c r="AP29" t="s">
        <v>11</v>
      </c>
      <c r="AQ29" t="s">
        <v>11</v>
      </c>
      <c r="AR29" t="s">
        <v>11</v>
      </c>
      <c r="AS29" t="s">
        <v>11</v>
      </c>
      <c r="AT29" t="str">
        <f t="shared" si="11"/>
        <v>NoData</v>
      </c>
      <c r="AU29" t="str">
        <f t="shared" si="12"/>
        <v>NoData</v>
      </c>
      <c r="AV29" t="s">
        <v>11</v>
      </c>
      <c r="AW29" t="s">
        <v>11</v>
      </c>
      <c r="AX29" t="s">
        <v>11</v>
      </c>
      <c r="AY29" t="s">
        <v>11</v>
      </c>
      <c r="AZ29" t="str">
        <f t="shared" si="2"/>
        <v>NoData</v>
      </c>
      <c r="BA29" t="str">
        <f t="shared" si="3"/>
        <v>NoData</v>
      </c>
      <c r="BB29">
        <f t="shared" si="9"/>
        <v>56</v>
      </c>
      <c r="BC29" t="str">
        <f t="shared" si="10"/>
        <v>NoData</v>
      </c>
      <c r="BD29" t="s">
        <v>11</v>
      </c>
      <c r="BE29" t="s">
        <v>11</v>
      </c>
      <c r="BF29" t="s">
        <v>11</v>
      </c>
      <c r="BG29" t="s">
        <v>11</v>
      </c>
      <c r="BH29">
        <v>0</v>
      </c>
      <c r="BI29" t="s">
        <v>11</v>
      </c>
      <c r="BJ29" t="s">
        <v>11</v>
      </c>
      <c r="BK29" t="s">
        <v>11</v>
      </c>
      <c r="BL29" t="s">
        <v>11</v>
      </c>
      <c r="BM29" t="s">
        <v>11</v>
      </c>
      <c r="BN29" t="s">
        <v>11</v>
      </c>
      <c r="BO29" t="s">
        <v>11</v>
      </c>
      <c r="BP29" t="str">
        <f t="shared" si="4"/>
        <v>NoData</v>
      </c>
      <c r="BQ29" t="str">
        <f t="shared" si="5"/>
        <v>NoData</v>
      </c>
      <c r="BR29" t="s">
        <v>11</v>
      </c>
      <c r="BS29" t="s">
        <v>11</v>
      </c>
      <c r="BT29" t="s">
        <v>11</v>
      </c>
      <c r="BU29" t="s">
        <v>11</v>
      </c>
    </row>
    <row r="30" spans="1:73" x14ac:dyDescent="0.25">
      <c r="A30" s="5">
        <v>26696</v>
      </c>
      <c r="B30">
        <v>462</v>
      </c>
      <c r="C30" t="s">
        <v>11</v>
      </c>
      <c r="D30" t="s">
        <v>11</v>
      </c>
      <c r="E30" t="s">
        <v>11</v>
      </c>
      <c r="F30" t="s">
        <v>11</v>
      </c>
      <c r="G30" t="s">
        <v>11</v>
      </c>
      <c r="H30" t="s">
        <v>11</v>
      </c>
      <c r="I30" t="s">
        <v>11</v>
      </c>
      <c r="J30">
        <v>1783</v>
      </c>
      <c r="K30" t="s">
        <v>11</v>
      </c>
      <c r="L30">
        <v>53830</v>
      </c>
      <c r="M30">
        <v>24535</v>
      </c>
      <c r="N30">
        <v>364</v>
      </c>
      <c r="O30" t="s">
        <v>11</v>
      </c>
      <c r="P30" t="s">
        <v>11</v>
      </c>
      <c r="Q30" t="s">
        <v>11</v>
      </c>
      <c r="R30" t="s">
        <v>11</v>
      </c>
      <c r="S30" t="s">
        <v>11</v>
      </c>
      <c r="T30" s="34">
        <v>39810</v>
      </c>
      <c r="U30" s="34">
        <v>10720</v>
      </c>
      <c r="V30" s="34">
        <v>2920</v>
      </c>
      <c r="W30" t="s">
        <v>11</v>
      </c>
      <c r="X30">
        <v>2274</v>
      </c>
      <c r="Y30" t="s">
        <v>11</v>
      </c>
      <c r="Z30">
        <v>4682</v>
      </c>
      <c r="AA30">
        <v>4239</v>
      </c>
      <c r="AB30">
        <v>15688</v>
      </c>
      <c r="AC30">
        <v>7621</v>
      </c>
      <c r="AD30">
        <v>1546</v>
      </c>
      <c r="AE30" t="s">
        <v>11</v>
      </c>
      <c r="AF30">
        <v>3109</v>
      </c>
      <c r="AG30" t="s">
        <v>11</v>
      </c>
      <c r="AH30">
        <f t="shared" si="6"/>
        <v>1546</v>
      </c>
      <c r="AI30" t="str">
        <f t="shared" si="7"/>
        <v>NoData</v>
      </c>
      <c r="AJ30">
        <v>9205</v>
      </c>
      <c r="AK30" t="s">
        <v>11</v>
      </c>
      <c r="AL30">
        <v>23867</v>
      </c>
      <c r="AM30">
        <v>7227</v>
      </c>
      <c r="AN30">
        <v>0</v>
      </c>
      <c r="AO30" t="str">
        <f t="shared" si="8"/>
        <v>NoData</v>
      </c>
      <c r="AP30" t="s">
        <v>11</v>
      </c>
      <c r="AQ30" t="s">
        <v>11</v>
      </c>
      <c r="AR30" t="s">
        <v>11</v>
      </c>
      <c r="AS30" t="s">
        <v>11</v>
      </c>
      <c r="AT30" t="str">
        <f t="shared" si="11"/>
        <v>NoData</v>
      </c>
      <c r="AU30" t="str">
        <f t="shared" si="12"/>
        <v>NoData</v>
      </c>
      <c r="AV30" t="s">
        <v>11</v>
      </c>
      <c r="AW30" t="s">
        <v>11</v>
      </c>
      <c r="AX30" t="s">
        <v>11</v>
      </c>
      <c r="AY30" t="s">
        <v>11</v>
      </c>
      <c r="AZ30" t="str">
        <f t="shared" si="2"/>
        <v>NoData</v>
      </c>
      <c r="BA30" t="str">
        <f t="shared" si="3"/>
        <v>NoData</v>
      </c>
      <c r="BB30">
        <f t="shared" si="9"/>
        <v>0</v>
      </c>
      <c r="BC30" t="str">
        <f t="shared" si="10"/>
        <v>NoData</v>
      </c>
      <c r="BD30" t="s">
        <v>11</v>
      </c>
      <c r="BE30" t="s">
        <v>11</v>
      </c>
      <c r="BF30" t="s">
        <v>11</v>
      </c>
      <c r="BG30" t="s">
        <v>11</v>
      </c>
      <c r="BH30">
        <v>20</v>
      </c>
      <c r="BI30" t="s">
        <v>11</v>
      </c>
      <c r="BJ30" t="s">
        <v>11</v>
      </c>
      <c r="BK30" t="s">
        <v>11</v>
      </c>
      <c r="BL30" t="s">
        <v>11</v>
      </c>
      <c r="BM30" t="s">
        <v>11</v>
      </c>
      <c r="BN30" t="s">
        <v>11</v>
      </c>
      <c r="BO30" t="s">
        <v>11</v>
      </c>
      <c r="BP30" t="str">
        <f t="shared" si="4"/>
        <v>NoData</v>
      </c>
      <c r="BQ30" t="str">
        <f t="shared" si="5"/>
        <v>NoData</v>
      </c>
      <c r="BR30" t="s">
        <v>11</v>
      </c>
      <c r="BS30" t="s">
        <v>11</v>
      </c>
      <c r="BT30" t="s">
        <v>11</v>
      </c>
      <c r="BU30" t="s">
        <v>11</v>
      </c>
    </row>
    <row r="31" spans="1:73" x14ac:dyDescent="0.25">
      <c r="A31" s="5">
        <v>26724</v>
      </c>
      <c r="B31">
        <v>1112</v>
      </c>
      <c r="C31" t="s">
        <v>11</v>
      </c>
      <c r="D31" t="s">
        <v>11</v>
      </c>
      <c r="E31" t="s">
        <v>11</v>
      </c>
      <c r="F31" t="s">
        <v>11</v>
      </c>
      <c r="G31" t="s">
        <v>11</v>
      </c>
      <c r="H31" t="s">
        <v>11</v>
      </c>
      <c r="I31" t="s">
        <v>11</v>
      </c>
      <c r="J31">
        <v>1824</v>
      </c>
      <c r="K31" t="s">
        <v>11</v>
      </c>
      <c r="L31">
        <v>51030</v>
      </c>
      <c r="M31">
        <v>19174</v>
      </c>
      <c r="N31">
        <v>1276</v>
      </c>
      <c r="O31" t="s">
        <v>11</v>
      </c>
      <c r="P31" t="s">
        <v>11</v>
      </c>
      <c r="Q31" t="s">
        <v>11</v>
      </c>
      <c r="R31" t="s">
        <v>11</v>
      </c>
      <c r="S31" t="s">
        <v>11</v>
      </c>
      <c r="T31" s="34">
        <v>59980</v>
      </c>
      <c r="U31" s="34">
        <v>28610</v>
      </c>
      <c r="V31" s="34">
        <v>3451</v>
      </c>
      <c r="W31" t="s">
        <v>11</v>
      </c>
      <c r="X31">
        <v>2704</v>
      </c>
      <c r="Y31" t="s">
        <v>11</v>
      </c>
      <c r="Z31">
        <v>3408</v>
      </c>
      <c r="AA31">
        <v>2985</v>
      </c>
      <c r="AB31">
        <v>25184</v>
      </c>
      <c r="AC31">
        <v>15919</v>
      </c>
      <c r="AD31">
        <v>1561</v>
      </c>
      <c r="AE31" t="s">
        <v>11</v>
      </c>
      <c r="AF31">
        <v>4684</v>
      </c>
      <c r="AG31" t="s">
        <v>11</v>
      </c>
      <c r="AH31">
        <f t="shared" si="6"/>
        <v>1561</v>
      </c>
      <c r="AI31" t="str">
        <f t="shared" si="7"/>
        <v>NoData</v>
      </c>
      <c r="AJ31">
        <v>12771</v>
      </c>
      <c r="AK31" t="s">
        <v>11</v>
      </c>
      <c r="AL31">
        <v>30243</v>
      </c>
      <c r="AM31">
        <v>12703</v>
      </c>
      <c r="AN31">
        <v>195</v>
      </c>
      <c r="AO31" t="str">
        <f t="shared" si="8"/>
        <v>NoData</v>
      </c>
      <c r="AP31" t="s">
        <v>11</v>
      </c>
      <c r="AQ31" t="s">
        <v>11</v>
      </c>
      <c r="AR31" t="s">
        <v>11</v>
      </c>
      <c r="AS31" t="s">
        <v>11</v>
      </c>
      <c r="AT31" t="str">
        <f t="shared" si="11"/>
        <v>NoData</v>
      </c>
      <c r="AU31" t="str">
        <f t="shared" si="12"/>
        <v>NoData</v>
      </c>
      <c r="AV31" t="s">
        <v>11</v>
      </c>
      <c r="AW31" t="s">
        <v>11</v>
      </c>
      <c r="AX31" t="s">
        <v>11</v>
      </c>
      <c r="AY31" t="s">
        <v>11</v>
      </c>
      <c r="AZ31" t="str">
        <f t="shared" si="2"/>
        <v>NoData</v>
      </c>
      <c r="BA31" t="str">
        <f t="shared" si="3"/>
        <v>NoData</v>
      </c>
      <c r="BB31">
        <f t="shared" si="9"/>
        <v>195</v>
      </c>
      <c r="BC31" t="str">
        <f t="shared" si="10"/>
        <v>NoData</v>
      </c>
      <c r="BD31" t="s">
        <v>11</v>
      </c>
      <c r="BE31" t="s">
        <v>11</v>
      </c>
      <c r="BF31" t="s">
        <v>11</v>
      </c>
      <c r="BG31" t="s">
        <v>11</v>
      </c>
      <c r="BH31">
        <v>32</v>
      </c>
      <c r="BI31" t="s">
        <v>11</v>
      </c>
      <c r="BJ31" t="s">
        <v>11</v>
      </c>
      <c r="BK31" t="s">
        <v>11</v>
      </c>
      <c r="BL31" t="s">
        <v>11</v>
      </c>
      <c r="BM31" t="s">
        <v>11</v>
      </c>
      <c r="BN31" t="s">
        <v>11</v>
      </c>
      <c r="BO31" t="s">
        <v>11</v>
      </c>
      <c r="BP31" t="str">
        <f t="shared" si="4"/>
        <v>NoData</v>
      </c>
      <c r="BQ31" t="str">
        <f t="shared" si="5"/>
        <v>NoData</v>
      </c>
      <c r="BR31" t="s">
        <v>11</v>
      </c>
      <c r="BS31" t="s">
        <v>11</v>
      </c>
      <c r="BT31" t="s">
        <v>11</v>
      </c>
      <c r="BU31" t="s">
        <v>11</v>
      </c>
    </row>
    <row r="32" spans="1:73" x14ac:dyDescent="0.25">
      <c r="A32" s="5">
        <v>26755</v>
      </c>
      <c r="B32">
        <v>2138</v>
      </c>
      <c r="C32" t="s">
        <v>11</v>
      </c>
      <c r="D32" t="s">
        <v>11</v>
      </c>
      <c r="E32" t="s">
        <v>11</v>
      </c>
      <c r="F32" t="s">
        <v>11</v>
      </c>
      <c r="G32" t="s">
        <v>11</v>
      </c>
      <c r="H32" t="s">
        <v>11</v>
      </c>
      <c r="I32" t="s">
        <v>11</v>
      </c>
      <c r="J32">
        <v>2726</v>
      </c>
      <c r="K32" t="s">
        <v>11</v>
      </c>
      <c r="L32">
        <v>70340</v>
      </c>
      <c r="M32">
        <v>36720</v>
      </c>
      <c r="N32">
        <v>1525</v>
      </c>
      <c r="O32" t="s">
        <v>11</v>
      </c>
      <c r="P32" t="s">
        <v>11</v>
      </c>
      <c r="Q32" t="s">
        <v>11</v>
      </c>
      <c r="R32" t="s">
        <v>11</v>
      </c>
      <c r="S32" t="s">
        <v>11</v>
      </c>
      <c r="T32" s="34">
        <v>101900</v>
      </c>
      <c r="U32" s="34">
        <v>66260</v>
      </c>
      <c r="V32" s="34">
        <v>4632</v>
      </c>
      <c r="W32" t="s">
        <v>11</v>
      </c>
      <c r="X32">
        <v>5337</v>
      </c>
      <c r="Y32" t="s">
        <v>11</v>
      </c>
      <c r="Z32">
        <v>4666</v>
      </c>
      <c r="AA32">
        <v>4274</v>
      </c>
      <c r="AB32">
        <v>36605</v>
      </c>
      <c r="AC32">
        <v>27493</v>
      </c>
      <c r="AD32">
        <v>2750</v>
      </c>
      <c r="AE32" t="s">
        <v>11</v>
      </c>
      <c r="AF32">
        <v>6423</v>
      </c>
      <c r="AG32" t="s">
        <v>11</v>
      </c>
      <c r="AH32">
        <f t="shared" si="6"/>
        <v>2750</v>
      </c>
      <c r="AI32" t="str">
        <f t="shared" si="7"/>
        <v>NoData</v>
      </c>
      <c r="AJ32">
        <v>17778</v>
      </c>
      <c r="AK32" t="s">
        <v>11</v>
      </c>
      <c r="AL32">
        <v>57820</v>
      </c>
      <c r="AM32">
        <v>40550</v>
      </c>
      <c r="AN32">
        <v>134</v>
      </c>
      <c r="AO32" t="str">
        <f t="shared" si="8"/>
        <v>NoData</v>
      </c>
      <c r="AP32" t="s">
        <v>11</v>
      </c>
      <c r="AQ32" t="s">
        <v>11</v>
      </c>
      <c r="AR32" t="s">
        <v>11</v>
      </c>
      <c r="AS32" t="s">
        <v>11</v>
      </c>
      <c r="AT32" t="str">
        <f t="shared" si="11"/>
        <v>NoData</v>
      </c>
      <c r="AU32" t="str">
        <f t="shared" si="12"/>
        <v>NoData</v>
      </c>
      <c r="AV32" t="s">
        <v>11</v>
      </c>
      <c r="AW32" t="s">
        <v>11</v>
      </c>
      <c r="AX32" t="s">
        <v>11</v>
      </c>
      <c r="AY32" t="s">
        <v>11</v>
      </c>
      <c r="AZ32" t="str">
        <f t="shared" si="2"/>
        <v>NoData</v>
      </c>
      <c r="BA32" t="str">
        <f t="shared" si="3"/>
        <v>NoData</v>
      </c>
      <c r="BB32">
        <f t="shared" si="9"/>
        <v>134</v>
      </c>
      <c r="BC32" t="str">
        <f t="shared" si="10"/>
        <v>NoData</v>
      </c>
      <c r="BD32" t="s">
        <v>11</v>
      </c>
      <c r="BE32" t="s">
        <v>11</v>
      </c>
      <c r="BF32" t="s">
        <v>11</v>
      </c>
      <c r="BG32" t="s">
        <v>11</v>
      </c>
      <c r="BH32">
        <v>11</v>
      </c>
      <c r="BI32" t="s">
        <v>11</v>
      </c>
      <c r="BJ32" t="s">
        <v>11</v>
      </c>
      <c r="BK32" t="s">
        <v>11</v>
      </c>
      <c r="BL32" t="s">
        <v>11</v>
      </c>
      <c r="BM32" t="s">
        <v>11</v>
      </c>
      <c r="BN32" t="s">
        <v>11</v>
      </c>
      <c r="BO32" t="s">
        <v>11</v>
      </c>
      <c r="BP32" t="str">
        <f t="shared" si="4"/>
        <v>NoData</v>
      </c>
      <c r="BQ32" t="str">
        <f t="shared" si="5"/>
        <v>NoData</v>
      </c>
      <c r="BR32" t="s">
        <v>11</v>
      </c>
      <c r="BS32" t="s">
        <v>11</v>
      </c>
      <c r="BT32" t="s">
        <v>11</v>
      </c>
      <c r="BU32" t="s">
        <v>11</v>
      </c>
    </row>
    <row r="33" spans="1:73" x14ac:dyDescent="0.25">
      <c r="A33" s="5">
        <v>26785</v>
      </c>
      <c r="B33">
        <v>3747</v>
      </c>
      <c r="C33" t="s">
        <v>11</v>
      </c>
      <c r="D33" t="s">
        <v>11</v>
      </c>
      <c r="E33" t="s">
        <v>11</v>
      </c>
      <c r="F33" t="s">
        <v>11</v>
      </c>
      <c r="G33" t="s">
        <v>11</v>
      </c>
      <c r="H33" t="s">
        <v>11</v>
      </c>
      <c r="I33" t="s">
        <v>11</v>
      </c>
      <c r="J33">
        <v>3588</v>
      </c>
      <c r="K33" t="s">
        <v>11</v>
      </c>
      <c r="L33">
        <v>73530</v>
      </c>
      <c r="M33">
        <v>39175</v>
      </c>
      <c r="N33">
        <v>1140</v>
      </c>
      <c r="O33" t="s">
        <v>11</v>
      </c>
      <c r="P33" t="s">
        <v>11</v>
      </c>
      <c r="Q33" t="s">
        <v>11</v>
      </c>
      <c r="R33" t="s">
        <v>11</v>
      </c>
      <c r="S33" t="s">
        <v>11</v>
      </c>
      <c r="T33" s="34">
        <v>110100</v>
      </c>
      <c r="U33" s="34">
        <v>66650</v>
      </c>
      <c r="V33" s="34">
        <v>3105</v>
      </c>
      <c r="W33" t="s">
        <v>11</v>
      </c>
      <c r="X33">
        <v>6054</v>
      </c>
      <c r="Y33" t="s">
        <v>11</v>
      </c>
      <c r="Z33">
        <v>6540</v>
      </c>
      <c r="AA33">
        <v>6042</v>
      </c>
      <c r="AB33">
        <v>39873</v>
      </c>
      <c r="AC33">
        <v>30521</v>
      </c>
      <c r="AD33">
        <v>4489</v>
      </c>
      <c r="AE33" t="s">
        <v>11</v>
      </c>
      <c r="AF33">
        <v>8039</v>
      </c>
      <c r="AG33" t="s">
        <v>11</v>
      </c>
      <c r="AH33">
        <f t="shared" si="6"/>
        <v>4489</v>
      </c>
      <c r="AI33" t="str">
        <f t="shared" si="7"/>
        <v>NoData</v>
      </c>
      <c r="AJ33">
        <v>27938</v>
      </c>
      <c r="AK33" t="s">
        <v>11</v>
      </c>
      <c r="AL33">
        <v>59461</v>
      </c>
      <c r="AM33">
        <v>41021</v>
      </c>
      <c r="AN33">
        <v>38</v>
      </c>
      <c r="AO33" t="str">
        <f t="shared" si="8"/>
        <v>NoData</v>
      </c>
      <c r="AP33" t="s">
        <v>11</v>
      </c>
      <c r="AQ33" t="s">
        <v>11</v>
      </c>
      <c r="AR33" t="s">
        <v>11</v>
      </c>
      <c r="AS33" t="s">
        <v>11</v>
      </c>
      <c r="AT33" t="str">
        <f t="shared" si="11"/>
        <v>NoData</v>
      </c>
      <c r="AU33" t="str">
        <f t="shared" si="12"/>
        <v>NoData</v>
      </c>
      <c r="AV33" t="s">
        <v>11</v>
      </c>
      <c r="AW33" t="s">
        <v>11</v>
      </c>
      <c r="AX33" t="s">
        <v>11</v>
      </c>
      <c r="AY33" t="s">
        <v>11</v>
      </c>
      <c r="AZ33" t="str">
        <f t="shared" si="2"/>
        <v>NoData</v>
      </c>
      <c r="BA33" t="str">
        <f t="shared" si="3"/>
        <v>NoData</v>
      </c>
      <c r="BB33">
        <f t="shared" si="9"/>
        <v>38</v>
      </c>
      <c r="BC33" t="str">
        <f t="shared" si="10"/>
        <v>NoData</v>
      </c>
      <c r="BD33" t="s">
        <v>11</v>
      </c>
      <c r="BE33" t="s">
        <v>11</v>
      </c>
      <c r="BF33" t="s">
        <v>11</v>
      </c>
      <c r="BG33" t="s">
        <v>11</v>
      </c>
      <c r="BH33">
        <v>19</v>
      </c>
      <c r="BI33" t="s">
        <v>11</v>
      </c>
      <c r="BJ33" t="s">
        <v>11</v>
      </c>
      <c r="BK33" t="s">
        <v>11</v>
      </c>
      <c r="BL33" t="s">
        <v>11</v>
      </c>
      <c r="BM33" t="s">
        <v>11</v>
      </c>
      <c r="BN33" t="s">
        <v>11</v>
      </c>
      <c r="BO33" t="s">
        <v>11</v>
      </c>
      <c r="BP33" t="str">
        <f t="shared" si="4"/>
        <v>NoData</v>
      </c>
      <c r="BQ33" t="str">
        <f t="shared" si="5"/>
        <v>NoData</v>
      </c>
      <c r="BR33" t="s">
        <v>11</v>
      </c>
      <c r="BS33" t="s">
        <v>11</v>
      </c>
      <c r="BT33" t="s">
        <v>11</v>
      </c>
      <c r="BU33" t="s">
        <v>11</v>
      </c>
    </row>
    <row r="34" spans="1:73" x14ac:dyDescent="0.25">
      <c r="A34" s="5">
        <v>26816</v>
      </c>
      <c r="B34">
        <v>2534</v>
      </c>
      <c r="C34" t="s">
        <v>11</v>
      </c>
      <c r="D34" t="s">
        <v>11</v>
      </c>
      <c r="E34" t="s">
        <v>11</v>
      </c>
      <c r="F34" t="s">
        <v>11</v>
      </c>
      <c r="G34" t="s">
        <v>11</v>
      </c>
      <c r="H34" t="s">
        <v>11</v>
      </c>
      <c r="I34" t="s">
        <v>11</v>
      </c>
      <c r="J34">
        <v>2747</v>
      </c>
      <c r="K34" t="s">
        <v>11</v>
      </c>
      <c r="L34">
        <v>70970</v>
      </c>
      <c r="M34">
        <v>38883</v>
      </c>
      <c r="N34">
        <v>1464</v>
      </c>
      <c r="O34" t="s">
        <v>11</v>
      </c>
      <c r="P34" t="s">
        <v>11</v>
      </c>
      <c r="Q34" t="s">
        <v>11</v>
      </c>
      <c r="R34" t="s">
        <v>11</v>
      </c>
      <c r="S34" t="s">
        <v>11</v>
      </c>
      <c r="T34" s="34">
        <v>102400</v>
      </c>
      <c r="U34" s="34">
        <v>61630</v>
      </c>
      <c r="V34" s="34">
        <v>2471</v>
      </c>
      <c r="W34" t="s">
        <v>11</v>
      </c>
      <c r="X34">
        <v>4829</v>
      </c>
      <c r="Y34" t="s">
        <v>11</v>
      </c>
      <c r="Z34">
        <v>5958</v>
      </c>
      <c r="AA34">
        <v>5279</v>
      </c>
      <c r="AB34">
        <v>32359</v>
      </c>
      <c r="AC34">
        <v>23021</v>
      </c>
      <c r="AD34">
        <v>4764</v>
      </c>
      <c r="AE34" t="s">
        <v>11</v>
      </c>
      <c r="AF34">
        <v>6190</v>
      </c>
      <c r="AG34" t="s">
        <v>11</v>
      </c>
      <c r="AH34">
        <f t="shared" si="6"/>
        <v>4764</v>
      </c>
      <c r="AI34" t="str">
        <f t="shared" si="7"/>
        <v>NoData</v>
      </c>
      <c r="AJ34">
        <v>29076</v>
      </c>
      <c r="AK34" t="s">
        <v>11</v>
      </c>
      <c r="AL34">
        <v>53947</v>
      </c>
      <c r="AM34">
        <v>36097</v>
      </c>
      <c r="AN34">
        <v>44</v>
      </c>
      <c r="AO34" t="str">
        <f t="shared" si="8"/>
        <v>NoData</v>
      </c>
      <c r="AP34" t="s">
        <v>11</v>
      </c>
      <c r="AQ34" t="s">
        <v>11</v>
      </c>
      <c r="AR34" t="s">
        <v>11</v>
      </c>
      <c r="AS34" t="s">
        <v>11</v>
      </c>
      <c r="AT34" t="str">
        <f t="shared" si="11"/>
        <v>NoData</v>
      </c>
      <c r="AU34" t="str">
        <f t="shared" si="12"/>
        <v>NoData</v>
      </c>
      <c r="AV34" t="s">
        <v>11</v>
      </c>
      <c r="AW34" t="s">
        <v>11</v>
      </c>
      <c r="AX34" t="s">
        <v>11</v>
      </c>
      <c r="AY34" t="s">
        <v>11</v>
      </c>
      <c r="AZ34" t="str">
        <f t="shared" si="2"/>
        <v>NoData</v>
      </c>
      <c r="BA34" t="str">
        <f t="shared" si="3"/>
        <v>NoData</v>
      </c>
      <c r="BB34">
        <f t="shared" si="9"/>
        <v>44</v>
      </c>
      <c r="BC34" t="str">
        <f t="shared" si="10"/>
        <v>NoData</v>
      </c>
      <c r="BD34" t="s">
        <v>11</v>
      </c>
      <c r="BE34" t="s">
        <v>11</v>
      </c>
      <c r="BF34" t="s">
        <v>11</v>
      </c>
      <c r="BG34" t="s">
        <v>11</v>
      </c>
      <c r="BH34">
        <v>35</v>
      </c>
      <c r="BI34" t="s">
        <v>11</v>
      </c>
      <c r="BJ34" t="s">
        <v>11</v>
      </c>
      <c r="BK34" t="s">
        <v>11</v>
      </c>
      <c r="BL34" t="s">
        <v>11</v>
      </c>
      <c r="BM34" t="s">
        <v>11</v>
      </c>
      <c r="BN34" t="s">
        <v>11</v>
      </c>
      <c r="BO34" t="s">
        <v>11</v>
      </c>
      <c r="BP34" t="str">
        <f t="shared" si="4"/>
        <v>NoData</v>
      </c>
      <c r="BQ34" t="str">
        <f t="shared" si="5"/>
        <v>NoData</v>
      </c>
      <c r="BR34" t="s">
        <v>11</v>
      </c>
      <c r="BS34" t="s">
        <v>11</v>
      </c>
      <c r="BT34" t="s">
        <v>11</v>
      </c>
      <c r="BU34" t="s">
        <v>11</v>
      </c>
    </row>
    <row r="35" spans="1:73" x14ac:dyDescent="0.25">
      <c r="A35" s="5">
        <v>26846</v>
      </c>
      <c r="B35">
        <v>2807</v>
      </c>
      <c r="C35" t="s">
        <v>11</v>
      </c>
      <c r="D35" t="s">
        <v>11</v>
      </c>
      <c r="E35" t="s">
        <v>11</v>
      </c>
      <c r="F35" t="s">
        <v>11</v>
      </c>
      <c r="G35" t="s">
        <v>11</v>
      </c>
      <c r="H35" t="s">
        <v>11</v>
      </c>
      <c r="I35" t="s">
        <v>11</v>
      </c>
      <c r="J35">
        <v>3628</v>
      </c>
      <c r="K35" t="s">
        <v>11</v>
      </c>
      <c r="L35">
        <v>81460</v>
      </c>
      <c r="M35">
        <v>50261</v>
      </c>
      <c r="N35">
        <v>1455</v>
      </c>
      <c r="O35" t="s">
        <v>11</v>
      </c>
      <c r="P35" t="s">
        <v>11</v>
      </c>
      <c r="Q35" t="s">
        <v>11</v>
      </c>
      <c r="R35" t="s">
        <v>11</v>
      </c>
      <c r="S35" t="s">
        <v>11</v>
      </c>
      <c r="T35" s="34">
        <v>117900</v>
      </c>
      <c r="U35" s="34">
        <v>75260</v>
      </c>
      <c r="V35" s="34">
        <v>2889</v>
      </c>
      <c r="W35" t="s">
        <v>11</v>
      </c>
      <c r="X35">
        <v>6550</v>
      </c>
      <c r="Y35" t="s">
        <v>11</v>
      </c>
      <c r="Z35">
        <v>6617</v>
      </c>
      <c r="AA35">
        <v>5881</v>
      </c>
      <c r="AB35">
        <v>39357</v>
      </c>
      <c r="AC35">
        <v>29994</v>
      </c>
      <c r="AD35">
        <v>5348</v>
      </c>
      <c r="AE35" t="s">
        <v>11</v>
      </c>
      <c r="AF35">
        <v>5873</v>
      </c>
      <c r="AG35" t="s">
        <v>11</v>
      </c>
      <c r="AH35">
        <f t="shared" si="6"/>
        <v>5348</v>
      </c>
      <c r="AI35" t="str">
        <f t="shared" si="7"/>
        <v>NoData</v>
      </c>
      <c r="AJ35">
        <v>33312</v>
      </c>
      <c r="AK35" t="s">
        <v>11</v>
      </c>
      <c r="AL35">
        <v>65416</v>
      </c>
      <c r="AM35">
        <v>52286</v>
      </c>
      <c r="AN35">
        <v>79</v>
      </c>
      <c r="AO35" t="str">
        <f t="shared" si="8"/>
        <v>NoData</v>
      </c>
      <c r="AP35" t="s">
        <v>11</v>
      </c>
      <c r="AQ35" t="s">
        <v>11</v>
      </c>
      <c r="AR35" t="s">
        <v>11</v>
      </c>
      <c r="AS35" t="s">
        <v>11</v>
      </c>
      <c r="AT35" t="str">
        <f t="shared" si="11"/>
        <v>NoData</v>
      </c>
      <c r="AU35" t="str">
        <f t="shared" si="12"/>
        <v>NoData</v>
      </c>
      <c r="AV35" t="s">
        <v>11</v>
      </c>
      <c r="AW35" t="s">
        <v>11</v>
      </c>
      <c r="AX35" t="s">
        <v>11</v>
      </c>
      <c r="AY35" t="s">
        <v>11</v>
      </c>
      <c r="AZ35" t="str">
        <f t="shared" si="2"/>
        <v>NoData</v>
      </c>
      <c r="BA35" t="str">
        <f t="shared" si="3"/>
        <v>NoData</v>
      </c>
      <c r="BB35">
        <f t="shared" si="9"/>
        <v>79</v>
      </c>
      <c r="BC35" t="str">
        <f t="shared" si="10"/>
        <v>NoData</v>
      </c>
      <c r="BD35" t="s">
        <v>11</v>
      </c>
      <c r="BE35" t="s">
        <v>11</v>
      </c>
      <c r="BF35" t="s">
        <v>11</v>
      </c>
      <c r="BG35" t="s">
        <v>11</v>
      </c>
      <c r="BH35">
        <v>36</v>
      </c>
      <c r="BI35" t="s">
        <v>11</v>
      </c>
      <c r="BJ35" t="s">
        <v>11</v>
      </c>
      <c r="BK35" t="s">
        <v>11</v>
      </c>
      <c r="BL35" t="s">
        <v>11</v>
      </c>
      <c r="BM35" t="s">
        <v>11</v>
      </c>
      <c r="BN35" t="s">
        <v>11</v>
      </c>
      <c r="BO35" t="s">
        <v>11</v>
      </c>
      <c r="BP35" t="str">
        <f t="shared" si="4"/>
        <v>NoData</v>
      </c>
      <c r="BQ35" t="str">
        <f t="shared" si="5"/>
        <v>NoData</v>
      </c>
      <c r="BR35" t="s">
        <v>11</v>
      </c>
      <c r="BS35" t="s">
        <v>11</v>
      </c>
      <c r="BT35" t="s">
        <v>11</v>
      </c>
      <c r="BU35" t="s">
        <v>11</v>
      </c>
    </row>
    <row r="36" spans="1:73" x14ac:dyDescent="0.25">
      <c r="A36" s="5">
        <v>26877</v>
      </c>
      <c r="B36">
        <v>2877</v>
      </c>
      <c r="C36" t="s">
        <v>11</v>
      </c>
      <c r="D36" t="s">
        <v>11</v>
      </c>
      <c r="E36" t="s">
        <v>11</v>
      </c>
      <c r="F36" t="s">
        <v>11</v>
      </c>
      <c r="G36" t="s">
        <v>11</v>
      </c>
      <c r="H36" t="s">
        <v>11</v>
      </c>
      <c r="I36" t="s">
        <v>11</v>
      </c>
      <c r="J36">
        <v>1722</v>
      </c>
      <c r="K36" t="s">
        <v>11</v>
      </c>
      <c r="L36">
        <v>74160</v>
      </c>
      <c r="M36">
        <v>39151</v>
      </c>
      <c r="N36">
        <v>1143</v>
      </c>
      <c r="O36" t="s">
        <v>11</v>
      </c>
      <c r="P36" t="s">
        <v>11</v>
      </c>
      <c r="Q36" t="s">
        <v>11</v>
      </c>
      <c r="R36" t="s">
        <v>11</v>
      </c>
      <c r="S36" t="s">
        <v>11</v>
      </c>
      <c r="T36" s="34">
        <v>104600</v>
      </c>
      <c r="U36" s="34">
        <v>59210</v>
      </c>
      <c r="V36" s="34">
        <v>3803</v>
      </c>
      <c r="W36" t="s">
        <v>11</v>
      </c>
      <c r="X36">
        <v>5921</v>
      </c>
      <c r="Y36" t="s">
        <v>11</v>
      </c>
      <c r="Z36">
        <v>5864</v>
      </c>
      <c r="AA36">
        <v>5021</v>
      </c>
      <c r="AB36">
        <v>37166</v>
      </c>
      <c r="AC36">
        <v>27661</v>
      </c>
      <c r="AD36">
        <v>4907</v>
      </c>
      <c r="AE36" t="s">
        <v>11</v>
      </c>
      <c r="AF36">
        <v>4857</v>
      </c>
      <c r="AG36" t="s">
        <v>11</v>
      </c>
      <c r="AH36">
        <f t="shared" si="6"/>
        <v>4907</v>
      </c>
      <c r="AI36" t="str">
        <f t="shared" si="7"/>
        <v>NoData</v>
      </c>
      <c r="AJ36">
        <v>30027</v>
      </c>
      <c r="AK36" t="s">
        <v>11</v>
      </c>
      <c r="AL36">
        <v>59937</v>
      </c>
      <c r="AM36">
        <v>43997</v>
      </c>
      <c r="AN36">
        <v>84</v>
      </c>
      <c r="AO36" t="str">
        <f t="shared" si="8"/>
        <v>NoData</v>
      </c>
      <c r="AP36" t="s">
        <v>11</v>
      </c>
      <c r="AQ36" t="s">
        <v>11</v>
      </c>
      <c r="AR36" t="s">
        <v>11</v>
      </c>
      <c r="AS36" t="s">
        <v>11</v>
      </c>
      <c r="AT36" t="str">
        <f t="shared" si="11"/>
        <v>NoData</v>
      </c>
      <c r="AU36" t="str">
        <f t="shared" si="12"/>
        <v>NoData</v>
      </c>
      <c r="AV36" t="s">
        <v>11</v>
      </c>
      <c r="AW36" t="s">
        <v>11</v>
      </c>
      <c r="AX36" t="s">
        <v>11</v>
      </c>
      <c r="AY36" t="s">
        <v>11</v>
      </c>
      <c r="AZ36" t="str">
        <f t="shared" si="2"/>
        <v>NoData</v>
      </c>
      <c r="BA36" t="str">
        <f t="shared" si="3"/>
        <v>NoData</v>
      </c>
      <c r="BB36">
        <f t="shared" si="9"/>
        <v>84</v>
      </c>
      <c r="BC36" t="str">
        <f t="shared" si="10"/>
        <v>NoData</v>
      </c>
      <c r="BD36" t="s">
        <v>11</v>
      </c>
      <c r="BE36" t="s">
        <v>11</v>
      </c>
      <c r="BF36" t="s">
        <v>11</v>
      </c>
      <c r="BG36" t="s">
        <v>11</v>
      </c>
      <c r="BH36">
        <v>0</v>
      </c>
      <c r="BI36" t="s">
        <v>11</v>
      </c>
      <c r="BJ36" t="s">
        <v>11</v>
      </c>
      <c r="BK36" t="s">
        <v>11</v>
      </c>
      <c r="BL36" t="s">
        <v>11</v>
      </c>
      <c r="BM36" t="s">
        <v>11</v>
      </c>
      <c r="BN36" t="s">
        <v>11</v>
      </c>
      <c r="BO36" t="s">
        <v>11</v>
      </c>
      <c r="BP36" t="str">
        <f t="shared" si="4"/>
        <v>NoData</v>
      </c>
      <c r="BQ36" t="str">
        <f t="shared" si="5"/>
        <v>NoData</v>
      </c>
      <c r="BR36" t="s">
        <v>11</v>
      </c>
      <c r="BS36" t="s">
        <v>11</v>
      </c>
      <c r="BT36" t="s">
        <v>11</v>
      </c>
      <c r="BU36" t="s">
        <v>11</v>
      </c>
    </row>
    <row r="37" spans="1:73" x14ac:dyDescent="0.25">
      <c r="A37" s="5">
        <v>26908</v>
      </c>
      <c r="B37">
        <v>2322</v>
      </c>
      <c r="C37" t="s">
        <v>11</v>
      </c>
      <c r="D37" t="s">
        <v>11</v>
      </c>
      <c r="E37" t="s">
        <v>11</v>
      </c>
      <c r="F37" t="s">
        <v>11</v>
      </c>
      <c r="G37" t="s">
        <v>11</v>
      </c>
      <c r="H37" t="s">
        <v>11</v>
      </c>
      <c r="I37" t="s">
        <v>11</v>
      </c>
      <c r="J37">
        <v>1066</v>
      </c>
      <c r="K37" t="s">
        <v>11</v>
      </c>
      <c r="L37">
        <v>66420</v>
      </c>
      <c r="M37">
        <v>32957</v>
      </c>
      <c r="N37">
        <v>418</v>
      </c>
      <c r="O37" t="s">
        <v>11</v>
      </c>
      <c r="P37" t="s">
        <v>11</v>
      </c>
      <c r="Q37" t="s">
        <v>11</v>
      </c>
      <c r="R37" t="s">
        <v>11</v>
      </c>
      <c r="S37" t="s">
        <v>11</v>
      </c>
      <c r="T37" s="34">
        <v>92510</v>
      </c>
      <c r="U37" s="34">
        <v>47670</v>
      </c>
      <c r="V37" s="34">
        <v>4605</v>
      </c>
      <c r="W37" t="s">
        <v>11</v>
      </c>
      <c r="X37">
        <v>5053</v>
      </c>
      <c r="Y37" t="s">
        <v>11</v>
      </c>
      <c r="Z37">
        <v>6500</v>
      </c>
      <c r="AA37">
        <v>5704</v>
      </c>
      <c r="AB37">
        <v>34153</v>
      </c>
      <c r="AC37">
        <v>24380</v>
      </c>
      <c r="AD37">
        <v>3749</v>
      </c>
      <c r="AE37" t="s">
        <v>11</v>
      </c>
      <c r="AF37">
        <v>4917</v>
      </c>
      <c r="AG37" t="s">
        <v>11</v>
      </c>
      <c r="AH37">
        <f t="shared" si="6"/>
        <v>3749</v>
      </c>
      <c r="AI37" t="str">
        <f t="shared" si="7"/>
        <v>NoData</v>
      </c>
      <c r="AJ37">
        <v>23052</v>
      </c>
      <c r="AK37" t="s">
        <v>11</v>
      </c>
      <c r="AL37">
        <v>53397</v>
      </c>
      <c r="AM37">
        <v>35537</v>
      </c>
      <c r="AN37">
        <v>92</v>
      </c>
      <c r="AO37" t="str">
        <f t="shared" si="8"/>
        <v>NoData</v>
      </c>
      <c r="AP37" t="s">
        <v>11</v>
      </c>
      <c r="AQ37" t="s">
        <v>11</v>
      </c>
      <c r="AR37" t="s">
        <v>11</v>
      </c>
      <c r="AS37" t="s">
        <v>11</v>
      </c>
      <c r="AT37" t="str">
        <f t="shared" si="11"/>
        <v>NoData</v>
      </c>
      <c r="AU37" t="str">
        <f t="shared" si="12"/>
        <v>NoData</v>
      </c>
      <c r="AV37" t="s">
        <v>11</v>
      </c>
      <c r="AW37" t="s">
        <v>11</v>
      </c>
      <c r="AX37" t="s">
        <v>11</v>
      </c>
      <c r="AY37" t="s">
        <v>11</v>
      </c>
      <c r="AZ37" t="str">
        <f t="shared" si="2"/>
        <v>NoData</v>
      </c>
      <c r="BA37" t="str">
        <f t="shared" si="3"/>
        <v>NoData</v>
      </c>
      <c r="BB37">
        <f t="shared" si="9"/>
        <v>92</v>
      </c>
      <c r="BC37" t="str">
        <f t="shared" si="10"/>
        <v>NoData</v>
      </c>
      <c r="BD37" t="s">
        <v>11</v>
      </c>
      <c r="BE37" t="s">
        <v>11</v>
      </c>
      <c r="BF37" t="s">
        <v>11</v>
      </c>
      <c r="BG37" t="s">
        <v>11</v>
      </c>
      <c r="BH37">
        <v>0</v>
      </c>
      <c r="BI37" t="s">
        <v>11</v>
      </c>
      <c r="BJ37" t="s">
        <v>11</v>
      </c>
      <c r="BK37" t="s">
        <v>11</v>
      </c>
      <c r="BL37" t="s">
        <v>11</v>
      </c>
      <c r="BM37" t="s">
        <v>11</v>
      </c>
      <c r="BN37" t="s">
        <v>11</v>
      </c>
      <c r="BO37" t="s">
        <v>11</v>
      </c>
      <c r="BP37" t="str">
        <f t="shared" si="4"/>
        <v>NoData</v>
      </c>
      <c r="BQ37" t="str">
        <f t="shared" si="5"/>
        <v>NoData</v>
      </c>
      <c r="BR37" t="s">
        <v>11</v>
      </c>
      <c r="BS37" t="s">
        <v>11</v>
      </c>
      <c r="BT37" t="s">
        <v>11</v>
      </c>
      <c r="BU37" t="s">
        <v>11</v>
      </c>
    </row>
    <row r="38" spans="1:73" x14ac:dyDescent="0.25">
      <c r="A38" s="5">
        <v>26938</v>
      </c>
      <c r="B38">
        <v>1435</v>
      </c>
      <c r="C38" t="s">
        <v>11</v>
      </c>
      <c r="D38" t="s">
        <v>11</v>
      </c>
      <c r="E38" t="s">
        <v>11</v>
      </c>
      <c r="F38" t="s">
        <v>11</v>
      </c>
      <c r="G38" t="s">
        <v>11</v>
      </c>
      <c r="H38" t="s">
        <v>11</v>
      </c>
      <c r="I38" t="s">
        <v>11</v>
      </c>
      <c r="J38">
        <v>349</v>
      </c>
      <c r="K38" t="s">
        <v>11</v>
      </c>
      <c r="L38">
        <v>53160</v>
      </c>
      <c r="M38">
        <v>18655</v>
      </c>
      <c r="N38">
        <v>0</v>
      </c>
      <c r="O38" t="s">
        <v>11</v>
      </c>
      <c r="P38" t="s">
        <v>11</v>
      </c>
      <c r="Q38" t="s">
        <v>11</v>
      </c>
      <c r="R38" t="s">
        <v>11</v>
      </c>
      <c r="S38" t="s">
        <v>11</v>
      </c>
      <c r="T38" s="34">
        <v>61620</v>
      </c>
      <c r="U38" s="34">
        <v>21140</v>
      </c>
      <c r="V38" s="34">
        <v>4647</v>
      </c>
      <c r="W38" t="s">
        <v>11</v>
      </c>
      <c r="X38">
        <v>4188</v>
      </c>
      <c r="Y38" t="s">
        <v>11</v>
      </c>
      <c r="Z38">
        <v>3968</v>
      </c>
      <c r="AA38">
        <v>3320</v>
      </c>
      <c r="AB38">
        <v>26857</v>
      </c>
      <c r="AC38">
        <v>16608</v>
      </c>
      <c r="AD38">
        <v>3278</v>
      </c>
      <c r="AE38" t="s">
        <v>11</v>
      </c>
      <c r="AF38">
        <v>5015</v>
      </c>
      <c r="AG38" t="s">
        <v>11</v>
      </c>
      <c r="AH38">
        <f t="shared" si="6"/>
        <v>3278</v>
      </c>
      <c r="AI38" t="str">
        <f t="shared" si="7"/>
        <v>NoData</v>
      </c>
      <c r="AJ38">
        <v>17893</v>
      </c>
      <c r="AK38" t="s">
        <v>11</v>
      </c>
      <c r="AL38">
        <v>31898</v>
      </c>
      <c r="AM38">
        <v>14448</v>
      </c>
      <c r="AN38">
        <v>41</v>
      </c>
      <c r="AO38" t="str">
        <f t="shared" si="8"/>
        <v>NoData</v>
      </c>
      <c r="AP38" t="s">
        <v>11</v>
      </c>
      <c r="AQ38" t="s">
        <v>11</v>
      </c>
      <c r="AR38" t="s">
        <v>11</v>
      </c>
      <c r="AS38" t="s">
        <v>11</v>
      </c>
      <c r="AT38" t="str">
        <f t="shared" si="11"/>
        <v>NoData</v>
      </c>
      <c r="AU38" t="str">
        <f t="shared" si="12"/>
        <v>NoData</v>
      </c>
      <c r="AV38" t="s">
        <v>11</v>
      </c>
      <c r="AW38" t="s">
        <v>11</v>
      </c>
      <c r="AX38" t="s">
        <v>11</v>
      </c>
      <c r="AY38" t="s">
        <v>11</v>
      </c>
      <c r="AZ38" t="str">
        <f t="shared" si="2"/>
        <v>NoData</v>
      </c>
      <c r="BA38" t="str">
        <f t="shared" si="3"/>
        <v>NoData</v>
      </c>
      <c r="BB38">
        <f t="shared" si="9"/>
        <v>41</v>
      </c>
      <c r="BC38" t="str">
        <f t="shared" si="10"/>
        <v>NoData</v>
      </c>
      <c r="BD38" t="s">
        <v>11</v>
      </c>
      <c r="BE38" t="s">
        <v>11</v>
      </c>
      <c r="BF38" t="s">
        <v>11</v>
      </c>
      <c r="BG38" t="s">
        <v>11</v>
      </c>
      <c r="BH38">
        <v>0</v>
      </c>
      <c r="BI38" t="s">
        <v>11</v>
      </c>
      <c r="BJ38" t="s">
        <v>11</v>
      </c>
      <c r="BK38" t="s">
        <v>11</v>
      </c>
      <c r="BL38" t="s">
        <v>11</v>
      </c>
      <c r="BM38" t="s">
        <v>11</v>
      </c>
      <c r="BN38" t="s">
        <v>11</v>
      </c>
      <c r="BO38" t="s">
        <v>11</v>
      </c>
      <c r="BP38" t="str">
        <f t="shared" si="4"/>
        <v>NoData</v>
      </c>
      <c r="BQ38" t="str">
        <f t="shared" si="5"/>
        <v>NoData</v>
      </c>
      <c r="BR38" t="s">
        <v>11</v>
      </c>
      <c r="BS38" t="s">
        <v>11</v>
      </c>
      <c r="BT38" t="s">
        <v>11</v>
      </c>
      <c r="BU38" t="s">
        <v>11</v>
      </c>
    </row>
    <row r="39" spans="1:73" x14ac:dyDescent="0.25">
      <c r="A39" s="5">
        <v>26969</v>
      </c>
      <c r="B39">
        <v>514</v>
      </c>
      <c r="C39" t="s">
        <v>11</v>
      </c>
      <c r="D39" t="s">
        <v>11</v>
      </c>
      <c r="E39" t="s">
        <v>11</v>
      </c>
      <c r="F39" t="s">
        <v>11</v>
      </c>
      <c r="G39" t="s">
        <v>11</v>
      </c>
      <c r="H39" t="s">
        <v>11</v>
      </c>
      <c r="I39" t="s">
        <v>11</v>
      </c>
      <c r="J39">
        <v>329</v>
      </c>
      <c r="K39" t="s">
        <v>11</v>
      </c>
      <c r="L39">
        <v>33070</v>
      </c>
      <c r="M39">
        <v>6097</v>
      </c>
      <c r="N39">
        <v>0</v>
      </c>
      <c r="O39" t="s">
        <v>11</v>
      </c>
      <c r="P39" t="s">
        <v>11</v>
      </c>
      <c r="Q39" t="s">
        <v>11</v>
      </c>
      <c r="R39" t="s">
        <v>11</v>
      </c>
      <c r="S39" t="s">
        <v>11</v>
      </c>
      <c r="T39" s="34">
        <v>48140</v>
      </c>
      <c r="U39" s="34">
        <v>10350</v>
      </c>
      <c r="V39" s="34">
        <v>2309</v>
      </c>
      <c r="W39" t="s">
        <v>11</v>
      </c>
      <c r="X39">
        <v>3136</v>
      </c>
      <c r="Y39" t="s">
        <v>11</v>
      </c>
      <c r="Z39">
        <v>2926</v>
      </c>
      <c r="AA39">
        <v>2415</v>
      </c>
      <c r="AB39">
        <v>15474</v>
      </c>
      <c r="AC39">
        <v>5649</v>
      </c>
      <c r="AD39">
        <v>2040</v>
      </c>
      <c r="AE39" t="s">
        <v>11</v>
      </c>
      <c r="AF39">
        <v>2907</v>
      </c>
      <c r="AG39" t="s">
        <v>11</v>
      </c>
      <c r="AH39">
        <f t="shared" si="6"/>
        <v>2040</v>
      </c>
      <c r="AI39" t="str">
        <f t="shared" si="7"/>
        <v>NoData</v>
      </c>
      <c r="AJ39">
        <v>12500</v>
      </c>
      <c r="AK39" t="s">
        <v>11</v>
      </c>
      <c r="AL39">
        <v>21703</v>
      </c>
      <c r="AM39">
        <v>3963</v>
      </c>
      <c r="AN39">
        <v>46</v>
      </c>
      <c r="AO39" t="str">
        <f t="shared" si="8"/>
        <v>NoData</v>
      </c>
      <c r="AP39" t="s">
        <v>11</v>
      </c>
      <c r="AQ39" t="s">
        <v>11</v>
      </c>
      <c r="AR39" t="s">
        <v>11</v>
      </c>
      <c r="AS39" t="s">
        <v>11</v>
      </c>
      <c r="AT39" t="str">
        <f t="shared" si="11"/>
        <v>NoData</v>
      </c>
      <c r="AU39" t="str">
        <f t="shared" si="12"/>
        <v>NoData</v>
      </c>
      <c r="AV39" t="s">
        <v>11</v>
      </c>
      <c r="AW39" t="s">
        <v>11</v>
      </c>
      <c r="AX39" t="s">
        <v>11</v>
      </c>
      <c r="AY39" t="s">
        <v>11</v>
      </c>
      <c r="AZ39" t="str">
        <f t="shared" si="2"/>
        <v>NoData</v>
      </c>
      <c r="BA39" t="str">
        <f t="shared" si="3"/>
        <v>NoData</v>
      </c>
      <c r="BB39">
        <f t="shared" si="9"/>
        <v>46</v>
      </c>
      <c r="BC39" t="str">
        <f t="shared" si="10"/>
        <v>NoData</v>
      </c>
      <c r="BD39" t="s">
        <v>11</v>
      </c>
      <c r="BE39" t="s">
        <v>11</v>
      </c>
      <c r="BF39" t="s">
        <v>11</v>
      </c>
      <c r="BG39" t="s">
        <v>11</v>
      </c>
      <c r="BH39">
        <v>0</v>
      </c>
      <c r="BI39" t="s">
        <v>11</v>
      </c>
      <c r="BJ39" t="s">
        <v>11</v>
      </c>
      <c r="BK39" t="s">
        <v>11</v>
      </c>
      <c r="BL39" t="s">
        <v>11</v>
      </c>
      <c r="BM39" t="s">
        <v>11</v>
      </c>
      <c r="BN39" t="s">
        <v>11</v>
      </c>
      <c r="BO39" t="s">
        <v>11</v>
      </c>
      <c r="BP39" t="str">
        <f t="shared" si="4"/>
        <v>NoData</v>
      </c>
      <c r="BQ39" t="str">
        <f t="shared" si="5"/>
        <v>NoData</v>
      </c>
      <c r="BR39" t="s">
        <v>11</v>
      </c>
      <c r="BS39" t="s">
        <v>11</v>
      </c>
      <c r="BT39" t="s">
        <v>11</v>
      </c>
      <c r="BU39" t="s">
        <v>11</v>
      </c>
    </row>
    <row r="40" spans="1:73" x14ac:dyDescent="0.25">
      <c r="A40" s="5">
        <v>26999</v>
      </c>
      <c r="B40">
        <v>460</v>
      </c>
      <c r="C40" t="s">
        <v>11</v>
      </c>
      <c r="D40" t="s">
        <v>11</v>
      </c>
      <c r="E40" t="s">
        <v>11</v>
      </c>
      <c r="F40" t="s">
        <v>11</v>
      </c>
      <c r="G40" t="s">
        <v>11</v>
      </c>
      <c r="H40" t="s">
        <v>11</v>
      </c>
      <c r="I40" t="s">
        <v>11</v>
      </c>
      <c r="J40">
        <v>266</v>
      </c>
      <c r="K40" t="s">
        <v>11</v>
      </c>
      <c r="L40">
        <v>30220</v>
      </c>
      <c r="M40">
        <v>8552</v>
      </c>
      <c r="N40">
        <v>0</v>
      </c>
      <c r="O40" t="s">
        <v>11</v>
      </c>
      <c r="P40" t="s">
        <v>11</v>
      </c>
      <c r="Q40" t="s">
        <v>11</v>
      </c>
      <c r="R40" t="s">
        <v>11</v>
      </c>
      <c r="S40" t="s">
        <v>11</v>
      </c>
      <c r="T40" s="34">
        <v>43830</v>
      </c>
      <c r="U40" s="34">
        <v>9520</v>
      </c>
      <c r="V40" s="34">
        <v>1474</v>
      </c>
      <c r="W40" t="s">
        <v>11</v>
      </c>
      <c r="X40">
        <v>1735</v>
      </c>
      <c r="Y40" t="s">
        <v>11</v>
      </c>
      <c r="Z40">
        <v>2646</v>
      </c>
      <c r="AA40">
        <v>2194</v>
      </c>
      <c r="AB40">
        <v>13773</v>
      </c>
      <c r="AC40">
        <v>5127</v>
      </c>
      <c r="AD40">
        <v>2077</v>
      </c>
      <c r="AE40" t="s">
        <v>11</v>
      </c>
      <c r="AF40">
        <v>1924</v>
      </c>
      <c r="AG40" t="s">
        <v>11</v>
      </c>
      <c r="AH40">
        <f t="shared" si="6"/>
        <v>2077</v>
      </c>
      <c r="AI40" t="str">
        <f t="shared" si="7"/>
        <v>NoData</v>
      </c>
      <c r="AJ40">
        <v>11780</v>
      </c>
      <c r="AK40" t="s">
        <v>11</v>
      </c>
      <c r="AL40">
        <v>16275</v>
      </c>
      <c r="AM40">
        <v>-1655</v>
      </c>
      <c r="AN40">
        <v>15</v>
      </c>
      <c r="AO40" t="str">
        <f t="shared" si="8"/>
        <v>NoData</v>
      </c>
      <c r="AP40" t="s">
        <v>11</v>
      </c>
      <c r="AQ40" t="s">
        <v>11</v>
      </c>
      <c r="AR40" t="s">
        <v>11</v>
      </c>
      <c r="AS40" t="s">
        <v>11</v>
      </c>
      <c r="AT40" t="str">
        <f t="shared" si="11"/>
        <v>NoData</v>
      </c>
      <c r="AU40" t="str">
        <f t="shared" si="12"/>
        <v>NoData</v>
      </c>
      <c r="AV40" t="s">
        <v>11</v>
      </c>
      <c r="AW40" t="s">
        <v>11</v>
      </c>
      <c r="AX40" t="s">
        <v>11</v>
      </c>
      <c r="AY40" t="s">
        <v>11</v>
      </c>
      <c r="AZ40" t="str">
        <f t="shared" si="2"/>
        <v>NoData</v>
      </c>
      <c r="BA40" t="str">
        <f t="shared" si="3"/>
        <v>NoData</v>
      </c>
      <c r="BB40">
        <f t="shared" si="9"/>
        <v>15</v>
      </c>
      <c r="BC40" t="str">
        <f t="shared" si="10"/>
        <v>NoData</v>
      </c>
      <c r="BD40" t="s">
        <v>11</v>
      </c>
      <c r="BE40" t="s">
        <v>11</v>
      </c>
      <c r="BF40" t="s">
        <v>11</v>
      </c>
      <c r="BG40" t="s">
        <v>11</v>
      </c>
      <c r="BH40">
        <v>45</v>
      </c>
      <c r="BI40" t="s">
        <v>11</v>
      </c>
      <c r="BJ40" t="s">
        <v>11</v>
      </c>
      <c r="BK40" t="s">
        <v>11</v>
      </c>
      <c r="BL40" t="s">
        <v>11</v>
      </c>
      <c r="BM40" t="s">
        <v>11</v>
      </c>
      <c r="BN40" t="s">
        <v>11</v>
      </c>
      <c r="BO40" t="s">
        <v>11</v>
      </c>
      <c r="BP40" t="str">
        <f t="shared" si="4"/>
        <v>NoData</v>
      </c>
      <c r="BQ40" t="str">
        <f t="shared" si="5"/>
        <v>NoData</v>
      </c>
      <c r="BR40" t="s">
        <v>11</v>
      </c>
      <c r="BS40" t="s">
        <v>11</v>
      </c>
      <c r="BT40" t="s">
        <v>11</v>
      </c>
      <c r="BU40" t="s">
        <v>11</v>
      </c>
    </row>
    <row r="41" spans="1:73" x14ac:dyDescent="0.25">
      <c r="A41" s="5">
        <v>27030</v>
      </c>
      <c r="B41">
        <v>462</v>
      </c>
      <c r="C41" t="s">
        <v>11</v>
      </c>
      <c r="D41" t="s">
        <v>11</v>
      </c>
      <c r="E41" t="s">
        <v>11</v>
      </c>
      <c r="F41" t="s">
        <v>11</v>
      </c>
      <c r="G41" t="s">
        <v>11</v>
      </c>
      <c r="H41" t="s">
        <v>11</v>
      </c>
      <c r="I41" t="s">
        <v>11</v>
      </c>
      <c r="J41">
        <v>517</v>
      </c>
      <c r="K41" t="s">
        <v>11</v>
      </c>
      <c r="L41">
        <v>14160</v>
      </c>
      <c r="M41">
        <v>-5138</v>
      </c>
      <c r="N41">
        <v>0</v>
      </c>
      <c r="O41" t="s">
        <v>11</v>
      </c>
      <c r="P41" t="s">
        <v>11</v>
      </c>
      <c r="Q41" t="s">
        <v>11</v>
      </c>
      <c r="R41" t="s">
        <v>11</v>
      </c>
      <c r="S41" t="s">
        <v>11</v>
      </c>
      <c r="T41" s="34">
        <v>36650</v>
      </c>
      <c r="U41" s="34">
        <v>5690</v>
      </c>
      <c r="V41" s="34">
        <v>1540</v>
      </c>
      <c r="W41" t="s">
        <v>11</v>
      </c>
      <c r="X41">
        <v>1781</v>
      </c>
      <c r="Y41" t="s">
        <v>11</v>
      </c>
      <c r="Z41">
        <v>2077</v>
      </c>
      <c r="AA41">
        <v>1780</v>
      </c>
      <c r="AB41">
        <v>14814</v>
      </c>
      <c r="AC41">
        <v>7680</v>
      </c>
      <c r="AD41">
        <v>1653</v>
      </c>
      <c r="AE41" t="s">
        <v>11</v>
      </c>
      <c r="AF41">
        <v>1578</v>
      </c>
      <c r="AG41" t="s">
        <v>11</v>
      </c>
      <c r="AH41">
        <f t="shared" si="6"/>
        <v>1653</v>
      </c>
      <c r="AI41" t="str">
        <f t="shared" si="7"/>
        <v>NoData</v>
      </c>
      <c r="AJ41">
        <v>9436</v>
      </c>
      <c r="AK41" t="s">
        <v>11</v>
      </c>
      <c r="AL41">
        <v>17497</v>
      </c>
      <c r="AM41">
        <v>-983</v>
      </c>
      <c r="AN41">
        <v>70</v>
      </c>
      <c r="AO41" t="str">
        <f t="shared" si="8"/>
        <v>NoData</v>
      </c>
      <c r="AP41" t="s">
        <v>11</v>
      </c>
      <c r="AQ41" t="s">
        <v>11</v>
      </c>
      <c r="AR41" t="s">
        <v>11</v>
      </c>
      <c r="AS41" t="s">
        <v>11</v>
      </c>
      <c r="AT41" t="str">
        <f t="shared" si="11"/>
        <v>NoData</v>
      </c>
      <c r="AU41" t="str">
        <f t="shared" si="12"/>
        <v>NoData</v>
      </c>
      <c r="AV41" t="s">
        <v>11</v>
      </c>
      <c r="AW41" t="s">
        <v>11</v>
      </c>
      <c r="AX41" t="s">
        <v>11</v>
      </c>
      <c r="AY41" t="s">
        <v>11</v>
      </c>
      <c r="AZ41" t="str">
        <f t="shared" si="2"/>
        <v>NoData</v>
      </c>
      <c r="BA41" t="str">
        <f t="shared" si="3"/>
        <v>NoData</v>
      </c>
      <c r="BB41">
        <f t="shared" si="9"/>
        <v>70</v>
      </c>
      <c r="BC41" t="str">
        <f t="shared" si="10"/>
        <v>NoData</v>
      </c>
      <c r="BD41" t="s">
        <v>11</v>
      </c>
      <c r="BE41" t="s">
        <v>11</v>
      </c>
      <c r="BF41" t="s">
        <v>11</v>
      </c>
      <c r="BG41" t="s">
        <v>11</v>
      </c>
      <c r="BH41">
        <v>0</v>
      </c>
      <c r="BI41" t="s">
        <v>11</v>
      </c>
      <c r="BJ41" t="s">
        <v>11</v>
      </c>
      <c r="BK41" t="s">
        <v>11</v>
      </c>
      <c r="BL41" t="s">
        <v>11</v>
      </c>
      <c r="BM41" t="s">
        <v>11</v>
      </c>
      <c r="BN41" t="s">
        <v>11</v>
      </c>
      <c r="BO41" t="s">
        <v>11</v>
      </c>
      <c r="BP41" t="str">
        <f t="shared" si="4"/>
        <v>NoData</v>
      </c>
      <c r="BQ41" t="str">
        <f t="shared" si="5"/>
        <v>NoData</v>
      </c>
      <c r="BR41" t="s">
        <v>11</v>
      </c>
      <c r="BS41" t="s">
        <v>11</v>
      </c>
      <c r="BT41" t="s">
        <v>11</v>
      </c>
      <c r="BU41" t="s">
        <v>11</v>
      </c>
    </row>
    <row r="42" spans="1:73" x14ac:dyDescent="0.25">
      <c r="A42" s="5">
        <v>27061</v>
      </c>
      <c r="B42">
        <v>743</v>
      </c>
      <c r="C42" t="s">
        <v>11</v>
      </c>
      <c r="D42" t="s">
        <v>11</v>
      </c>
      <c r="E42" t="s">
        <v>11</v>
      </c>
      <c r="F42" t="s">
        <v>11</v>
      </c>
      <c r="G42" t="s">
        <v>11</v>
      </c>
      <c r="H42" t="s">
        <v>11</v>
      </c>
      <c r="I42" t="s">
        <v>11</v>
      </c>
      <c r="J42">
        <v>1731</v>
      </c>
      <c r="K42" t="s">
        <v>11</v>
      </c>
      <c r="L42">
        <v>44370</v>
      </c>
      <c r="M42">
        <v>21766</v>
      </c>
      <c r="N42">
        <v>0</v>
      </c>
      <c r="O42" t="s">
        <v>11</v>
      </c>
      <c r="P42" t="s">
        <v>11</v>
      </c>
      <c r="Q42" t="s">
        <v>11</v>
      </c>
      <c r="R42" t="s">
        <v>11</v>
      </c>
      <c r="S42" t="s">
        <v>11</v>
      </c>
      <c r="T42" s="34">
        <v>65180</v>
      </c>
      <c r="U42" s="34">
        <v>34610</v>
      </c>
      <c r="V42" s="34">
        <v>3222</v>
      </c>
      <c r="W42" t="s">
        <v>11</v>
      </c>
      <c r="X42">
        <v>3545</v>
      </c>
      <c r="Y42" t="s">
        <v>11</v>
      </c>
      <c r="Z42">
        <v>6580</v>
      </c>
      <c r="AA42">
        <v>6138</v>
      </c>
      <c r="AB42">
        <v>23133</v>
      </c>
      <c r="AC42">
        <v>16081</v>
      </c>
      <c r="AD42">
        <v>1633</v>
      </c>
      <c r="AE42" t="s">
        <v>11</v>
      </c>
      <c r="AF42">
        <v>4453</v>
      </c>
      <c r="AG42" t="s">
        <v>11</v>
      </c>
      <c r="AH42">
        <f t="shared" si="6"/>
        <v>1633</v>
      </c>
      <c r="AI42" t="str">
        <f t="shared" si="7"/>
        <v>NoData</v>
      </c>
      <c r="AJ42">
        <v>10312</v>
      </c>
      <c r="AK42" t="s">
        <v>11</v>
      </c>
      <c r="AL42">
        <v>32010</v>
      </c>
      <c r="AM42">
        <v>19140</v>
      </c>
      <c r="AN42">
        <v>60</v>
      </c>
      <c r="AO42" t="str">
        <f t="shared" si="8"/>
        <v>NoData</v>
      </c>
      <c r="AP42" t="s">
        <v>11</v>
      </c>
      <c r="AQ42" t="s">
        <v>11</v>
      </c>
      <c r="AR42" t="s">
        <v>11</v>
      </c>
      <c r="AS42" t="s">
        <v>11</v>
      </c>
      <c r="AT42" t="str">
        <f t="shared" si="11"/>
        <v>NoData</v>
      </c>
      <c r="AU42" t="str">
        <f t="shared" si="12"/>
        <v>NoData</v>
      </c>
      <c r="AV42" t="s">
        <v>11</v>
      </c>
      <c r="AW42" t="s">
        <v>11</v>
      </c>
      <c r="AX42" t="s">
        <v>11</v>
      </c>
      <c r="AY42" t="s">
        <v>11</v>
      </c>
      <c r="AZ42" t="str">
        <f t="shared" si="2"/>
        <v>NoData</v>
      </c>
      <c r="BA42" t="str">
        <f t="shared" si="3"/>
        <v>NoData</v>
      </c>
      <c r="BB42">
        <f t="shared" si="9"/>
        <v>60</v>
      </c>
      <c r="BC42" t="str">
        <f t="shared" si="10"/>
        <v>NoData</v>
      </c>
      <c r="BD42" t="s">
        <v>11</v>
      </c>
      <c r="BE42" t="s">
        <v>11</v>
      </c>
      <c r="BF42" t="s">
        <v>11</v>
      </c>
      <c r="BG42" t="s">
        <v>11</v>
      </c>
      <c r="BH42">
        <v>23</v>
      </c>
      <c r="BI42" t="s">
        <v>11</v>
      </c>
      <c r="BJ42" t="s">
        <v>11</v>
      </c>
      <c r="BK42" t="s">
        <v>11</v>
      </c>
      <c r="BL42" t="s">
        <v>11</v>
      </c>
      <c r="BM42" t="s">
        <v>11</v>
      </c>
      <c r="BN42" t="s">
        <v>11</v>
      </c>
      <c r="BO42" t="s">
        <v>11</v>
      </c>
      <c r="BP42" t="str">
        <f t="shared" si="4"/>
        <v>NoData</v>
      </c>
      <c r="BQ42" t="str">
        <f t="shared" si="5"/>
        <v>NoData</v>
      </c>
      <c r="BR42" t="s">
        <v>11</v>
      </c>
      <c r="BS42" t="s">
        <v>11</v>
      </c>
      <c r="BT42" t="s">
        <v>11</v>
      </c>
      <c r="BU42" t="s">
        <v>11</v>
      </c>
    </row>
    <row r="43" spans="1:73" x14ac:dyDescent="0.25">
      <c r="A43" s="5">
        <v>27089</v>
      </c>
      <c r="B43">
        <v>1544</v>
      </c>
      <c r="C43" t="s">
        <v>11</v>
      </c>
      <c r="D43" t="s">
        <v>11</v>
      </c>
      <c r="E43" t="s">
        <v>11</v>
      </c>
      <c r="F43" t="s">
        <v>11</v>
      </c>
      <c r="G43" t="s">
        <v>11</v>
      </c>
      <c r="H43" t="s">
        <v>11</v>
      </c>
      <c r="I43" t="s">
        <v>11</v>
      </c>
      <c r="J43">
        <v>3157</v>
      </c>
      <c r="K43" t="s">
        <v>11</v>
      </c>
      <c r="L43">
        <v>56300</v>
      </c>
      <c r="M43">
        <v>26866</v>
      </c>
      <c r="N43">
        <v>0</v>
      </c>
      <c r="O43" t="s">
        <v>11</v>
      </c>
      <c r="P43" t="s">
        <v>11</v>
      </c>
      <c r="Q43" t="s">
        <v>11</v>
      </c>
      <c r="R43" t="s">
        <v>11</v>
      </c>
      <c r="S43" t="s">
        <v>11</v>
      </c>
      <c r="T43" s="34">
        <v>79110</v>
      </c>
      <c r="U43" s="34">
        <v>41250</v>
      </c>
      <c r="V43" s="34">
        <v>3858</v>
      </c>
      <c r="W43" t="s">
        <v>11</v>
      </c>
      <c r="X43">
        <v>3809</v>
      </c>
      <c r="Y43" t="s">
        <v>11</v>
      </c>
      <c r="Z43">
        <v>3828</v>
      </c>
      <c r="AA43">
        <v>3290</v>
      </c>
      <c r="AB43">
        <v>26441</v>
      </c>
      <c r="AC43">
        <v>17822</v>
      </c>
      <c r="AD43">
        <v>2113</v>
      </c>
      <c r="AE43" t="s">
        <v>11</v>
      </c>
      <c r="AF43">
        <v>4555</v>
      </c>
      <c r="AG43" t="s">
        <v>11</v>
      </c>
      <c r="AH43">
        <f t="shared" si="6"/>
        <v>2113</v>
      </c>
      <c r="AI43" t="str">
        <f t="shared" si="7"/>
        <v>NoData</v>
      </c>
      <c r="AJ43">
        <v>13183</v>
      </c>
      <c r="AK43" t="s">
        <v>11</v>
      </c>
      <c r="AL43">
        <v>42552</v>
      </c>
      <c r="AM43">
        <v>24342</v>
      </c>
      <c r="AN43">
        <v>119</v>
      </c>
      <c r="AO43" t="str">
        <f t="shared" si="8"/>
        <v>NoData</v>
      </c>
      <c r="AP43" t="s">
        <v>11</v>
      </c>
      <c r="AQ43" t="s">
        <v>11</v>
      </c>
      <c r="AR43" t="s">
        <v>11</v>
      </c>
      <c r="AS43" t="s">
        <v>11</v>
      </c>
      <c r="AT43" t="str">
        <f t="shared" si="11"/>
        <v>NoData</v>
      </c>
      <c r="AU43" t="str">
        <f t="shared" si="12"/>
        <v>NoData</v>
      </c>
      <c r="AV43" t="s">
        <v>11</v>
      </c>
      <c r="AW43" t="s">
        <v>11</v>
      </c>
      <c r="AX43" t="s">
        <v>11</v>
      </c>
      <c r="AY43" t="s">
        <v>11</v>
      </c>
      <c r="AZ43" t="str">
        <f t="shared" si="2"/>
        <v>NoData</v>
      </c>
      <c r="BA43" t="str">
        <f t="shared" si="3"/>
        <v>NoData</v>
      </c>
      <c r="BB43">
        <f t="shared" si="9"/>
        <v>119</v>
      </c>
      <c r="BC43" t="str">
        <f t="shared" si="10"/>
        <v>NoData</v>
      </c>
      <c r="BD43" t="s">
        <v>11</v>
      </c>
      <c r="BE43" t="s">
        <v>11</v>
      </c>
      <c r="BF43" t="s">
        <v>11</v>
      </c>
      <c r="BG43" t="s">
        <v>11</v>
      </c>
      <c r="BH43">
        <v>25</v>
      </c>
      <c r="BI43" t="s">
        <v>11</v>
      </c>
      <c r="BJ43" t="s">
        <v>11</v>
      </c>
      <c r="BK43" t="s">
        <v>11</v>
      </c>
      <c r="BL43" t="s">
        <v>11</v>
      </c>
      <c r="BM43" t="s">
        <v>11</v>
      </c>
      <c r="BN43" t="s">
        <v>11</v>
      </c>
      <c r="BO43" t="s">
        <v>11</v>
      </c>
      <c r="BP43" t="str">
        <f t="shared" si="4"/>
        <v>NoData</v>
      </c>
      <c r="BQ43" t="str">
        <f t="shared" si="5"/>
        <v>NoData</v>
      </c>
      <c r="BR43" t="s">
        <v>11</v>
      </c>
      <c r="BS43" t="s">
        <v>11</v>
      </c>
      <c r="BT43" t="s">
        <v>11</v>
      </c>
      <c r="BU43" t="s">
        <v>11</v>
      </c>
    </row>
    <row r="44" spans="1:73" x14ac:dyDescent="0.25">
      <c r="A44" s="5">
        <v>27120</v>
      </c>
      <c r="B44">
        <v>2556</v>
      </c>
      <c r="C44" t="s">
        <v>11</v>
      </c>
      <c r="D44" t="s">
        <v>11</v>
      </c>
      <c r="E44" t="s">
        <v>11</v>
      </c>
      <c r="F44" t="s">
        <v>11</v>
      </c>
      <c r="G44" t="s">
        <v>11</v>
      </c>
      <c r="H44" t="s">
        <v>11</v>
      </c>
      <c r="I44" t="s">
        <v>11</v>
      </c>
      <c r="J44">
        <v>1471</v>
      </c>
      <c r="K44" t="s">
        <v>11</v>
      </c>
      <c r="L44">
        <v>65120</v>
      </c>
      <c r="M44">
        <v>36040</v>
      </c>
      <c r="N44">
        <v>874</v>
      </c>
      <c r="O44" t="s">
        <v>11</v>
      </c>
      <c r="P44" t="s">
        <v>11</v>
      </c>
      <c r="Q44" t="s">
        <v>11</v>
      </c>
      <c r="R44" t="s">
        <v>11</v>
      </c>
      <c r="S44" t="s">
        <v>11</v>
      </c>
      <c r="T44" s="34">
        <v>97850</v>
      </c>
      <c r="U44" s="34">
        <v>58880</v>
      </c>
      <c r="V44" s="34">
        <v>3498</v>
      </c>
      <c r="W44" t="s">
        <v>11</v>
      </c>
      <c r="X44">
        <v>4865</v>
      </c>
      <c r="Y44" t="s">
        <v>11</v>
      </c>
      <c r="Z44">
        <v>5089</v>
      </c>
      <c r="AA44">
        <v>4564</v>
      </c>
      <c r="AB44">
        <v>35478</v>
      </c>
      <c r="AC44">
        <v>27085</v>
      </c>
      <c r="AD44">
        <v>3039</v>
      </c>
      <c r="AE44" t="s">
        <v>11</v>
      </c>
      <c r="AF44">
        <v>5267</v>
      </c>
      <c r="AG44" t="s">
        <v>11</v>
      </c>
      <c r="AH44">
        <f t="shared" si="6"/>
        <v>3039</v>
      </c>
      <c r="AI44" t="str">
        <f t="shared" si="7"/>
        <v>NoData</v>
      </c>
      <c r="AJ44">
        <v>19168</v>
      </c>
      <c r="AK44" t="s">
        <v>11</v>
      </c>
      <c r="AL44">
        <v>61290</v>
      </c>
      <c r="AM44">
        <v>43260</v>
      </c>
      <c r="AN44">
        <v>258</v>
      </c>
      <c r="AO44" t="str">
        <f t="shared" si="8"/>
        <v>NoData</v>
      </c>
      <c r="AP44" t="s">
        <v>11</v>
      </c>
      <c r="AQ44" t="s">
        <v>11</v>
      </c>
      <c r="AR44" t="s">
        <v>11</v>
      </c>
      <c r="AS44" t="s">
        <v>11</v>
      </c>
      <c r="AT44" t="str">
        <f t="shared" si="11"/>
        <v>NoData</v>
      </c>
      <c r="AU44" t="str">
        <f t="shared" si="12"/>
        <v>NoData</v>
      </c>
      <c r="AV44" t="s">
        <v>11</v>
      </c>
      <c r="AW44" t="s">
        <v>11</v>
      </c>
      <c r="AX44" t="s">
        <v>11</v>
      </c>
      <c r="AY44" t="s">
        <v>11</v>
      </c>
      <c r="AZ44" t="str">
        <f t="shared" si="2"/>
        <v>NoData</v>
      </c>
      <c r="BA44" t="str">
        <f t="shared" si="3"/>
        <v>NoData</v>
      </c>
      <c r="BB44">
        <f t="shared" si="9"/>
        <v>258</v>
      </c>
      <c r="BC44" t="str">
        <f t="shared" si="10"/>
        <v>NoData</v>
      </c>
      <c r="BD44" t="s">
        <v>11</v>
      </c>
      <c r="BE44" t="s">
        <v>11</v>
      </c>
      <c r="BF44" t="s">
        <v>11</v>
      </c>
      <c r="BG44" t="s">
        <v>11</v>
      </c>
      <c r="BH44">
        <v>23</v>
      </c>
      <c r="BI44" t="s">
        <v>11</v>
      </c>
      <c r="BJ44" t="s">
        <v>11</v>
      </c>
      <c r="BK44" t="s">
        <v>11</v>
      </c>
      <c r="BL44" t="s">
        <v>11</v>
      </c>
      <c r="BM44" t="s">
        <v>11</v>
      </c>
      <c r="BN44" t="s">
        <v>11</v>
      </c>
      <c r="BO44" t="s">
        <v>11</v>
      </c>
      <c r="BP44" t="str">
        <f t="shared" si="4"/>
        <v>NoData</v>
      </c>
      <c r="BQ44" t="str">
        <f t="shared" si="5"/>
        <v>NoData</v>
      </c>
      <c r="BR44" t="s">
        <v>11</v>
      </c>
      <c r="BS44" t="s">
        <v>11</v>
      </c>
      <c r="BT44" t="s">
        <v>11</v>
      </c>
      <c r="BU44" t="s">
        <v>11</v>
      </c>
    </row>
    <row r="45" spans="1:73" x14ac:dyDescent="0.25">
      <c r="A45" s="5">
        <v>27150</v>
      </c>
      <c r="B45">
        <v>2015</v>
      </c>
      <c r="C45" t="s">
        <v>11</v>
      </c>
      <c r="D45" t="s">
        <v>11</v>
      </c>
      <c r="E45" t="s">
        <v>11</v>
      </c>
      <c r="F45" t="s">
        <v>11</v>
      </c>
      <c r="G45" t="s">
        <v>11</v>
      </c>
      <c r="H45" t="s">
        <v>11</v>
      </c>
      <c r="I45" t="s">
        <v>11</v>
      </c>
      <c r="J45">
        <v>1916</v>
      </c>
      <c r="K45" t="s">
        <v>11</v>
      </c>
      <c r="L45">
        <v>71020</v>
      </c>
      <c r="M45">
        <v>35332</v>
      </c>
      <c r="N45">
        <v>108</v>
      </c>
      <c r="O45" t="s">
        <v>11</v>
      </c>
      <c r="P45" t="s">
        <v>11</v>
      </c>
      <c r="Q45" t="s">
        <v>11</v>
      </c>
      <c r="R45" t="s">
        <v>11</v>
      </c>
      <c r="S45" t="s">
        <v>11</v>
      </c>
      <c r="T45" s="34">
        <v>100600</v>
      </c>
      <c r="U45" s="34">
        <v>55840</v>
      </c>
      <c r="V45" s="34">
        <v>3964</v>
      </c>
      <c r="W45" t="s">
        <v>11</v>
      </c>
      <c r="X45">
        <v>5619</v>
      </c>
      <c r="Y45" t="s">
        <v>11</v>
      </c>
      <c r="Z45">
        <v>6943</v>
      </c>
      <c r="AA45">
        <v>6247</v>
      </c>
      <c r="AB45">
        <v>36301</v>
      </c>
      <c r="AC45">
        <v>27488</v>
      </c>
      <c r="AD45">
        <v>4119</v>
      </c>
      <c r="AE45" t="s">
        <v>11</v>
      </c>
      <c r="AF45">
        <v>5515</v>
      </c>
      <c r="AG45" t="s">
        <v>11</v>
      </c>
      <c r="AH45">
        <f t="shared" si="6"/>
        <v>4119</v>
      </c>
      <c r="AI45" t="str">
        <f t="shared" si="7"/>
        <v>NoData</v>
      </c>
      <c r="AJ45">
        <v>24712</v>
      </c>
      <c r="AK45" t="s">
        <v>11</v>
      </c>
      <c r="AL45">
        <v>62174</v>
      </c>
      <c r="AM45">
        <v>43454</v>
      </c>
      <c r="AN45">
        <v>51</v>
      </c>
      <c r="AO45" t="str">
        <f t="shared" si="8"/>
        <v>NoData</v>
      </c>
      <c r="AP45" t="s">
        <v>11</v>
      </c>
      <c r="AQ45" t="s">
        <v>11</v>
      </c>
      <c r="AR45" t="s">
        <v>11</v>
      </c>
      <c r="AS45" t="s">
        <v>11</v>
      </c>
      <c r="AT45" t="str">
        <f t="shared" si="11"/>
        <v>NoData</v>
      </c>
      <c r="AU45" t="str">
        <f t="shared" si="12"/>
        <v>NoData</v>
      </c>
      <c r="AV45" t="s">
        <v>11</v>
      </c>
      <c r="AW45" t="s">
        <v>11</v>
      </c>
      <c r="AX45" t="s">
        <v>11</v>
      </c>
      <c r="AY45" t="s">
        <v>11</v>
      </c>
      <c r="AZ45" t="str">
        <f t="shared" si="2"/>
        <v>NoData</v>
      </c>
      <c r="BA45" t="str">
        <f t="shared" si="3"/>
        <v>NoData</v>
      </c>
      <c r="BB45">
        <f t="shared" si="9"/>
        <v>51</v>
      </c>
      <c r="BC45" t="str">
        <f t="shared" si="10"/>
        <v>NoData</v>
      </c>
      <c r="BD45" t="s">
        <v>11</v>
      </c>
      <c r="BE45" t="s">
        <v>11</v>
      </c>
      <c r="BF45" t="s">
        <v>11</v>
      </c>
      <c r="BG45" t="s">
        <v>11</v>
      </c>
      <c r="BH45">
        <v>31</v>
      </c>
      <c r="BI45" t="s">
        <v>11</v>
      </c>
      <c r="BJ45" t="s">
        <v>11</v>
      </c>
      <c r="BK45" t="s">
        <v>11</v>
      </c>
      <c r="BL45" t="s">
        <v>11</v>
      </c>
      <c r="BM45" t="s">
        <v>11</v>
      </c>
      <c r="BN45" t="s">
        <v>11</v>
      </c>
      <c r="BO45" t="s">
        <v>11</v>
      </c>
      <c r="BP45" t="str">
        <f t="shared" si="4"/>
        <v>NoData</v>
      </c>
      <c r="BQ45" t="str">
        <f t="shared" si="5"/>
        <v>NoData</v>
      </c>
      <c r="BR45" t="s">
        <v>11</v>
      </c>
      <c r="BS45" t="s">
        <v>11</v>
      </c>
      <c r="BT45" t="s">
        <v>11</v>
      </c>
      <c r="BU45" t="s">
        <v>11</v>
      </c>
    </row>
    <row r="46" spans="1:73" x14ac:dyDescent="0.25">
      <c r="A46" s="5">
        <v>27181</v>
      </c>
      <c r="B46">
        <v>2136</v>
      </c>
      <c r="C46" t="s">
        <v>11</v>
      </c>
      <c r="D46" t="s">
        <v>11</v>
      </c>
      <c r="E46" t="s">
        <v>11</v>
      </c>
      <c r="F46" t="s">
        <v>11</v>
      </c>
      <c r="G46" t="s">
        <v>11</v>
      </c>
      <c r="H46" t="s">
        <v>11</v>
      </c>
      <c r="I46" t="s">
        <v>11</v>
      </c>
      <c r="J46">
        <v>2387</v>
      </c>
      <c r="K46" t="s">
        <v>11</v>
      </c>
      <c r="L46">
        <v>72030</v>
      </c>
      <c r="M46">
        <v>39802</v>
      </c>
      <c r="N46">
        <v>1087</v>
      </c>
      <c r="O46" t="s">
        <v>11</v>
      </c>
      <c r="P46" t="s">
        <v>11</v>
      </c>
      <c r="Q46" t="s">
        <v>11</v>
      </c>
      <c r="R46" t="s">
        <v>11</v>
      </c>
      <c r="S46" t="s">
        <v>11</v>
      </c>
      <c r="T46" s="34">
        <v>102700</v>
      </c>
      <c r="U46" s="34">
        <v>61810</v>
      </c>
      <c r="V46" s="34">
        <v>3579</v>
      </c>
      <c r="W46" t="s">
        <v>11</v>
      </c>
      <c r="X46">
        <v>5718</v>
      </c>
      <c r="Y46" t="s">
        <v>11</v>
      </c>
      <c r="Z46">
        <v>5996</v>
      </c>
      <c r="AA46">
        <v>5271</v>
      </c>
      <c r="AB46">
        <v>34911</v>
      </c>
      <c r="AC46">
        <v>26356</v>
      </c>
      <c r="AD46">
        <v>4766</v>
      </c>
      <c r="AE46" t="s">
        <v>11</v>
      </c>
      <c r="AF46">
        <v>5799</v>
      </c>
      <c r="AG46" t="s">
        <v>11</v>
      </c>
      <c r="AH46">
        <f t="shared" si="6"/>
        <v>4766</v>
      </c>
      <c r="AI46" t="str">
        <f t="shared" si="7"/>
        <v>NoData</v>
      </c>
      <c r="AJ46">
        <v>28104</v>
      </c>
      <c r="AK46" t="s">
        <v>11</v>
      </c>
      <c r="AL46">
        <v>62293</v>
      </c>
      <c r="AM46">
        <v>50073</v>
      </c>
      <c r="AN46">
        <v>185</v>
      </c>
      <c r="AO46" t="str">
        <f t="shared" si="8"/>
        <v>NoData</v>
      </c>
      <c r="AP46" t="s">
        <v>11</v>
      </c>
      <c r="AQ46" t="s">
        <v>11</v>
      </c>
      <c r="AR46" t="s">
        <v>11</v>
      </c>
      <c r="AS46" t="s">
        <v>11</v>
      </c>
      <c r="AT46" t="str">
        <f t="shared" si="11"/>
        <v>NoData</v>
      </c>
      <c r="AU46" t="str">
        <f t="shared" si="12"/>
        <v>NoData</v>
      </c>
      <c r="AV46" t="s">
        <v>11</v>
      </c>
      <c r="AW46" t="s">
        <v>11</v>
      </c>
      <c r="AX46" t="s">
        <v>11</v>
      </c>
      <c r="AY46" t="s">
        <v>11</v>
      </c>
      <c r="AZ46" t="str">
        <f t="shared" si="2"/>
        <v>NoData</v>
      </c>
      <c r="BA46" t="str">
        <f t="shared" si="3"/>
        <v>NoData</v>
      </c>
      <c r="BB46">
        <f t="shared" si="9"/>
        <v>185</v>
      </c>
      <c r="BC46" t="str">
        <f t="shared" si="10"/>
        <v>NoData</v>
      </c>
      <c r="BD46" t="s">
        <v>11</v>
      </c>
      <c r="BE46" t="s">
        <v>11</v>
      </c>
      <c r="BF46" t="s">
        <v>11</v>
      </c>
      <c r="BG46" t="s">
        <v>11</v>
      </c>
      <c r="BH46">
        <v>0</v>
      </c>
      <c r="BI46" t="s">
        <v>11</v>
      </c>
      <c r="BJ46" t="s">
        <v>11</v>
      </c>
      <c r="BK46" t="s">
        <v>11</v>
      </c>
      <c r="BL46" t="s">
        <v>11</v>
      </c>
      <c r="BM46" t="s">
        <v>11</v>
      </c>
      <c r="BN46" t="s">
        <v>11</v>
      </c>
      <c r="BO46" t="s">
        <v>11</v>
      </c>
      <c r="BP46" t="str">
        <f t="shared" si="4"/>
        <v>NoData</v>
      </c>
      <c r="BQ46" t="str">
        <f t="shared" si="5"/>
        <v>NoData</v>
      </c>
      <c r="BR46" t="s">
        <v>11</v>
      </c>
      <c r="BS46" t="s">
        <v>11</v>
      </c>
      <c r="BT46" t="s">
        <v>11</v>
      </c>
      <c r="BU46" t="s">
        <v>11</v>
      </c>
    </row>
    <row r="47" spans="1:73" x14ac:dyDescent="0.25">
      <c r="A47" s="5">
        <v>27211</v>
      </c>
      <c r="B47">
        <v>1953</v>
      </c>
      <c r="C47" t="s">
        <v>11</v>
      </c>
      <c r="D47" t="s">
        <v>11</v>
      </c>
      <c r="E47" t="s">
        <v>11</v>
      </c>
      <c r="F47" t="s">
        <v>11</v>
      </c>
      <c r="G47" t="s">
        <v>11</v>
      </c>
      <c r="H47" t="s">
        <v>11</v>
      </c>
      <c r="I47" t="s">
        <v>11</v>
      </c>
      <c r="J47">
        <v>1980</v>
      </c>
      <c r="K47" t="s">
        <v>11</v>
      </c>
      <c r="L47">
        <v>79580</v>
      </c>
      <c r="M47">
        <v>50193</v>
      </c>
      <c r="N47">
        <v>1165</v>
      </c>
      <c r="O47" t="s">
        <v>11</v>
      </c>
      <c r="P47" t="s">
        <v>11</v>
      </c>
      <c r="Q47" t="s">
        <v>11</v>
      </c>
      <c r="R47" t="s">
        <v>11</v>
      </c>
      <c r="S47" t="s">
        <v>11</v>
      </c>
      <c r="T47" s="34">
        <v>108900</v>
      </c>
      <c r="U47" s="34">
        <v>65190</v>
      </c>
      <c r="V47" s="34">
        <v>4558</v>
      </c>
      <c r="W47" t="s">
        <v>11</v>
      </c>
      <c r="X47">
        <v>6076</v>
      </c>
      <c r="Y47" t="s">
        <v>11</v>
      </c>
      <c r="Z47">
        <v>6885</v>
      </c>
      <c r="AA47">
        <v>6008</v>
      </c>
      <c r="AB47">
        <v>39858</v>
      </c>
      <c r="AC47">
        <v>30877</v>
      </c>
      <c r="AD47">
        <v>5483</v>
      </c>
      <c r="AE47" t="s">
        <v>11</v>
      </c>
      <c r="AF47">
        <v>6522</v>
      </c>
      <c r="AG47" t="s">
        <v>11</v>
      </c>
      <c r="AH47">
        <f t="shared" si="6"/>
        <v>5483</v>
      </c>
      <c r="AI47" t="str">
        <f t="shared" si="7"/>
        <v>NoData</v>
      </c>
      <c r="AJ47">
        <v>31372</v>
      </c>
      <c r="AK47" t="s">
        <v>11</v>
      </c>
      <c r="AL47">
        <v>61900</v>
      </c>
      <c r="AM47">
        <v>43280</v>
      </c>
      <c r="AN47">
        <v>128</v>
      </c>
      <c r="AO47" t="str">
        <f t="shared" si="8"/>
        <v>NoData</v>
      </c>
      <c r="AP47" t="s">
        <v>11</v>
      </c>
      <c r="AQ47" t="s">
        <v>11</v>
      </c>
      <c r="AR47" t="s">
        <v>11</v>
      </c>
      <c r="AS47" t="s">
        <v>11</v>
      </c>
      <c r="AT47" t="str">
        <f t="shared" si="11"/>
        <v>NoData</v>
      </c>
      <c r="AU47" t="str">
        <f t="shared" si="12"/>
        <v>NoData</v>
      </c>
      <c r="AV47" t="s">
        <v>11</v>
      </c>
      <c r="AW47" t="s">
        <v>11</v>
      </c>
      <c r="AX47" t="s">
        <v>11</v>
      </c>
      <c r="AY47" t="s">
        <v>11</v>
      </c>
      <c r="AZ47" t="str">
        <f t="shared" si="2"/>
        <v>NoData</v>
      </c>
      <c r="BA47" t="str">
        <f t="shared" si="3"/>
        <v>NoData</v>
      </c>
      <c r="BB47">
        <f t="shared" si="9"/>
        <v>128</v>
      </c>
      <c r="BC47" t="str">
        <f t="shared" si="10"/>
        <v>NoData</v>
      </c>
      <c r="BD47" t="s">
        <v>11</v>
      </c>
      <c r="BE47" t="s">
        <v>11</v>
      </c>
      <c r="BF47" t="s">
        <v>11</v>
      </c>
      <c r="BG47" t="s">
        <v>11</v>
      </c>
      <c r="BH47">
        <v>0</v>
      </c>
      <c r="BI47" t="s">
        <v>11</v>
      </c>
      <c r="BJ47" t="s">
        <v>11</v>
      </c>
      <c r="BK47" t="s">
        <v>11</v>
      </c>
      <c r="BL47" t="s">
        <v>11</v>
      </c>
      <c r="BM47" t="s">
        <v>11</v>
      </c>
      <c r="BN47" t="s">
        <v>11</v>
      </c>
      <c r="BO47" t="s">
        <v>11</v>
      </c>
      <c r="BP47" t="str">
        <f t="shared" si="4"/>
        <v>NoData</v>
      </c>
      <c r="BQ47" t="str">
        <f t="shared" si="5"/>
        <v>NoData</v>
      </c>
      <c r="BR47" t="s">
        <v>11</v>
      </c>
      <c r="BS47" t="s">
        <v>11</v>
      </c>
      <c r="BT47" t="s">
        <v>11</v>
      </c>
      <c r="BU47" t="s">
        <v>11</v>
      </c>
    </row>
    <row r="48" spans="1:73" x14ac:dyDescent="0.25">
      <c r="A48" s="5">
        <v>27242</v>
      </c>
      <c r="B48">
        <v>2164</v>
      </c>
      <c r="C48" t="s">
        <v>11</v>
      </c>
      <c r="D48" t="s">
        <v>11</v>
      </c>
      <c r="E48" t="s">
        <v>11</v>
      </c>
      <c r="F48" t="s">
        <v>11</v>
      </c>
      <c r="G48" t="s">
        <v>11</v>
      </c>
      <c r="H48" t="s">
        <v>11</v>
      </c>
      <c r="I48" t="s">
        <v>11</v>
      </c>
      <c r="J48">
        <v>2012</v>
      </c>
      <c r="K48" t="s">
        <v>11</v>
      </c>
      <c r="L48">
        <v>76370</v>
      </c>
      <c r="M48">
        <v>45056</v>
      </c>
      <c r="N48">
        <v>1137</v>
      </c>
      <c r="O48" t="s">
        <v>11</v>
      </c>
      <c r="P48" t="s">
        <v>11</v>
      </c>
      <c r="Q48" t="s">
        <v>11</v>
      </c>
      <c r="R48" t="s">
        <v>11</v>
      </c>
      <c r="S48" t="s">
        <v>11</v>
      </c>
      <c r="T48" s="34">
        <v>100600</v>
      </c>
      <c r="U48" s="34">
        <v>55330</v>
      </c>
      <c r="V48" s="34">
        <v>3939</v>
      </c>
      <c r="W48" t="s">
        <v>11</v>
      </c>
      <c r="X48">
        <v>4938</v>
      </c>
      <c r="Y48" t="s">
        <v>11</v>
      </c>
      <c r="Z48">
        <v>6862</v>
      </c>
      <c r="AA48">
        <v>5989</v>
      </c>
      <c r="AB48">
        <v>34649</v>
      </c>
      <c r="AC48">
        <v>26032</v>
      </c>
      <c r="AD48">
        <v>5738</v>
      </c>
      <c r="AE48" t="s">
        <v>11</v>
      </c>
      <c r="AF48">
        <v>6480</v>
      </c>
      <c r="AG48" t="s">
        <v>11</v>
      </c>
      <c r="AH48">
        <f t="shared" si="6"/>
        <v>5738</v>
      </c>
      <c r="AI48" t="str">
        <f t="shared" si="7"/>
        <v>NoData</v>
      </c>
      <c r="AJ48">
        <v>32146</v>
      </c>
      <c r="AK48" t="s">
        <v>11</v>
      </c>
      <c r="AL48">
        <v>70121</v>
      </c>
      <c r="AM48">
        <v>51791</v>
      </c>
      <c r="AN48">
        <v>132</v>
      </c>
      <c r="AO48" t="str">
        <f t="shared" si="8"/>
        <v>NoData</v>
      </c>
      <c r="AP48" t="s">
        <v>11</v>
      </c>
      <c r="AQ48" t="s">
        <v>11</v>
      </c>
      <c r="AR48" t="s">
        <v>11</v>
      </c>
      <c r="AS48" t="s">
        <v>11</v>
      </c>
      <c r="AT48" t="str">
        <f t="shared" si="11"/>
        <v>NoData</v>
      </c>
      <c r="AU48" t="str">
        <f t="shared" si="12"/>
        <v>NoData</v>
      </c>
      <c r="AV48" t="s">
        <v>11</v>
      </c>
      <c r="AW48" t="s">
        <v>11</v>
      </c>
      <c r="AX48" t="s">
        <v>11</v>
      </c>
      <c r="AY48" t="s">
        <v>11</v>
      </c>
      <c r="AZ48" t="str">
        <f t="shared" si="2"/>
        <v>NoData</v>
      </c>
      <c r="BA48" t="str">
        <f t="shared" si="3"/>
        <v>NoData</v>
      </c>
      <c r="BB48">
        <f t="shared" si="9"/>
        <v>132</v>
      </c>
      <c r="BC48" t="str">
        <f t="shared" si="10"/>
        <v>NoData</v>
      </c>
      <c r="BD48" t="s">
        <v>11</v>
      </c>
      <c r="BE48" t="s">
        <v>11</v>
      </c>
      <c r="BF48" t="s">
        <v>11</v>
      </c>
      <c r="BG48" t="s">
        <v>11</v>
      </c>
      <c r="BH48">
        <v>0</v>
      </c>
      <c r="BI48" t="s">
        <v>11</v>
      </c>
      <c r="BJ48" t="s">
        <v>11</v>
      </c>
      <c r="BK48" t="s">
        <v>11</v>
      </c>
      <c r="BL48" t="s">
        <v>11</v>
      </c>
      <c r="BM48" t="s">
        <v>11</v>
      </c>
      <c r="BN48" t="s">
        <v>11</v>
      </c>
      <c r="BO48" t="s">
        <v>11</v>
      </c>
      <c r="BP48" t="str">
        <f t="shared" si="4"/>
        <v>NoData</v>
      </c>
      <c r="BQ48" t="str">
        <f t="shared" si="5"/>
        <v>NoData</v>
      </c>
      <c r="BR48" t="s">
        <v>11</v>
      </c>
      <c r="BS48" t="s">
        <v>11</v>
      </c>
      <c r="BT48" t="s">
        <v>11</v>
      </c>
      <c r="BU48" t="s">
        <v>11</v>
      </c>
    </row>
    <row r="49" spans="1:73" x14ac:dyDescent="0.25">
      <c r="A49" s="5">
        <v>27273</v>
      </c>
      <c r="B49">
        <v>4600</v>
      </c>
      <c r="C49" t="s">
        <v>11</v>
      </c>
      <c r="D49" t="s">
        <v>11</v>
      </c>
      <c r="E49" t="s">
        <v>11</v>
      </c>
      <c r="F49" t="s">
        <v>11</v>
      </c>
      <c r="G49" t="s">
        <v>11</v>
      </c>
      <c r="H49" t="s">
        <v>11</v>
      </c>
      <c r="I49" t="s">
        <v>11</v>
      </c>
      <c r="J49">
        <v>2201</v>
      </c>
      <c r="K49" t="s">
        <v>11</v>
      </c>
      <c r="L49">
        <v>56960</v>
      </c>
      <c r="M49">
        <v>26499</v>
      </c>
      <c r="N49">
        <v>1334</v>
      </c>
      <c r="O49" t="s">
        <v>11</v>
      </c>
      <c r="P49" t="s">
        <v>11</v>
      </c>
      <c r="Q49" t="s">
        <v>11</v>
      </c>
      <c r="R49" t="s">
        <v>11</v>
      </c>
      <c r="S49" t="s">
        <v>11</v>
      </c>
      <c r="T49" s="34">
        <v>92230</v>
      </c>
      <c r="U49" s="34">
        <v>47030</v>
      </c>
      <c r="V49" s="34">
        <v>3464</v>
      </c>
      <c r="W49" t="s">
        <v>11</v>
      </c>
      <c r="X49">
        <v>3482</v>
      </c>
      <c r="Y49" t="s">
        <v>11</v>
      </c>
      <c r="Z49">
        <v>4549</v>
      </c>
      <c r="AA49">
        <v>3596</v>
      </c>
      <c r="AB49">
        <v>29608</v>
      </c>
      <c r="AC49">
        <v>21401</v>
      </c>
      <c r="AD49">
        <v>4109</v>
      </c>
      <c r="AE49" t="s">
        <v>11</v>
      </c>
      <c r="AF49">
        <v>6404</v>
      </c>
      <c r="AG49" t="s">
        <v>11</v>
      </c>
      <c r="AH49">
        <f t="shared" si="6"/>
        <v>4109</v>
      </c>
      <c r="AI49" t="str">
        <f t="shared" si="7"/>
        <v>NoData</v>
      </c>
      <c r="AJ49">
        <v>25220</v>
      </c>
      <c r="AK49" t="s">
        <v>11</v>
      </c>
      <c r="AL49">
        <v>54543</v>
      </c>
      <c r="AM49">
        <v>37753</v>
      </c>
      <c r="AN49">
        <v>12</v>
      </c>
      <c r="AO49" t="str">
        <f t="shared" si="8"/>
        <v>NoData</v>
      </c>
      <c r="AP49" t="s">
        <v>11</v>
      </c>
      <c r="AQ49" t="s">
        <v>11</v>
      </c>
      <c r="AR49" t="s">
        <v>11</v>
      </c>
      <c r="AS49" t="s">
        <v>11</v>
      </c>
      <c r="AT49" t="str">
        <f t="shared" si="11"/>
        <v>NoData</v>
      </c>
      <c r="AU49" t="str">
        <f t="shared" si="12"/>
        <v>NoData</v>
      </c>
      <c r="AV49" t="s">
        <v>11</v>
      </c>
      <c r="AW49" t="s">
        <v>11</v>
      </c>
      <c r="AX49" t="s">
        <v>11</v>
      </c>
      <c r="AY49" t="s">
        <v>11</v>
      </c>
      <c r="AZ49" t="str">
        <f t="shared" si="2"/>
        <v>NoData</v>
      </c>
      <c r="BA49" t="str">
        <f t="shared" si="3"/>
        <v>NoData</v>
      </c>
      <c r="BB49">
        <f t="shared" si="9"/>
        <v>12</v>
      </c>
      <c r="BC49" t="str">
        <f t="shared" si="10"/>
        <v>NoData</v>
      </c>
      <c r="BD49" t="s">
        <v>11</v>
      </c>
      <c r="BE49" t="s">
        <v>11</v>
      </c>
      <c r="BF49" t="s">
        <v>11</v>
      </c>
      <c r="BG49" t="s">
        <v>11</v>
      </c>
      <c r="BH49">
        <v>0</v>
      </c>
      <c r="BI49" t="s">
        <v>11</v>
      </c>
      <c r="BJ49" t="s">
        <v>11</v>
      </c>
      <c r="BK49" t="s">
        <v>11</v>
      </c>
      <c r="BL49" t="s">
        <v>11</v>
      </c>
      <c r="BM49" t="s">
        <v>11</v>
      </c>
      <c r="BN49" t="s">
        <v>11</v>
      </c>
      <c r="BO49" t="s">
        <v>11</v>
      </c>
      <c r="BP49" t="str">
        <f t="shared" si="4"/>
        <v>NoData</v>
      </c>
      <c r="BQ49" t="str">
        <f t="shared" si="5"/>
        <v>NoData</v>
      </c>
      <c r="BR49" t="s">
        <v>11</v>
      </c>
      <c r="BS49" t="s">
        <v>11</v>
      </c>
      <c r="BT49" t="s">
        <v>11</v>
      </c>
      <c r="BU49" t="s">
        <v>11</v>
      </c>
    </row>
    <row r="50" spans="1:73" x14ac:dyDescent="0.25">
      <c r="A50" s="5">
        <v>27303</v>
      </c>
      <c r="B50">
        <v>2632</v>
      </c>
      <c r="C50" t="s">
        <v>11</v>
      </c>
      <c r="D50" t="s">
        <v>11</v>
      </c>
      <c r="E50" t="s">
        <v>11</v>
      </c>
      <c r="F50" t="s">
        <v>11</v>
      </c>
      <c r="G50" t="s">
        <v>11</v>
      </c>
      <c r="H50" t="s">
        <v>11</v>
      </c>
      <c r="I50" t="s">
        <v>11</v>
      </c>
      <c r="J50">
        <v>1409</v>
      </c>
      <c r="K50" t="s">
        <v>11</v>
      </c>
      <c r="L50">
        <v>39590</v>
      </c>
      <c r="M50">
        <v>11083</v>
      </c>
      <c r="N50">
        <v>32</v>
      </c>
      <c r="O50" t="s">
        <v>11</v>
      </c>
      <c r="P50" t="s">
        <v>11</v>
      </c>
      <c r="Q50" t="s">
        <v>11</v>
      </c>
      <c r="R50" t="s">
        <v>11</v>
      </c>
      <c r="S50" t="s">
        <v>11</v>
      </c>
      <c r="T50" s="34">
        <v>54230</v>
      </c>
      <c r="U50" s="34">
        <v>12590</v>
      </c>
      <c r="V50" s="34">
        <v>3819</v>
      </c>
      <c r="W50" t="s">
        <v>11</v>
      </c>
      <c r="X50">
        <v>2775</v>
      </c>
      <c r="Y50" t="s">
        <v>11</v>
      </c>
      <c r="Z50">
        <v>3930</v>
      </c>
      <c r="AA50">
        <v>3147</v>
      </c>
      <c r="AB50">
        <v>24901</v>
      </c>
      <c r="AC50">
        <v>16014</v>
      </c>
      <c r="AD50">
        <v>3386</v>
      </c>
      <c r="AE50" t="s">
        <v>11</v>
      </c>
      <c r="AF50">
        <v>4226</v>
      </c>
      <c r="AG50" t="s">
        <v>11</v>
      </c>
      <c r="AH50">
        <f t="shared" si="6"/>
        <v>3386</v>
      </c>
      <c r="AI50" t="str">
        <f t="shared" si="7"/>
        <v>NoData</v>
      </c>
      <c r="AJ50">
        <v>18102</v>
      </c>
      <c r="AK50" t="s">
        <v>11</v>
      </c>
      <c r="AL50">
        <v>34901</v>
      </c>
      <c r="AM50">
        <v>16501</v>
      </c>
      <c r="AN50">
        <v>5</v>
      </c>
      <c r="AO50" t="str">
        <f t="shared" si="8"/>
        <v>NoData</v>
      </c>
      <c r="AP50" t="s">
        <v>11</v>
      </c>
      <c r="AQ50" t="s">
        <v>11</v>
      </c>
      <c r="AR50" t="s">
        <v>11</v>
      </c>
      <c r="AS50" t="s">
        <v>11</v>
      </c>
      <c r="AT50" t="str">
        <f t="shared" si="11"/>
        <v>NoData</v>
      </c>
      <c r="AU50" t="str">
        <f t="shared" si="12"/>
        <v>NoData</v>
      </c>
      <c r="AV50" t="s">
        <v>11</v>
      </c>
      <c r="AW50" t="s">
        <v>11</v>
      </c>
      <c r="AX50" t="s">
        <v>11</v>
      </c>
      <c r="AY50" t="s">
        <v>11</v>
      </c>
      <c r="AZ50" t="str">
        <f t="shared" si="2"/>
        <v>NoData</v>
      </c>
      <c r="BA50" t="str">
        <f t="shared" si="3"/>
        <v>NoData</v>
      </c>
      <c r="BB50">
        <f t="shared" si="9"/>
        <v>5</v>
      </c>
      <c r="BC50" t="str">
        <f t="shared" si="10"/>
        <v>NoData</v>
      </c>
      <c r="BD50" t="s">
        <v>11</v>
      </c>
      <c r="BE50" t="s">
        <v>11</v>
      </c>
      <c r="BF50" t="s">
        <v>11</v>
      </c>
      <c r="BG50" t="s">
        <v>11</v>
      </c>
      <c r="BH50">
        <v>0</v>
      </c>
      <c r="BI50" t="s">
        <v>11</v>
      </c>
      <c r="BJ50" t="s">
        <v>11</v>
      </c>
      <c r="BK50" t="s">
        <v>11</v>
      </c>
      <c r="BL50" t="s">
        <v>11</v>
      </c>
      <c r="BM50" t="s">
        <v>11</v>
      </c>
      <c r="BN50" t="s">
        <v>11</v>
      </c>
      <c r="BO50" t="s">
        <v>11</v>
      </c>
      <c r="BP50" t="str">
        <f t="shared" si="4"/>
        <v>NoData</v>
      </c>
      <c r="BQ50" t="str">
        <f t="shared" si="5"/>
        <v>NoData</v>
      </c>
      <c r="BR50" t="s">
        <v>11</v>
      </c>
      <c r="BS50" t="s">
        <v>11</v>
      </c>
      <c r="BT50" t="s">
        <v>11</v>
      </c>
      <c r="BU50" t="s">
        <v>11</v>
      </c>
    </row>
    <row r="51" spans="1:73" x14ac:dyDescent="0.25">
      <c r="A51" s="5">
        <v>27334</v>
      </c>
      <c r="B51">
        <v>817</v>
      </c>
      <c r="C51" t="s">
        <v>11</v>
      </c>
      <c r="D51" t="s">
        <v>11</v>
      </c>
      <c r="E51" t="s">
        <v>11</v>
      </c>
      <c r="F51" t="s">
        <v>11</v>
      </c>
      <c r="G51" t="s">
        <v>11</v>
      </c>
      <c r="H51" t="s">
        <v>11</v>
      </c>
      <c r="I51" t="s">
        <v>11</v>
      </c>
      <c r="J51">
        <v>1270</v>
      </c>
      <c r="K51" t="s">
        <v>11</v>
      </c>
      <c r="L51">
        <v>28270</v>
      </c>
      <c r="M51">
        <v>3405</v>
      </c>
      <c r="N51">
        <v>0</v>
      </c>
      <c r="O51" t="s">
        <v>11</v>
      </c>
      <c r="P51" t="s">
        <v>11</v>
      </c>
      <c r="Q51" t="s">
        <v>11</v>
      </c>
      <c r="R51" t="s">
        <v>11</v>
      </c>
      <c r="S51" t="s">
        <v>11</v>
      </c>
      <c r="T51" s="34">
        <v>50080</v>
      </c>
      <c r="U51" s="34">
        <v>11620</v>
      </c>
      <c r="V51" s="34">
        <v>2208</v>
      </c>
      <c r="W51" t="s">
        <v>11</v>
      </c>
      <c r="X51">
        <v>3097</v>
      </c>
      <c r="Y51" t="s">
        <v>11</v>
      </c>
      <c r="Z51">
        <v>3918</v>
      </c>
      <c r="AA51">
        <v>3193</v>
      </c>
      <c r="AB51">
        <v>14390</v>
      </c>
      <c r="AC51">
        <v>6137</v>
      </c>
      <c r="AD51">
        <v>1974</v>
      </c>
      <c r="AE51" t="s">
        <v>11</v>
      </c>
      <c r="AF51">
        <v>3275</v>
      </c>
      <c r="AG51" t="s">
        <v>11</v>
      </c>
      <c r="AH51">
        <f t="shared" si="6"/>
        <v>1974</v>
      </c>
      <c r="AI51" t="str">
        <f t="shared" si="7"/>
        <v>NoData</v>
      </c>
      <c r="AJ51">
        <v>12817</v>
      </c>
      <c r="AK51" t="s">
        <v>11</v>
      </c>
      <c r="AL51">
        <v>25125</v>
      </c>
      <c r="AM51">
        <v>7715</v>
      </c>
      <c r="AN51">
        <v>0</v>
      </c>
      <c r="AO51" t="str">
        <f t="shared" si="8"/>
        <v>NoData</v>
      </c>
      <c r="AP51" t="s">
        <v>11</v>
      </c>
      <c r="AQ51" t="s">
        <v>11</v>
      </c>
      <c r="AR51" t="s">
        <v>11</v>
      </c>
      <c r="AS51" t="s">
        <v>11</v>
      </c>
      <c r="AT51" t="str">
        <f t="shared" si="11"/>
        <v>NoData</v>
      </c>
      <c r="AU51" t="str">
        <f t="shared" si="12"/>
        <v>NoData</v>
      </c>
      <c r="AV51" t="s">
        <v>11</v>
      </c>
      <c r="AW51" t="s">
        <v>11</v>
      </c>
      <c r="AX51" t="s">
        <v>11</v>
      </c>
      <c r="AY51" t="s">
        <v>11</v>
      </c>
      <c r="AZ51" t="str">
        <f t="shared" si="2"/>
        <v>NoData</v>
      </c>
      <c r="BA51" t="str">
        <f t="shared" si="3"/>
        <v>NoData</v>
      </c>
      <c r="BB51">
        <f t="shared" si="9"/>
        <v>0</v>
      </c>
      <c r="BC51" t="str">
        <f t="shared" si="10"/>
        <v>NoData</v>
      </c>
      <c r="BD51" t="s">
        <v>11</v>
      </c>
      <c r="BE51" t="s">
        <v>11</v>
      </c>
      <c r="BF51" t="s">
        <v>11</v>
      </c>
      <c r="BG51" t="s">
        <v>11</v>
      </c>
      <c r="BH51">
        <v>0</v>
      </c>
      <c r="BI51" t="s">
        <v>11</v>
      </c>
      <c r="BJ51" t="s">
        <v>11</v>
      </c>
      <c r="BK51" t="s">
        <v>11</v>
      </c>
      <c r="BL51" t="s">
        <v>11</v>
      </c>
      <c r="BM51" t="s">
        <v>11</v>
      </c>
      <c r="BN51" t="s">
        <v>11</v>
      </c>
      <c r="BO51" t="s">
        <v>11</v>
      </c>
      <c r="BP51" t="str">
        <f t="shared" si="4"/>
        <v>NoData</v>
      </c>
      <c r="BQ51" t="str">
        <f t="shared" si="5"/>
        <v>NoData</v>
      </c>
      <c r="BR51" t="s">
        <v>11</v>
      </c>
      <c r="BS51" t="s">
        <v>11</v>
      </c>
      <c r="BT51" t="s">
        <v>11</v>
      </c>
      <c r="BU51" t="s">
        <v>11</v>
      </c>
    </row>
    <row r="52" spans="1:73" x14ac:dyDescent="0.25">
      <c r="A52" s="5">
        <v>27364</v>
      </c>
      <c r="B52">
        <v>281</v>
      </c>
      <c r="C52" t="s">
        <v>11</v>
      </c>
      <c r="D52" t="s">
        <v>11</v>
      </c>
      <c r="E52" t="s">
        <v>11</v>
      </c>
      <c r="F52" t="s">
        <v>11</v>
      </c>
      <c r="G52" t="s">
        <v>11</v>
      </c>
      <c r="H52" t="s">
        <v>11</v>
      </c>
      <c r="I52" t="s">
        <v>11</v>
      </c>
      <c r="J52">
        <v>1149</v>
      </c>
      <c r="K52" t="s">
        <v>11</v>
      </c>
      <c r="L52">
        <v>29960</v>
      </c>
      <c r="M52">
        <v>7535</v>
      </c>
      <c r="N52">
        <v>0</v>
      </c>
      <c r="O52" t="s">
        <v>11</v>
      </c>
      <c r="P52" t="s">
        <v>11</v>
      </c>
      <c r="Q52" t="s">
        <v>11</v>
      </c>
      <c r="R52" t="s">
        <v>11</v>
      </c>
      <c r="S52" t="s">
        <v>11</v>
      </c>
      <c r="T52" s="34">
        <v>43940</v>
      </c>
      <c r="U52" s="34">
        <v>8560</v>
      </c>
      <c r="V52" s="34">
        <v>1019</v>
      </c>
      <c r="W52" t="s">
        <v>11</v>
      </c>
      <c r="X52">
        <v>1860</v>
      </c>
      <c r="Y52" t="s">
        <v>11</v>
      </c>
      <c r="Z52">
        <v>2614</v>
      </c>
      <c r="AA52">
        <v>2111</v>
      </c>
      <c r="AB52">
        <v>15248</v>
      </c>
      <c r="AC52">
        <v>7230</v>
      </c>
      <c r="AD52">
        <v>1819</v>
      </c>
      <c r="AE52" t="s">
        <v>11</v>
      </c>
      <c r="AF52">
        <v>2075</v>
      </c>
      <c r="AG52" t="s">
        <v>11</v>
      </c>
      <c r="AH52">
        <f t="shared" si="6"/>
        <v>1819</v>
      </c>
      <c r="AI52" t="str">
        <f t="shared" si="7"/>
        <v>NoData</v>
      </c>
      <c r="AJ52">
        <v>10999</v>
      </c>
      <c r="AK52" t="s">
        <v>11</v>
      </c>
      <c r="AL52">
        <v>21865</v>
      </c>
      <c r="AM52">
        <v>3545</v>
      </c>
      <c r="AN52">
        <v>0</v>
      </c>
      <c r="AO52" t="str">
        <f t="shared" si="8"/>
        <v>NoData</v>
      </c>
      <c r="AP52" t="s">
        <v>11</v>
      </c>
      <c r="AQ52" t="s">
        <v>11</v>
      </c>
      <c r="AR52" t="s">
        <v>11</v>
      </c>
      <c r="AS52" t="s">
        <v>11</v>
      </c>
      <c r="AT52" t="str">
        <f t="shared" si="11"/>
        <v>NoData</v>
      </c>
      <c r="AU52" t="str">
        <f t="shared" si="12"/>
        <v>NoData</v>
      </c>
      <c r="AV52" t="s">
        <v>11</v>
      </c>
      <c r="AW52" t="s">
        <v>11</v>
      </c>
      <c r="AX52" t="s">
        <v>11</v>
      </c>
      <c r="AY52" t="s">
        <v>11</v>
      </c>
      <c r="AZ52" t="str">
        <f t="shared" si="2"/>
        <v>NoData</v>
      </c>
      <c r="BA52" t="str">
        <f t="shared" si="3"/>
        <v>NoData</v>
      </c>
      <c r="BB52">
        <f t="shared" si="9"/>
        <v>0</v>
      </c>
      <c r="BC52" t="str">
        <f t="shared" si="10"/>
        <v>NoData</v>
      </c>
      <c r="BD52" t="s">
        <v>11</v>
      </c>
      <c r="BE52" t="s">
        <v>11</v>
      </c>
      <c r="BF52" t="s">
        <v>11</v>
      </c>
      <c r="BG52" t="s">
        <v>11</v>
      </c>
      <c r="BH52">
        <v>33</v>
      </c>
      <c r="BI52" t="s">
        <v>11</v>
      </c>
      <c r="BJ52" t="s">
        <v>11</v>
      </c>
      <c r="BK52" t="s">
        <v>11</v>
      </c>
      <c r="BL52" t="s">
        <v>11</v>
      </c>
      <c r="BM52" t="s">
        <v>11</v>
      </c>
      <c r="BN52" t="s">
        <v>11</v>
      </c>
      <c r="BO52" t="s">
        <v>11</v>
      </c>
      <c r="BP52" t="str">
        <f t="shared" si="4"/>
        <v>NoData</v>
      </c>
      <c r="BQ52" t="str">
        <f t="shared" si="5"/>
        <v>NoData</v>
      </c>
      <c r="BR52" t="s">
        <v>11</v>
      </c>
      <c r="BS52" t="s">
        <v>11</v>
      </c>
      <c r="BT52" t="s">
        <v>11</v>
      </c>
      <c r="BU52" t="s">
        <v>11</v>
      </c>
    </row>
    <row r="53" spans="1:73" x14ac:dyDescent="0.25">
      <c r="A53" s="5">
        <v>27395</v>
      </c>
      <c r="B53">
        <v>99</v>
      </c>
      <c r="C53" t="s">
        <v>11</v>
      </c>
      <c r="D53" t="s">
        <v>11</v>
      </c>
      <c r="E53" t="s">
        <v>11</v>
      </c>
      <c r="F53">
        <v>7</v>
      </c>
      <c r="G53" t="s">
        <v>11</v>
      </c>
      <c r="H53">
        <v>0</v>
      </c>
      <c r="I53" t="s">
        <v>11</v>
      </c>
      <c r="J53">
        <v>2203</v>
      </c>
      <c r="K53" t="s">
        <v>11</v>
      </c>
      <c r="L53">
        <v>13390</v>
      </c>
      <c r="M53">
        <v>-1816</v>
      </c>
      <c r="N53">
        <v>1032</v>
      </c>
      <c r="O53" t="s">
        <v>11</v>
      </c>
      <c r="P53" t="s">
        <v>11</v>
      </c>
      <c r="Q53" t="s">
        <v>11</v>
      </c>
      <c r="R53" t="s">
        <v>11</v>
      </c>
      <c r="S53" t="s">
        <v>11</v>
      </c>
      <c r="T53" s="34">
        <v>53818</v>
      </c>
      <c r="U53" s="34">
        <v>18576</v>
      </c>
      <c r="V53" s="34">
        <v>2450</v>
      </c>
      <c r="W53" t="s">
        <v>11</v>
      </c>
      <c r="X53">
        <v>2344</v>
      </c>
      <c r="Y53" t="s">
        <v>11</v>
      </c>
      <c r="Z53">
        <v>3010</v>
      </c>
      <c r="AA53">
        <v>2516</v>
      </c>
      <c r="AB53">
        <v>18688</v>
      </c>
      <c r="AC53">
        <v>11041</v>
      </c>
      <c r="AD53">
        <v>1802</v>
      </c>
      <c r="AE53" t="s">
        <v>11</v>
      </c>
      <c r="AF53">
        <v>3057</v>
      </c>
      <c r="AG53" t="s">
        <v>11</v>
      </c>
      <c r="AH53">
        <f t="shared" si="6"/>
        <v>1802</v>
      </c>
      <c r="AI53" t="str">
        <f t="shared" si="7"/>
        <v>NoData</v>
      </c>
      <c r="AJ53">
        <v>9912</v>
      </c>
      <c r="AK53" t="s">
        <v>11</v>
      </c>
      <c r="AL53">
        <v>26883</v>
      </c>
      <c r="AM53">
        <v>8733</v>
      </c>
      <c r="AN53">
        <v>0</v>
      </c>
      <c r="AO53" t="s">
        <v>11</v>
      </c>
      <c r="AP53" t="s">
        <v>11</v>
      </c>
      <c r="AQ53" t="s">
        <v>11</v>
      </c>
      <c r="AR53" t="s">
        <v>11</v>
      </c>
      <c r="AS53" t="s">
        <v>11</v>
      </c>
      <c r="AT53" t="str">
        <f t="shared" si="11"/>
        <v>NoData</v>
      </c>
      <c r="AU53" t="str">
        <f t="shared" si="12"/>
        <v>NoData</v>
      </c>
      <c r="AV53" t="s">
        <v>11</v>
      </c>
      <c r="AW53" t="s">
        <v>11</v>
      </c>
      <c r="AX53" t="s">
        <v>11</v>
      </c>
      <c r="AY53" t="s">
        <v>11</v>
      </c>
      <c r="AZ53" t="str">
        <f t="shared" si="2"/>
        <v>NoData</v>
      </c>
      <c r="BA53" t="str">
        <f t="shared" si="3"/>
        <v>NoData</v>
      </c>
      <c r="BB53">
        <f t="shared" si="9"/>
        <v>0</v>
      </c>
      <c r="BC53" t="str">
        <f t="shared" si="10"/>
        <v>NoData</v>
      </c>
      <c r="BD53" t="s">
        <v>11</v>
      </c>
      <c r="BE53" t="s">
        <v>11</v>
      </c>
      <c r="BF53" t="s">
        <v>11</v>
      </c>
      <c r="BG53" t="s">
        <v>11</v>
      </c>
      <c r="BH53">
        <v>37</v>
      </c>
      <c r="BI53" t="s">
        <v>11</v>
      </c>
      <c r="BJ53" t="s">
        <v>11</v>
      </c>
      <c r="BK53" t="s">
        <v>11</v>
      </c>
      <c r="BL53" t="s">
        <v>11</v>
      </c>
      <c r="BM53" t="s">
        <v>11</v>
      </c>
      <c r="BN53" t="s">
        <v>11</v>
      </c>
      <c r="BO53" t="s">
        <v>11</v>
      </c>
      <c r="BP53" t="str">
        <f t="shared" si="4"/>
        <v>NoData</v>
      </c>
      <c r="BQ53" t="str">
        <f t="shared" si="5"/>
        <v>NoData</v>
      </c>
      <c r="BR53" t="s">
        <v>11</v>
      </c>
      <c r="BS53" t="s">
        <v>11</v>
      </c>
      <c r="BT53" t="s">
        <v>11</v>
      </c>
      <c r="BU53" t="s">
        <v>11</v>
      </c>
    </row>
    <row r="54" spans="1:73" x14ac:dyDescent="0.25">
      <c r="A54" s="5">
        <v>27426</v>
      </c>
      <c r="B54">
        <v>181</v>
      </c>
      <c r="C54" t="s">
        <v>11</v>
      </c>
      <c r="D54" t="s">
        <v>11</v>
      </c>
      <c r="E54" t="s">
        <v>11</v>
      </c>
      <c r="F54">
        <v>19</v>
      </c>
      <c r="G54" t="s">
        <v>11</v>
      </c>
      <c r="H54">
        <v>0</v>
      </c>
      <c r="I54" t="s">
        <v>11</v>
      </c>
      <c r="J54">
        <v>1538</v>
      </c>
      <c r="K54" t="s">
        <v>11</v>
      </c>
      <c r="L54">
        <v>43350</v>
      </c>
      <c r="M54">
        <v>24338</v>
      </c>
      <c r="N54">
        <v>820</v>
      </c>
      <c r="O54" t="s">
        <v>11</v>
      </c>
      <c r="P54" t="s">
        <v>11</v>
      </c>
      <c r="Q54" t="s">
        <v>11</v>
      </c>
      <c r="R54" t="s">
        <v>11</v>
      </c>
      <c r="S54" t="s">
        <v>11</v>
      </c>
      <c r="T54" s="34">
        <v>60162</v>
      </c>
      <c r="U54" s="34">
        <v>27952</v>
      </c>
      <c r="V54" s="34">
        <v>275</v>
      </c>
      <c r="W54" t="s">
        <v>11</v>
      </c>
      <c r="X54">
        <v>3107</v>
      </c>
      <c r="Y54" t="s">
        <v>11</v>
      </c>
      <c r="Z54">
        <v>4626</v>
      </c>
      <c r="AA54">
        <v>3963</v>
      </c>
      <c r="AB54">
        <v>22191</v>
      </c>
      <c r="AC54">
        <v>15053</v>
      </c>
      <c r="AD54">
        <v>1675</v>
      </c>
      <c r="AE54" t="s">
        <v>11</v>
      </c>
      <c r="AF54">
        <v>4401</v>
      </c>
      <c r="AG54" t="s">
        <v>11</v>
      </c>
      <c r="AH54">
        <f t="shared" si="6"/>
        <v>1675</v>
      </c>
      <c r="AI54" t="str">
        <f t="shared" si="7"/>
        <v>NoData</v>
      </c>
      <c r="AJ54">
        <v>10314</v>
      </c>
      <c r="AK54" t="s">
        <v>11</v>
      </c>
      <c r="AL54">
        <v>31945</v>
      </c>
      <c r="AM54">
        <v>15525</v>
      </c>
      <c r="AN54">
        <v>0</v>
      </c>
      <c r="AO54" t="s">
        <v>11</v>
      </c>
      <c r="AP54" t="s">
        <v>11</v>
      </c>
      <c r="AQ54" t="s">
        <v>11</v>
      </c>
      <c r="AR54" t="s">
        <v>11</v>
      </c>
      <c r="AS54" t="s">
        <v>11</v>
      </c>
      <c r="AT54" t="str">
        <f t="shared" si="11"/>
        <v>NoData</v>
      </c>
      <c r="AU54" t="str">
        <f t="shared" si="12"/>
        <v>NoData</v>
      </c>
      <c r="AV54" t="s">
        <v>11</v>
      </c>
      <c r="AW54" t="s">
        <v>11</v>
      </c>
      <c r="AX54" t="s">
        <v>11</v>
      </c>
      <c r="AY54" t="s">
        <v>11</v>
      </c>
      <c r="AZ54" t="str">
        <f t="shared" si="2"/>
        <v>NoData</v>
      </c>
      <c r="BA54" t="str">
        <f t="shared" si="3"/>
        <v>NoData</v>
      </c>
      <c r="BB54">
        <f t="shared" si="9"/>
        <v>0</v>
      </c>
      <c r="BC54" t="str">
        <f t="shared" si="10"/>
        <v>NoData</v>
      </c>
      <c r="BD54" t="s">
        <v>11</v>
      </c>
      <c r="BE54" t="s">
        <v>11</v>
      </c>
      <c r="BF54" t="s">
        <v>11</v>
      </c>
      <c r="BG54" t="s">
        <v>11</v>
      </c>
      <c r="BH54">
        <v>22</v>
      </c>
      <c r="BI54" t="s">
        <v>11</v>
      </c>
      <c r="BJ54" t="s">
        <v>11</v>
      </c>
      <c r="BK54" t="s">
        <v>11</v>
      </c>
      <c r="BL54" t="s">
        <v>11</v>
      </c>
      <c r="BM54" t="s">
        <v>11</v>
      </c>
      <c r="BN54" t="s">
        <v>11</v>
      </c>
      <c r="BO54" t="s">
        <v>11</v>
      </c>
      <c r="BP54" t="str">
        <f t="shared" si="4"/>
        <v>NoData</v>
      </c>
      <c r="BQ54" t="str">
        <f t="shared" si="5"/>
        <v>NoData</v>
      </c>
      <c r="BR54" t="s">
        <v>11</v>
      </c>
      <c r="BS54" t="s">
        <v>11</v>
      </c>
      <c r="BT54" t="s">
        <v>11</v>
      </c>
      <c r="BU54" t="s">
        <v>11</v>
      </c>
    </row>
    <row r="55" spans="1:73" x14ac:dyDescent="0.25">
      <c r="A55" s="5">
        <v>27454</v>
      </c>
      <c r="B55">
        <v>892</v>
      </c>
      <c r="C55" t="s">
        <v>11</v>
      </c>
      <c r="D55" t="s">
        <v>11</v>
      </c>
      <c r="E55" t="s">
        <v>11</v>
      </c>
      <c r="F55">
        <v>128</v>
      </c>
      <c r="G55" t="s">
        <v>11</v>
      </c>
      <c r="H55">
        <v>0</v>
      </c>
      <c r="I55" t="s">
        <v>11</v>
      </c>
      <c r="J55">
        <v>3188</v>
      </c>
      <c r="K55" t="s">
        <v>11</v>
      </c>
      <c r="L55">
        <v>58910</v>
      </c>
      <c r="M55">
        <v>31562</v>
      </c>
      <c r="N55">
        <v>961</v>
      </c>
      <c r="O55" t="s">
        <v>11</v>
      </c>
      <c r="P55" t="s">
        <v>11</v>
      </c>
      <c r="Q55" t="s">
        <v>11</v>
      </c>
      <c r="R55" t="s">
        <v>11</v>
      </c>
      <c r="S55" t="s">
        <v>11</v>
      </c>
      <c r="T55" s="34">
        <v>79489</v>
      </c>
      <c r="U55" s="34">
        <v>41384</v>
      </c>
      <c r="V55" s="34">
        <v>4275</v>
      </c>
      <c r="W55" t="s">
        <v>11</v>
      </c>
      <c r="X55">
        <v>3944</v>
      </c>
      <c r="Y55" t="s">
        <v>11</v>
      </c>
      <c r="Z55">
        <v>4785</v>
      </c>
      <c r="AA55">
        <v>4290</v>
      </c>
      <c r="AB55">
        <v>27991</v>
      </c>
      <c r="AC55">
        <v>19313</v>
      </c>
      <c r="AD55">
        <v>1895</v>
      </c>
      <c r="AE55" t="s">
        <v>11</v>
      </c>
      <c r="AF55">
        <v>4686</v>
      </c>
      <c r="AG55" t="s">
        <v>11</v>
      </c>
      <c r="AH55">
        <f t="shared" si="6"/>
        <v>1895</v>
      </c>
      <c r="AI55" t="str">
        <f t="shared" si="7"/>
        <v>NoData</v>
      </c>
      <c r="AJ55">
        <v>13568</v>
      </c>
      <c r="AK55" t="s">
        <v>11</v>
      </c>
      <c r="AL55">
        <v>44140</v>
      </c>
      <c r="AM55">
        <v>27370</v>
      </c>
      <c r="AN55">
        <v>44</v>
      </c>
      <c r="AO55" t="s">
        <v>11</v>
      </c>
      <c r="AP55" t="s">
        <v>11</v>
      </c>
      <c r="AQ55" t="s">
        <v>11</v>
      </c>
      <c r="AR55" t="s">
        <v>11</v>
      </c>
      <c r="AS55" t="s">
        <v>11</v>
      </c>
      <c r="AT55" t="str">
        <f t="shared" si="11"/>
        <v>NoData</v>
      </c>
      <c r="AU55" t="str">
        <f t="shared" si="12"/>
        <v>NoData</v>
      </c>
      <c r="AV55" t="s">
        <v>11</v>
      </c>
      <c r="AW55" t="s">
        <v>11</v>
      </c>
      <c r="AX55" t="s">
        <v>11</v>
      </c>
      <c r="AY55" t="s">
        <v>11</v>
      </c>
      <c r="AZ55" t="str">
        <f t="shared" si="2"/>
        <v>NoData</v>
      </c>
      <c r="BA55" t="str">
        <f t="shared" si="3"/>
        <v>NoData</v>
      </c>
      <c r="BB55">
        <f t="shared" si="9"/>
        <v>44</v>
      </c>
      <c r="BC55" t="str">
        <f t="shared" si="10"/>
        <v>NoData</v>
      </c>
      <c r="BD55" t="s">
        <v>11</v>
      </c>
      <c r="BE55" t="s">
        <v>11</v>
      </c>
      <c r="BF55" t="s">
        <v>11</v>
      </c>
      <c r="BG55" t="s">
        <v>11</v>
      </c>
      <c r="BH55">
        <v>6</v>
      </c>
      <c r="BI55" t="s">
        <v>11</v>
      </c>
      <c r="BJ55" t="s">
        <v>11</v>
      </c>
      <c r="BK55" t="s">
        <v>11</v>
      </c>
      <c r="BL55" t="s">
        <v>11</v>
      </c>
      <c r="BM55" t="s">
        <v>11</v>
      </c>
      <c r="BN55" t="s">
        <v>11</v>
      </c>
      <c r="BO55" t="s">
        <v>11</v>
      </c>
      <c r="BP55" t="str">
        <f t="shared" si="4"/>
        <v>NoData</v>
      </c>
      <c r="BQ55" t="str">
        <f t="shared" si="5"/>
        <v>NoData</v>
      </c>
      <c r="BR55" t="s">
        <v>11</v>
      </c>
      <c r="BS55" t="s">
        <v>11</v>
      </c>
      <c r="BT55" t="s">
        <v>11</v>
      </c>
      <c r="BU55" t="s">
        <v>11</v>
      </c>
    </row>
    <row r="56" spans="1:73" x14ac:dyDescent="0.25">
      <c r="A56" s="5">
        <v>27485</v>
      </c>
      <c r="B56">
        <v>1919</v>
      </c>
      <c r="C56" t="s">
        <v>11</v>
      </c>
      <c r="D56" t="s">
        <v>11</v>
      </c>
      <c r="E56" t="s">
        <v>11</v>
      </c>
      <c r="F56">
        <v>273</v>
      </c>
      <c r="G56" t="s">
        <v>11</v>
      </c>
      <c r="H56">
        <v>0</v>
      </c>
      <c r="I56" t="s">
        <v>11</v>
      </c>
      <c r="J56">
        <v>1930</v>
      </c>
      <c r="K56" t="s">
        <v>11</v>
      </c>
      <c r="L56">
        <v>67320</v>
      </c>
      <c r="M56">
        <v>40069</v>
      </c>
      <c r="N56">
        <v>1615</v>
      </c>
      <c r="O56" t="s">
        <v>11</v>
      </c>
      <c r="P56" t="s">
        <v>11</v>
      </c>
      <c r="Q56" t="s">
        <v>11</v>
      </c>
      <c r="R56" t="s">
        <v>11</v>
      </c>
      <c r="S56" t="s">
        <v>11</v>
      </c>
      <c r="T56" s="34">
        <v>91156</v>
      </c>
      <c r="U56" s="34">
        <v>53427</v>
      </c>
      <c r="V56" s="34">
        <v>4460</v>
      </c>
      <c r="W56" t="s">
        <v>11</v>
      </c>
      <c r="X56">
        <v>5348</v>
      </c>
      <c r="Y56" t="s">
        <v>11</v>
      </c>
      <c r="Z56">
        <v>5350</v>
      </c>
      <c r="AA56">
        <v>4812</v>
      </c>
      <c r="AB56">
        <v>32812</v>
      </c>
      <c r="AC56">
        <v>24707</v>
      </c>
      <c r="AD56">
        <v>2774</v>
      </c>
      <c r="AE56" t="s">
        <v>11</v>
      </c>
      <c r="AF56">
        <v>6651</v>
      </c>
      <c r="AG56" t="s">
        <v>11</v>
      </c>
      <c r="AH56">
        <f t="shared" si="6"/>
        <v>2774</v>
      </c>
      <c r="AI56" t="str">
        <f t="shared" si="7"/>
        <v>NoData</v>
      </c>
      <c r="AJ56">
        <v>17135</v>
      </c>
      <c r="AK56" t="s">
        <v>11</v>
      </c>
      <c r="AL56">
        <v>58055</v>
      </c>
      <c r="AM56">
        <v>44685</v>
      </c>
      <c r="AN56">
        <v>197</v>
      </c>
      <c r="AO56" t="s">
        <v>11</v>
      </c>
      <c r="AP56" t="s">
        <v>11</v>
      </c>
      <c r="AQ56" t="s">
        <v>11</v>
      </c>
      <c r="AR56" t="s">
        <v>11</v>
      </c>
      <c r="AS56" t="s">
        <v>11</v>
      </c>
      <c r="AT56" t="str">
        <f t="shared" si="11"/>
        <v>NoData</v>
      </c>
      <c r="AU56" t="str">
        <f t="shared" si="12"/>
        <v>NoData</v>
      </c>
      <c r="AV56" t="s">
        <v>11</v>
      </c>
      <c r="AW56" t="s">
        <v>11</v>
      </c>
      <c r="AX56" t="s">
        <v>11</v>
      </c>
      <c r="AY56" t="s">
        <v>11</v>
      </c>
      <c r="AZ56" t="str">
        <f t="shared" si="2"/>
        <v>NoData</v>
      </c>
      <c r="BA56" t="str">
        <f t="shared" si="3"/>
        <v>NoData</v>
      </c>
      <c r="BB56">
        <f t="shared" si="9"/>
        <v>197</v>
      </c>
      <c r="BC56" t="str">
        <f t="shared" si="10"/>
        <v>NoData</v>
      </c>
      <c r="BD56" t="s">
        <v>11</v>
      </c>
      <c r="BE56" t="s">
        <v>11</v>
      </c>
      <c r="BF56" t="s">
        <v>11</v>
      </c>
      <c r="BG56" t="s">
        <v>11</v>
      </c>
      <c r="BH56">
        <v>48</v>
      </c>
      <c r="BI56" t="s">
        <v>11</v>
      </c>
      <c r="BJ56" t="s">
        <v>11</v>
      </c>
      <c r="BK56" t="s">
        <v>11</v>
      </c>
      <c r="BL56" t="s">
        <v>11</v>
      </c>
      <c r="BM56" t="s">
        <v>11</v>
      </c>
      <c r="BN56" t="s">
        <v>11</v>
      </c>
      <c r="BO56" t="s">
        <v>11</v>
      </c>
      <c r="BP56" t="str">
        <f t="shared" si="4"/>
        <v>NoData</v>
      </c>
      <c r="BQ56" t="str">
        <f t="shared" si="5"/>
        <v>NoData</v>
      </c>
      <c r="BR56" t="s">
        <v>11</v>
      </c>
      <c r="BS56" t="s">
        <v>11</v>
      </c>
      <c r="BT56" t="s">
        <v>11</v>
      </c>
      <c r="BU56" t="s">
        <v>11</v>
      </c>
    </row>
    <row r="57" spans="1:73" x14ac:dyDescent="0.25">
      <c r="A57" s="5">
        <v>27515</v>
      </c>
      <c r="B57">
        <v>1405</v>
      </c>
      <c r="C57" t="s">
        <v>11</v>
      </c>
      <c r="D57" t="s">
        <v>11</v>
      </c>
      <c r="E57" t="s">
        <v>11</v>
      </c>
      <c r="F57">
        <v>197</v>
      </c>
      <c r="G57" t="s">
        <v>11</v>
      </c>
      <c r="H57">
        <v>66</v>
      </c>
      <c r="I57" t="s">
        <v>11</v>
      </c>
      <c r="J57">
        <v>1660</v>
      </c>
      <c r="K57" t="s">
        <v>11</v>
      </c>
      <c r="L57">
        <v>74560</v>
      </c>
      <c r="M57">
        <v>44710</v>
      </c>
      <c r="N57">
        <v>1800</v>
      </c>
      <c r="O57" t="s">
        <v>11</v>
      </c>
      <c r="P57" t="s">
        <v>11</v>
      </c>
      <c r="Q57" t="s">
        <v>11</v>
      </c>
      <c r="R57" t="s">
        <v>11</v>
      </c>
      <c r="S57" t="s">
        <v>11</v>
      </c>
      <c r="T57" s="34">
        <v>107307</v>
      </c>
      <c r="U57" s="34">
        <v>62934</v>
      </c>
      <c r="V57" s="34">
        <v>4217</v>
      </c>
      <c r="W57" t="s">
        <v>11</v>
      </c>
      <c r="X57">
        <v>5524</v>
      </c>
      <c r="Y57" t="s">
        <v>11</v>
      </c>
      <c r="Z57">
        <v>6547</v>
      </c>
      <c r="AA57">
        <v>5879</v>
      </c>
      <c r="AB57">
        <v>35227</v>
      </c>
      <c r="AC57">
        <v>26085</v>
      </c>
      <c r="AD57">
        <v>3749</v>
      </c>
      <c r="AE57" t="s">
        <v>11</v>
      </c>
      <c r="AF57">
        <v>6927</v>
      </c>
      <c r="AG57" t="s">
        <v>11</v>
      </c>
      <c r="AH57">
        <f t="shared" si="6"/>
        <v>3749</v>
      </c>
      <c r="AI57" t="str">
        <f t="shared" si="7"/>
        <v>NoData</v>
      </c>
      <c r="AJ57">
        <v>22762</v>
      </c>
      <c r="AK57" t="s">
        <v>11</v>
      </c>
      <c r="AL57">
        <v>59089</v>
      </c>
      <c r="AM57">
        <v>41559</v>
      </c>
      <c r="AN57">
        <v>50</v>
      </c>
      <c r="AO57" t="s">
        <v>11</v>
      </c>
      <c r="AP57" t="s">
        <v>11</v>
      </c>
      <c r="AQ57" t="s">
        <v>11</v>
      </c>
      <c r="AR57" t="s">
        <v>11</v>
      </c>
      <c r="AS57" t="s">
        <v>11</v>
      </c>
      <c r="AT57" t="str">
        <f t="shared" si="11"/>
        <v>NoData</v>
      </c>
      <c r="AU57" t="str">
        <f t="shared" si="12"/>
        <v>NoData</v>
      </c>
      <c r="AV57" t="s">
        <v>11</v>
      </c>
      <c r="AW57" t="s">
        <v>11</v>
      </c>
      <c r="AX57" t="s">
        <v>11</v>
      </c>
      <c r="AY57" t="s">
        <v>11</v>
      </c>
      <c r="AZ57" t="str">
        <f t="shared" si="2"/>
        <v>NoData</v>
      </c>
      <c r="BA57" t="str">
        <f t="shared" si="3"/>
        <v>NoData</v>
      </c>
      <c r="BB57">
        <f t="shared" si="9"/>
        <v>50</v>
      </c>
      <c r="BC57" t="str">
        <f t="shared" si="10"/>
        <v>NoData</v>
      </c>
      <c r="BD57" t="s">
        <v>11</v>
      </c>
      <c r="BE57" t="s">
        <v>11</v>
      </c>
      <c r="BF57" t="s">
        <v>11</v>
      </c>
      <c r="BG57" t="s">
        <v>11</v>
      </c>
      <c r="BH57">
        <v>21</v>
      </c>
      <c r="BI57" t="s">
        <v>11</v>
      </c>
      <c r="BJ57" t="s">
        <v>11</v>
      </c>
      <c r="BK57" t="s">
        <v>11</v>
      </c>
      <c r="BL57" t="s">
        <v>11</v>
      </c>
      <c r="BM57" t="s">
        <v>11</v>
      </c>
      <c r="BN57" t="s">
        <v>11</v>
      </c>
      <c r="BO57" t="s">
        <v>11</v>
      </c>
      <c r="BP57" t="str">
        <f t="shared" si="4"/>
        <v>NoData</v>
      </c>
      <c r="BQ57" t="str">
        <f t="shared" si="5"/>
        <v>NoData</v>
      </c>
      <c r="BR57" t="s">
        <v>11</v>
      </c>
      <c r="BS57" t="s">
        <v>11</v>
      </c>
      <c r="BT57" t="s">
        <v>11</v>
      </c>
      <c r="BU57" t="s">
        <v>11</v>
      </c>
    </row>
    <row r="58" spans="1:73" x14ac:dyDescent="0.25">
      <c r="A58" s="5">
        <v>27546</v>
      </c>
      <c r="B58">
        <v>3080</v>
      </c>
      <c r="C58" t="s">
        <v>11</v>
      </c>
      <c r="D58" t="s">
        <v>11</v>
      </c>
      <c r="E58" t="s">
        <v>11</v>
      </c>
      <c r="F58">
        <v>437</v>
      </c>
      <c r="G58" t="s">
        <v>11</v>
      </c>
      <c r="H58">
        <v>146</v>
      </c>
      <c r="I58" t="s">
        <v>11</v>
      </c>
      <c r="J58">
        <v>2109</v>
      </c>
      <c r="K58" t="s">
        <v>11</v>
      </c>
      <c r="L58">
        <v>72930</v>
      </c>
      <c r="M58">
        <v>43849</v>
      </c>
      <c r="N58">
        <v>1063</v>
      </c>
      <c r="O58" t="s">
        <v>11</v>
      </c>
      <c r="P58" t="s">
        <v>11</v>
      </c>
      <c r="Q58" t="s">
        <v>11</v>
      </c>
      <c r="R58" t="s">
        <v>11</v>
      </c>
      <c r="S58" t="s">
        <v>11</v>
      </c>
      <c r="T58" s="34">
        <v>84259</v>
      </c>
      <c r="U58" s="34">
        <v>44051</v>
      </c>
      <c r="V58" s="34">
        <v>2103</v>
      </c>
      <c r="W58" t="s">
        <v>11</v>
      </c>
      <c r="X58">
        <v>3364</v>
      </c>
      <c r="Y58" t="s">
        <v>11</v>
      </c>
      <c r="Z58">
        <v>4895</v>
      </c>
      <c r="AA58">
        <v>4258</v>
      </c>
      <c r="AB58">
        <v>29701</v>
      </c>
      <c r="AC58">
        <v>21246</v>
      </c>
      <c r="AD58">
        <v>4430</v>
      </c>
      <c r="AE58" t="s">
        <v>11</v>
      </c>
      <c r="AF58">
        <v>5074</v>
      </c>
      <c r="AG58" t="s">
        <v>11</v>
      </c>
      <c r="AH58">
        <f t="shared" si="6"/>
        <v>4430</v>
      </c>
      <c r="AI58" t="str">
        <f t="shared" si="7"/>
        <v>NoData</v>
      </c>
      <c r="AJ58">
        <v>27940</v>
      </c>
      <c r="AK58" t="s">
        <v>11</v>
      </c>
      <c r="AL58">
        <v>52751</v>
      </c>
      <c r="AM58">
        <v>34881</v>
      </c>
      <c r="AN58">
        <v>86</v>
      </c>
      <c r="AO58" t="s">
        <v>11</v>
      </c>
      <c r="AP58" t="s">
        <v>11</v>
      </c>
      <c r="AQ58" t="s">
        <v>11</v>
      </c>
      <c r="AR58" t="s">
        <v>11</v>
      </c>
      <c r="AS58" t="s">
        <v>11</v>
      </c>
      <c r="AT58" t="str">
        <f t="shared" si="11"/>
        <v>NoData</v>
      </c>
      <c r="AU58" t="str">
        <f t="shared" si="12"/>
        <v>NoData</v>
      </c>
      <c r="AV58" t="s">
        <v>11</v>
      </c>
      <c r="AW58" t="s">
        <v>11</v>
      </c>
      <c r="AX58" t="s">
        <v>11</v>
      </c>
      <c r="AY58" t="s">
        <v>11</v>
      </c>
      <c r="AZ58" t="str">
        <f t="shared" si="2"/>
        <v>NoData</v>
      </c>
      <c r="BA58" t="str">
        <f t="shared" si="3"/>
        <v>NoData</v>
      </c>
      <c r="BB58">
        <f t="shared" si="9"/>
        <v>86</v>
      </c>
      <c r="BC58" t="str">
        <f t="shared" si="10"/>
        <v>NoData</v>
      </c>
      <c r="BD58" t="s">
        <v>11</v>
      </c>
      <c r="BE58" t="s">
        <v>11</v>
      </c>
      <c r="BF58" t="s">
        <v>11</v>
      </c>
      <c r="BG58" t="s">
        <v>11</v>
      </c>
      <c r="BH58">
        <v>0</v>
      </c>
      <c r="BI58" t="s">
        <v>11</v>
      </c>
      <c r="BJ58" t="s">
        <v>11</v>
      </c>
      <c r="BK58" t="s">
        <v>11</v>
      </c>
      <c r="BL58" t="s">
        <v>11</v>
      </c>
      <c r="BM58" t="s">
        <v>11</v>
      </c>
      <c r="BN58" t="s">
        <v>11</v>
      </c>
      <c r="BO58" t="s">
        <v>11</v>
      </c>
      <c r="BP58" t="str">
        <f t="shared" si="4"/>
        <v>NoData</v>
      </c>
      <c r="BQ58" t="str">
        <f t="shared" si="5"/>
        <v>NoData</v>
      </c>
      <c r="BR58" t="s">
        <v>11</v>
      </c>
      <c r="BS58" t="s">
        <v>11</v>
      </c>
      <c r="BT58" t="s">
        <v>11</v>
      </c>
      <c r="BU58" t="s">
        <v>11</v>
      </c>
    </row>
    <row r="59" spans="1:73" x14ac:dyDescent="0.25">
      <c r="A59" s="5">
        <v>27576</v>
      </c>
      <c r="B59">
        <v>2630</v>
      </c>
      <c r="C59" t="s">
        <v>11</v>
      </c>
      <c r="D59" t="s">
        <v>11</v>
      </c>
      <c r="E59" t="s">
        <v>11</v>
      </c>
      <c r="F59">
        <v>363</v>
      </c>
      <c r="G59" t="s">
        <v>11</v>
      </c>
      <c r="H59">
        <v>121</v>
      </c>
      <c r="I59" t="s">
        <v>11</v>
      </c>
      <c r="J59">
        <v>2458</v>
      </c>
      <c r="K59" t="s">
        <v>11</v>
      </c>
      <c r="L59">
        <v>75060</v>
      </c>
      <c r="M59">
        <v>47645</v>
      </c>
      <c r="N59">
        <v>1077</v>
      </c>
      <c r="O59" t="s">
        <v>11</v>
      </c>
      <c r="P59" t="s">
        <v>11</v>
      </c>
      <c r="Q59" t="s">
        <v>11</v>
      </c>
      <c r="R59" t="s">
        <v>11</v>
      </c>
      <c r="S59" t="s">
        <v>11</v>
      </c>
      <c r="T59" s="34">
        <v>103935</v>
      </c>
      <c r="U59" s="34">
        <v>60367</v>
      </c>
      <c r="V59" s="34">
        <v>3091</v>
      </c>
      <c r="W59" t="s">
        <v>11</v>
      </c>
      <c r="X59">
        <v>4893</v>
      </c>
      <c r="Y59" t="s">
        <v>11</v>
      </c>
      <c r="Z59">
        <v>5301</v>
      </c>
      <c r="AA59">
        <v>4522</v>
      </c>
      <c r="AB59">
        <v>40522</v>
      </c>
      <c r="AC59">
        <v>32070</v>
      </c>
      <c r="AD59">
        <v>5138</v>
      </c>
      <c r="AE59" t="s">
        <v>11</v>
      </c>
      <c r="AF59">
        <v>4456</v>
      </c>
      <c r="AG59" t="s">
        <v>11</v>
      </c>
      <c r="AH59">
        <f t="shared" si="6"/>
        <v>5138</v>
      </c>
      <c r="AI59" t="str">
        <f t="shared" si="7"/>
        <v>NoData</v>
      </c>
      <c r="AJ59">
        <v>31138</v>
      </c>
      <c r="AK59" t="s">
        <v>11</v>
      </c>
      <c r="AL59">
        <v>61323</v>
      </c>
      <c r="AM59">
        <v>42553</v>
      </c>
      <c r="AN59">
        <v>193</v>
      </c>
      <c r="AO59" t="s">
        <v>11</v>
      </c>
      <c r="AP59" t="s">
        <v>11</v>
      </c>
      <c r="AQ59" t="s">
        <v>11</v>
      </c>
      <c r="AR59" t="s">
        <v>11</v>
      </c>
      <c r="AS59" t="s">
        <v>11</v>
      </c>
      <c r="AT59" t="str">
        <f t="shared" si="11"/>
        <v>NoData</v>
      </c>
      <c r="AU59" t="str">
        <f t="shared" si="12"/>
        <v>NoData</v>
      </c>
      <c r="AV59" t="s">
        <v>11</v>
      </c>
      <c r="AW59" t="s">
        <v>11</v>
      </c>
      <c r="AX59" t="s">
        <v>11</v>
      </c>
      <c r="AY59" t="s">
        <v>11</v>
      </c>
      <c r="AZ59" t="str">
        <f t="shared" si="2"/>
        <v>NoData</v>
      </c>
      <c r="BA59" t="str">
        <f t="shared" si="3"/>
        <v>NoData</v>
      </c>
      <c r="BB59">
        <f t="shared" si="9"/>
        <v>193</v>
      </c>
      <c r="BC59" t="str">
        <f t="shared" si="10"/>
        <v>NoData</v>
      </c>
      <c r="BD59" t="s">
        <v>11</v>
      </c>
      <c r="BE59" t="s">
        <v>11</v>
      </c>
      <c r="BF59" t="s">
        <v>11</v>
      </c>
      <c r="BG59" t="s">
        <v>11</v>
      </c>
      <c r="BH59">
        <v>0</v>
      </c>
      <c r="BI59" t="s">
        <v>11</v>
      </c>
      <c r="BJ59" t="s">
        <v>11</v>
      </c>
      <c r="BK59" t="s">
        <v>11</v>
      </c>
      <c r="BL59" t="s">
        <v>11</v>
      </c>
      <c r="BM59" t="s">
        <v>11</v>
      </c>
      <c r="BN59" t="s">
        <v>11</v>
      </c>
      <c r="BO59" t="s">
        <v>11</v>
      </c>
      <c r="BP59" t="str">
        <f t="shared" si="4"/>
        <v>NoData</v>
      </c>
      <c r="BQ59" t="str">
        <f t="shared" si="5"/>
        <v>NoData</v>
      </c>
      <c r="BR59" t="s">
        <v>11</v>
      </c>
      <c r="BS59" t="s">
        <v>11</v>
      </c>
      <c r="BT59" t="s">
        <v>11</v>
      </c>
      <c r="BU59" t="s">
        <v>11</v>
      </c>
    </row>
    <row r="60" spans="1:73" x14ac:dyDescent="0.25">
      <c r="A60" s="5">
        <v>27607</v>
      </c>
      <c r="B60">
        <v>4103</v>
      </c>
      <c r="C60" t="s">
        <v>11</v>
      </c>
      <c r="D60" t="s">
        <v>11</v>
      </c>
      <c r="E60" t="s">
        <v>11</v>
      </c>
      <c r="F60">
        <v>556</v>
      </c>
      <c r="G60" t="s">
        <v>11</v>
      </c>
      <c r="H60">
        <v>185</v>
      </c>
      <c r="I60" t="s">
        <v>11</v>
      </c>
      <c r="J60">
        <v>1735</v>
      </c>
      <c r="K60" t="s">
        <v>11</v>
      </c>
      <c r="L60">
        <v>72620</v>
      </c>
      <c r="M60">
        <v>43479</v>
      </c>
      <c r="N60">
        <v>1209</v>
      </c>
      <c r="O60" t="s">
        <v>11</v>
      </c>
      <c r="P60" t="s">
        <v>11</v>
      </c>
      <c r="Q60" t="s">
        <v>11</v>
      </c>
      <c r="R60" t="s">
        <v>11</v>
      </c>
      <c r="S60" t="s">
        <v>11</v>
      </c>
      <c r="T60" s="34">
        <v>101813</v>
      </c>
      <c r="U60" s="34">
        <v>56186</v>
      </c>
      <c r="V60" s="34">
        <v>4516</v>
      </c>
      <c r="W60" t="s">
        <v>11</v>
      </c>
      <c r="X60">
        <v>5037</v>
      </c>
      <c r="Y60" t="s">
        <v>11</v>
      </c>
      <c r="Z60">
        <v>5259</v>
      </c>
      <c r="AA60">
        <v>4396</v>
      </c>
      <c r="AB60">
        <v>35616</v>
      </c>
      <c r="AC60">
        <v>26798</v>
      </c>
      <c r="AD60">
        <v>5028</v>
      </c>
      <c r="AE60" t="s">
        <v>11</v>
      </c>
      <c r="AF60">
        <v>6170</v>
      </c>
      <c r="AG60" t="s">
        <v>11</v>
      </c>
      <c r="AH60">
        <f t="shared" si="6"/>
        <v>5028</v>
      </c>
      <c r="AI60" t="str">
        <f t="shared" si="7"/>
        <v>NoData</v>
      </c>
      <c r="AJ60">
        <v>30469</v>
      </c>
      <c r="AK60" t="s">
        <v>11</v>
      </c>
      <c r="AL60">
        <v>66025</v>
      </c>
      <c r="AM60">
        <v>47915</v>
      </c>
      <c r="AN60">
        <v>122</v>
      </c>
      <c r="AO60" t="s">
        <v>11</v>
      </c>
      <c r="AP60" t="s">
        <v>11</v>
      </c>
      <c r="AQ60" t="s">
        <v>11</v>
      </c>
      <c r="AR60" t="s">
        <v>11</v>
      </c>
      <c r="AS60" t="s">
        <v>11</v>
      </c>
      <c r="AT60" t="str">
        <f t="shared" si="11"/>
        <v>NoData</v>
      </c>
      <c r="AU60" t="str">
        <f t="shared" si="12"/>
        <v>NoData</v>
      </c>
      <c r="AV60" t="s">
        <v>11</v>
      </c>
      <c r="AW60" t="s">
        <v>11</v>
      </c>
      <c r="AX60" t="s">
        <v>11</v>
      </c>
      <c r="AY60" t="s">
        <v>11</v>
      </c>
      <c r="AZ60" t="str">
        <f t="shared" si="2"/>
        <v>NoData</v>
      </c>
      <c r="BA60" t="str">
        <f t="shared" si="3"/>
        <v>NoData</v>
      </c>
      <c r="BB60">
        <f t="shared" si="9"/>
        <v>122</v>
      </c>
      <c r="BC60" t="str">
        <f t="shared" si="10"/>
        <v>NoData</v>
      </c>
      <c r="BD60" t="s">
        <v>11</v>
      </c>
      <c r="BE60" t="s">
        <v>11</v>
      </c>
      <c r="BF60" t="s">
        <v>11</v>
      </c>
      <c r="BG60" t="s">
        <v>11</v>
      </c>
      <c r="BH60">
        <v>42</v>
      </c>
      <c r="BI60" t="s">
        <v>11</v>
      </c>
      <c r="BJ60" t="s">
        <v>11</v>
      </c>
      <c r="BK60" t="s">
        <v>11</v>
      </c>
      <c r="BL60" t="s">
        <v>11</v>
      </c>
      <c r="BM60" t="s">
        <v>11</v>
      </c>
      <c r="BN60" t="s">
        <v>11</v>
      </c>
      <c r="BO60" t="s">
        <v>11</v>
      </c>
      <c r="BP60" t="str">
        <f t="shared" si="4"/>
        <v>NoData</v>
      </c>
      <c r="BQ60" t="str">
        <f t="shared" si="5"/>
        <v>NoData</v>
      </c>
      <c r="BR60" t="s">
        <v>11</v>
      </c>
      <c r="BS60" t="s">
        <v>11</v>
      </c>
      <c r="BT60" t="s">
        <v>11</v>
      </c>
      <c r="BU60" t="s">
        <v>11</v>
      </c>
    </row>
    <row r="61" spans="1:73" x14ac:dyDescent="0.25">
      <c r="A61" s="5">
        <v>27638</v>
      </c>
      <c r="B61">
        <v>2930</v>
      </c>
      <c r="C61" t="s">
        <v>11</v>
      </c>
      <c r="D61" t="s">
        <v>11</v>
      </c>
      <c r="E61" t="s">
        <v>11</v>
      </c>
      <c r="F61">
        <v>381</v>
      </c>
      <c r="G61" t="s">
        <v>11</v>
      </c>
      <c r="H61">
        <v>128</v>
      </c>
      <c r="I61" t="s">
        <v>11</v>
      </c>
      <c r="J61">
        <v>2218</v>
      </c>
      <c r="K61" t="s">
        <v>11</v>
      </c>
      <c r="L61">
        <v>54960</v>
      </c>
      <c r="M61">
        <v>29340</v>
      </c>
      <c r="N61">
        <v>1148</v>
      </c>
      <c r="O61" t="s">
        <v>11</v>
      </c>
      <c r="P61" t="s">
        <v>11</v>
      </c>
      <c r="Q61" t="s">
        <v>11</v>
      </c>
      <c r="R61" t="s">
        <v>11</v>
      </c>
      <c r="S61" t="s">
        <v>11</v>
      </c>
      <c r="T61" s="34">
        <v>87988</v>
      </c>
      <c r="U61" s="34">
        <v>40751</v>
      </c>
      <c r="V61" s="34">
        <v>5510</v>
      </c>
      <c r="W61" t="s">
        <v>11</v>
      </c>
      <c r="X61">
        <v>3617</v>
      </c>
      <c r="Y61" t="s">
        <v>11</v>
      </c>
      <c r="Z61">
        <v>5859</v>
      </c>
      <c r="AA61">
        <v>5179</v>
      </c>
      <c r="AB61">
        <v>36184</v>
      </c>
      <c r="AC61">
        <v>27153</v>
      </c>
      <c r="AD61">
        <v>4054</v>
      </c>
      <c r="AE61" t="s">
        <v>11</v>
      </c>
      <c r="AF61">
        <v>6350</v>
      </c>
      <c r="AG61" t="s">
        <v>11</v>
      </c>
      <c r="AH61">
        <f t="shared" si="6"/>
        <v>4054</v>
      </c>
      <c r="AI61" t="str">
        <f t="shared" si="7"/>
        <v>NoData</v>
      </c>
      <c r="AJ61">
        <v>22504</v>
      </c>
      <c r="AK61" t="s">
        <v>11</v>
      </c>
      <c r="AL61">
        <v>55357</v>
      </c>
      <c r="AM61">
        <v>37587</v>
      </c>
      <c r="AN61">
        <v>62</v>
      </c>
      <c r="AO61" t="s">
        <v>11</v>
      </c>
      <c r="AP61" t="s">
        <v>11</v>
      </c>
      <c r="AQ61" t="s">
        <v>11</v>
      </c>
      <c r="AR61" t="s">
        <v>11</v>
      </c>
      <c r="AS61" t="s">
        <v>11</v>
      </c>
      <c r="AT61" t="str">
        <f t="shared" si="11"/>
        <v>NoData</v>
      </c>
      <c r="AU61" t="str">
        <f t="shared" si="12"/>
        <v>NoData</v>
      </c>
      <c r="AV61" t="s">
        <v>11</v>
      </c>
      <c r="AW61" t="s">
        <v>11</v>
      </c>
      <c r="AX61" t="s">
        <v>11</v>
      </c>
      <c r="AY61" t="s">
        <v>11</v>
      </c>
      <c r="AZ61" t="str">
        <f t="shared" si="2"/>
        <v>NoData</v>
      </c>
      <c r="BA61" t="str">
        <f t="shared" si="3"/>
        <v>NoData</v>
      </c>
      <c r="BB61">
        <f t="shared" si="9"/>
        <v>62</v>
      </c>
      <c r="BC61" t="str">
        <f t="shared" si="10"/>
        <v>NoData</v>
      </c>
      <c r="BD61" t="s">
        <v>11</v>
      </c>
      <c r="BE61" t="s">
        <v>11</v>
      </c>
      <c r="BF61" t="s">
        <v>11</v>
      </c>
      <c r="BG61" t="s">
        <v>11</v>
      </c>
      <c r="BH61">
        <v>13</v>
      </c>
      <c r="BI61" t="s">
        <v>11</v>
      </c>
      <c r="BJ61" t="s">
        <v>11</v>
      </c>
      <c r="BK61" t="s">
        <v>11</v>
      </c>
      <c r="BL61" t="s">
        <v>11</v>
      </c>
      <c r="BM61" t="s">
        <v>11</v>
      </c>
      <c r="BN61" t="s">
        <v>11</v>
      </c>
      <c r="BO61" t="s">
        <v>11</v>
      </c>
      <c r="BP61" t="str">
        <f t="shared" si="4"/>
        <v>NoData</v>
      </c>
      <c r="BQ61" t="str">
        <f t="shared" si="5"/>
        <v>NoData</v>
      </c>
      <c r="BR61" t="s">
        <v>11</v>
      </c>
      <c r="BS61" t="s">
        <v>11</v>
      </c>
      <c r="BT61" t="s">
        <v>11</v>
      </c>
      <c r="BU61" t="s">
        <v>11</v>
      </c>
    </row>
    <row r="62" spans="1:73" x14ac:dyDescent="0.25">
      <c r="A62" s="5">
        <v>27668</v>
      </c>
      <c r="B62">
        <v>1056</v>
      </c>
      <c r="C62" t="s">
        <v>11</v>
      </c>
      <c r="D62" t="s">
        <v>11</v>
      </c>
      <c r="E62" t="s">
        <v>11</v>
      </c>
      <c r="F62">
        <v>148</v>
      </c>
      <c r="G62" t="s">
        <v>11</v>
      </c>
      <c r="H62">
        <v>50</v>
      </c>
      <c r="I62" t="s">
        <v>11</v>
      </c>
      <c r="J62">
        <v>1050</v>
      </c>
      <c r="K62" t="s">
        <v>11</v>
      </c>
      <c r="L62">
        <v>42350</v>
      </c>
      <c r="M62">
        <v>17326</v>
      </c>
      <c r="N62">
        <v>976</v>
      </c>
      <c r="O62" t="s">
        <v>11</v>
      </c>
      <c r="P62" t="s">
        <v>11</v>
      </c>
      <c r="Q62" t="s">
        <v>11</v>
      </c>
      <c r="R62" t="s">
        <v>11</v>
      </c>
      <c r="S62" t="s">
        <v>11</v>
      </c>
      <c r="T62" s="34">
        <v>67445</v>
      </c>
      <c r="U62" s="34">
        <v>23223</v>
      </c>
      <c r="V62" s="34">
        <v>3399</v>
      </c>
      <c r="W62" t="s">
        <v>11</v>
      </c>
      <c r="X62">
        <v>3884</v>
      </c>
      <c r="Y62" t="s">
        <v>11</v>
      </c>
      <c r="Z62">
        <v>4841</v>
      </c>
      <c r="AA62">
        <v>4056</v>
      </c>
      <c r="AB62">
        <v>24664</v>
      </c>
      <c r="AC62">
        <v>15661</v>
      </c>
      <c r="AD62">
        <v>3031</v>
      </c>
      <c r="AE62" t="s">
        <v>11</v>
      </c>
      <c r="AF62">
        <v>5069</v>
      </c>
      <c r="AG62" t="s">
        <v>11</v>
      </c>
      <c r="AH62">
        <f t="shared" si="6"/>
        <v>3031</v>
      </c>
      <c r="AI62" t="str">
        <f t="shared" si="7"/>
        <v>NoData</v>
      </c>
      <c r="AJ62">
        <v>16749</v>
      </c>
      <c r="AK62" t="s">
        <v>11</v>
      </c>
      <c r="AL62">
        <v>39279</v>
      </c>
      <c r="AM62">
        <v>20779</v>
      </c>
      <c r="AN62">
        <v>74</v>
      </c>
      <c r="AO62" t="s">
        <v>11</v>
      </c>
      <c r="AP62" t="s">
        <v>11</v>
      </c>
      <c r="AQ62" t="s">
        <v>11</v>
      </c>
      <c r="AR62" t="s">
        <v>11</v>
      </c>
      <c r="AS62" t="s">
        <v>11</v>
      </c>
      <c r="AT62" t="str">
        <f t="shared" si="11"/>
        <v>NoData</v>
      </c>
      <c r="AU62" t="str">
        <f t="shared" si="12"/>
        <v>NoData</v>
      </c>
      <c r="AV62" t="s">
        <v>11</v>
      </c>
      <c r="AW62" t="s">
        <v>11</v>
      </c>
      <c r="AX62" t="s">
        <v>11</v>
      </c>
      <c r="AY62" t="s">
        <v>11</v>
      </c>
      <c r="AZ62" t="str">
        <f t="shared" si="2"/>
        <v>NoData</v>
      </c>
      <c r="BA62" t="str">
        <f t="shared" si="3"/>
        <v>NoData</v>
      </c>
      <c r="BB62">
        <f t="shared" si="9"/>
        <v>74</v>
      </c>
      <c r="BC62" t="str">
        <f t="shared" si="10"/>
        <v>NoData</v>
      </c>
      <c r="BD62" t="s">
        <v>11</v>
      </c>
      <c r="BE62" t="s">
        <v>11</v>
      </c>
      <c r="BF62" t="s">
        <v>11</v>
      </c>
      <c r="BG62" t="s">
        <v>11</v>
      </c>
      <c r="BH62">
        <v>0</v>
      </c>
      <c r="BI62" t="s">
        <v>11</v>
      </c>
      <c r="BJ62" t="s">
        <v>11</v>
      </c>
      <c r="BK62" t="s">
        <v>11</v>
      </c>
      <c r="BL62" t="s">
        <v>11</v>
      </c>
      <c r="BM62" t="s">
        <v>11</v>
      </c>
      <c r="BN62" t="s">
        <v>11</v>
      </c>
      <c r="BO62" t="s">
        <v>11</v>
      </c>
      <c r="BP62" t="str">
        <f t="shared" si="4"/>
        <v>NoData</v>
      </c>
      <c r="BQ62" t="str">
        <f t="shared" si="5"/>
        <v>NoData</v>
      </c>
      <c r="BR62" t="s">
        <v>11</v>
      </c>
      <c r="BS62" t="s">
        <v>11</v>
      </c>
      <c r="BT62" t="s">
        <v>11</v>
      </c>
      <c r="BU62" t="s">
        <v>11</v>
      </c>
    </row>
    <row r="63" spans="1:73" x14ac:dyDescent="0.25">
      <c r="A63" s="5">
        <v>27699</v>
      </c>
      <c r="B63">
        <v>132</v>
      </c>
      <c r="C63" t="s">
        <v>11</v>
      </c>
      <c r="D63" t="s">
        <v>11</v>
      </c>
      <c r="E63" t="s">
        <v>11</v>
      </c>
      <c r="F63">
        <v>17</v>
      </c>
      <c r="G63" t="s">
        <v>11</v>
      </c>
      <c r="H63">
        <v>6</v>
      </c>
      <c r="I63" t="s">
        <v>11</v>
      </c>
      <c r="J63">
        <v>1471</v>
      </c>
      <c r="K63" t="s">
        <v>11</v>
      </c>
      <c r="L63">
        <v>27910</v>
      </c>
      <c r="M63">
        <v>5709</v>
      </c>
      <c r="N63">
        <v>1037</v>
      </c>
      <c r="O63" t="s">
        <v>11</v>
      </c>
      <c r="P63" t="s">
        <v>11</v>
      </c>
      <c r="Q63" t="s">
        <v>11</v>
      </c>
      <c r="R63" t="s">
        <v>11</v>
      </c>
      <c r="S63" t="s">
        <v>11</v>
      </c>
      <c r="T63" s="34">
        <v>52140</v>
      </c>
      <c r="U63" s="34">
        <v>13405</v>
      </c>
      <c r="V63" s="34">
        <v>3096</v>
      </c>
      <c r="W63" t="s">
        <v>11</v>
      </c>
      <c r="X63">
        <v>3148</v>
      </c>
      <c r="Y63" t="s">
        <v>11</v>
      </c>
      <c r="Z63">
        <v>3812</v>
      </c>
      <c r="AA63">
        <v>2952</v>
      </c>
      <c r="AB63">
        <v>13877</v>
      </c>
      <c r="AC63">
        <v>5488</v>
      </c>
      <c r="AD63">
        <v>2030</v>
      </c>
      <c r="AE63" t="s">
        <v>11</v>
      </c>
      <c r="AF63">
        <v>3709</v>
      </c>
      <c r="AG63" t="s">
        <v>11</v>
      </c>
      <c r="AH63">
        <f t="shared" si="6"/>
        <v>2030</v>
      </c>
      <c r="AI63" t="str">
        <f t="shared" si="7"/>
        <v>NoData</v>
      </c>
      <c r="AJ63">
        <v>12847</v>
      </c>
      <c r="AK63" t="s">
        <v>11</v>
      </c>
      <c r="AL63">
        <v>29124</v>
      </c>
      <c r="AM63">
        <v>10904</v>
      </c>
      <c r="AN63">
        <v>8</v>
      </c>
      <c r="AO63" t="s">
        <v>11</v>
      </c>
      <c r="AP63" t="s">
        <v>11</v>
      </c>
      <c r="AQ63" t="s">
        <v>11</v>
      </c>
      <c r="AR63" t="s">
        <v>11</v>
      </c>
      <c r="AS63" t="s">
        <v>11</v>
      </c>
      <c r="AT63" t="str">
        <f t="shared" si="11"/>
        <v>NoData</v>
      </c>
      <c r="AU63" t="str">
        <f t="shared" si="12"/>
        <v>NoData</v>
      </c>
      <c r="AV63" t="s">
        <v>11</v>
      </c>
      <c r="AW63" t="s">
        <v>11</v>
      </c>
      <c r="AX63" t="s">
        <v>11</v>
      </c>
      <c r="AY63" t="s">
        <v>11</v>
      </c>
      <c r="AZ63" t="str">
        <f t="shared" si="2"/>
        <v>NoData</v>
      </c>
      <c r="BA63" t="str">
        <f t="shared" si="3"/>
        <v>NoData</v>
      </c>
      <c r="BB63">
        <f t="shared" si="9"/>
        <v>8</v>
      </c>
      <c r="BC63" t="str">
        <f t="shared" si="10"/>
        <v>NoData</v>
      </c>
      <c r="BD63" t="s">
        <v>11</v>
      </c>
      <c r="BE63" t="s">
        <v>11</v>
      </c>
      <c r="BF63" t="s">
        <v>11</v>
      </c>
      <c r="BG63" t="s">
        <v>11</v>
      </c>
      <c r="BH63">
        <v>0</v>
      </c>
      <c r="BI63" t="s">
        <v>11</v>
      </c>
      <c r="BJ63" t="s">
        <v>11</v>
      </c>
      <c r="BK63" t="s">
        <v>11</v>
      </c>
      <c r="BL63" t="s">
        <v>11</v>
      </c>
      <c r="BM63" t="s">
        <v>11</v>
      </c>
      <c r="BN63" t="s">
        <v>11</v>
      </c>
      <c r="BO63" t="s">
        <v>11</v>
      </c>
      <c r="BP63" t="str">
        <f t="shared" si="4"/>
        <v>NoData</v>
      </c>
      <c r="BQ63" t="str">
        <f t="shared" si="5"/>
        <v>NoData</v>
      </c>
      <c r="BR63" t="s">
        <v>11</v>
      </c>
      <c r="BS63" t="s">
        <v>11</v>
      </c>
      <c r="BT63" t="s">
        <v>11</v>
      </c>
      <c r="BU63" t="s">
        <v>11</v>
      </c>
    </row>
    <row r="64" spans="1:73" x14ac:dyDescent="0.25">
      <c r="A64" s="5">
        <v>27729</v>
      </c>
      <c r="B64">
        <v>379</v>
      </c>
      <c r="C64" t="s">
        <v>11</v>
      </c>
      <c r="D64" t="s">
        <v>11</v>
      </c>
      <c r="E64" t="s">
        <v>11</v>
      </c>
      <c r="F64">
        <v>54</v>
      </c>
      <c r="G64" t="s">
        <v>11</v>
      </c>
      <c r="H64">
        <v>18</v>
      </c>
      <c r="I64" t="s">
        <v>11</v>
      </c>
      <c r="J64">
        <v>829</v>
      </c>
      <c r="K64" t="s">
        <v>11</v>
      </c>
      <c r="L64">
        <v>32470</v>
      </c>
      <c r="M64">
        <v>12812</v>
      </c>
      <c r="N64">
        <v>652</v>
      </c>
      <c r="O64" t="s">
        <v>11</v>
      </c>
      <c r="P64" t="s">
        <v>11</v>
      </c>
      <c r="Q64" t="s">
        <v>11</v>
      </c>
      <c r="R64" t="s">
        <v>11</v>
      </c>
      <c r="S64" t="s">
        <v>11</v>
      </c>
      <c r="T64" s="34">
        <v>45351</v>
      </c>
      <c r="U64" s="34">
        <v>7230</v>
      </c>
      <c r="V64" s="34">
        <v>2577</v>
      </c>
      <c r="W64" t="s">
        <v>11</v>
      </c>
      <c r="X64">
        <v>2692</v>
      </c>
      <c r="Y64" t="s">
        <v>11</v>
      </c>
      <c r="Z64">
        <v>2608</v>
      </c>
      <c r="AA64">
        <v>2086</v>
      </c>
      <c r="AB64">
        <v>15956</v>
      </c>
      <c r="AC64">
        <v>7986</v>
      </c>
      <c r="AD64">
        <v>1830</v>
      </c>
      <c r="AE64" t="s">
        <v>11</v>
      </c>
      <c r="AF64">
        <v>2726</v>
      </c>
      <c r="AG64" t="s">
        <v>11</v>
      </c>
      <c r="AH64">
        <f t="shared" si="6"/>
        <v>1830</v>
      </c>
      <c r="AI64" t="str">
        <f t="shared" si="7"/>
        <v>NoData</v>
      </c>
      <c r="AJ64">
        <v>11327</v>
      </c>
      <c r="AK64" t="s">
        <v>11</v>
      </c>
      <c r="AL64">
        <v>19357</v>
      </c>
      <c r="AM64">
        <v>617</v>
      </c>
      <c r="AN64">
        <v>2</v>
      </c>
      <c r="AO64" t="s">
        <v>11</v>
      </c>
      <c r="AP64" t="s">
        <v>11</v>
      </c>
      <c r="AQ64" t="s">
        <v>11</v>
      </c>
      <c r="AR64" t="s">
        <v>11</v>
      </c>
      <c r="AS64" t="s">
        <v>11</v>
      </c>
      <c r="AT64" t="str">
        <f t="shared" si="11"/>
        <v>NoData</v>
      </c>
      <c r="AU64" t="str">
        <f t="shared" si="12"/>
        <v>NoData</v>
      </c>
      <c r="AV64" t="s">
        <v>11</v>
      </c>
      <c r="AW64" t="s">
        <v>11</v>
      </c>
      <c r="AX64" t="s">
        <v>11</v>
      </c>
      <c r="AY64" t="s">
        <v>11</v>
      </c>
      <c r="AZ64" t="str">
        <f t="shared" si="2"/>
        <v>NoData</v>
      </c>
      <c r="BA64" t="str">
        <f t="shared" si="3"/>
        <v>NoData</v>
      </c>
      <c r="BB64">
        <f t="shared" si="9"/>
        <v>2</v>
      </c>
      <c r="BC64" t="str">
        <f t="shared" si="10"/>
        <v>NoData</v>
      </c>
      <c r="BD64" t="s">
        <v>11</v>
      </c>
      <c r="BE64" t="s">
        <v>11</v>
      </c>
      <c r="BF64" t="s">
        <v>11</v>
      </c>
      <c r="BG64" t="s">
        <v>11</v>
      </c>
      <c r="BH64">
        <v>0</v>
      </c>
      <c r="BI64" t="s">
        <v>11</v>
      </c>
      <c r="BJ64" t="s">
        <v>11</v>
      </c>
      <c r="BK64" t="s">
        <v>11</v>
      </c>
      <c r="BL64" t="s">
        <v>11</v>
      </c>
      <c r="BM64" t="s">
        <v>11</v>
      </c>
      <c r="BN64" t="s">
        <v>11</v>
      </c>
      <c r="BO64" t="s">
        <v>11</v>
      </c>
      <c r="BP64" t="str">
        <f t="shared" si="4"/>
        <v>NoData</v>
      </c>
      <c r="BQ64" t="str">
        <f t="shared" si="5"/>
        <v>NoData</v>
      </c>
      <c r="BR64" t="s">
        <v>11</v>
      </c>
      <c r="BS64" t="s">
        <v>11</v>
      </c>
      <c r="BT64" t="s">
        <v>11</v>
      </c>
      <c r="BU64" t="s">
        <v>11</v>
      </c>
    </row>
    <row r="65" spans="1:73" x14ac:dyDescent="0.25">
      <c r="A65" s="5">
        <v>27760</v>
      </c>
      <c r="B65">
        <v>413</v>
      </c>
      <c r="C65" t="s">
        <v>11</v>
      </c>
      <c r="D65" t="s">
        <v>11</v>
      </c>
      <c r="E65" t="s">
        <v>11</v>
      </c>
      <c r="F65">
        <v>125</v>
      </c>
      <c r="G65" t="s">
        <v>11</v>
      </c>
      <c r="H65">
        <v>390</v>
      </c>
      <c r="I65" t="s">
        <v>11</v>
      </c>
      <c r="J65">
        <v>1275</v>
      </c>
      <c r="K65" t="s">
        <v>11</v>
      </c>
      <c r="L65">
        <v>13220</v>
      </c>
      <c r="M65">
        <v>-3164</v>
      </c>
      <c r="N65">
        <v>329</v>
      </c>
      <c r="O65" t="s">
        <v>11</v>
      </c>
      <c r="P65" t="s">
        <v>11</v>
      </c>
      <c r="Q65" t="s">
        <v>11</v>
      </c>
      <c r="R65" t="s">
        <v>11</v>
      </c>
      <c r="S65" t="s">
        <v>11</v>
      </c>
      <c r="T65" s="34">
        <v>39011</v>
      </c>
      <c r="U65" s="34">
        <v>9363</v>
      </c>
      <c r="V65" s="34">
        <v>3127</v>
      </c>
      <c r="W65" t="s">
        <v>11</v>
      </c>
      <c r="X65">
        <v>3022</v>
      </c>
      <c r="Y65" t="s">
        <v>11</v>
      </c>
      <c r="Z65">
        <v>2794</v>
      </c>
      <c r="AA65">
        <v>2330</v>
      </c>
      <c r="AB65">
        <v>18765</v>
      </c>
      <c r="AC65">
        <v>11331</v>
      </c>
      <c r="AD65">
        <v>1712</v>
      </c>
      <c r="AE65" t="s">
        <v>11</v>
      </c>
      <c r="AF65">
        <v>2972</v>
      </c>
      <c r="AG65" t="s">
        <v>11</v>
      </c>
      <c r="AH65">
        <f t="shared" si="6"/>
        <v>1712</v>
      </c>
      <c r="AI65" t="str">
        <f t="shared" si="7"/>
        <v>NoData</v>
      </c>
      <c r="AJ65">
        <v>11616</v>
      </c>
      <c r="AK65" t="s">
        <v>11</v>
      </c>
      <c r="AL65">
        <v>24035</v>
      </c>
      <c r="AM65">
        <v>5864</v>
      </c>
      <c r="AN65">
        <v>68</v>
      </c>
      <c r="AO65" t="s">
        <v>11</v>
      </c>
      <c r="AP65" t="s">
        <v>11</v>
      </c>
      <c r="AQ65" t="s">
        <v>11</v>
      </c>
      <c r="AR65" t="s">
        <v>11</v>
      </c>
      <c r="AS65" t="s">
        <v>11</v>
      </c>
      <c r="AT65" t="str">
        <f t="shared" si="11"/>
        <v>NoData</v>
      </c>
      <c r="AU65" t="str">
        <f t="shared" si="12"/>
        <v>NoData</v>
      </c>
      <c r="AV65" t="s">
        <v>11</v>
      </c>
      <c r="AW65" t="s">
        <v>11</v>
      </c>
      <c r="AX65" t="s">
        <v>11</v>
      </c>
      <c r="AY65" t="s">
        <v>11</v>
      </c>
      <c r="AZ65" t="str">
        <f t="shared" si="2"/>
        <v>NoData</v>
      </c>
      <c r="BA65" t="str">
        <f t="shared" si="3"/>
        <v>NoData</v>
      </c>
      <c r="BB65">
        <f t="shared" si="9"/>
        <v>68</v>
      </c>
      <c r="BC65" t="str">
        <f t="shared" si="10"/>
        <v>NoData</v>
      </c>
      <c r="BD65" t="s">
        <v>11</v>
      </c>
      <c r="BE65" t="s">
        <v>11</v>
      </c>
      <c r="BF65" t="s">
        <v>11</v>
      </c>
      <c r="BG65" t="s">
        <v>11</v>
      </c>
      <c r="BH65">
        <v>18</v>
      </c>
      <c r="BI65" t="s">
        <v>11</v>
      </c>
      <c r="BJ65">
        <v>54</v>
      </c>
      <c r="BK65" t="s">
        <v>11</v>
      </c>
      <c r="BL65" t="s">
        <v>11</v>
      </c>
      <c r="BM65" t="s">
        <v>11</v>
      </c>
      <c r="BN65" t="s">
        <v>11</v>
      </c>
      <c r="BO65" t="s">
        <v>11</v>
      </c>
      <c r="BP65" t="str">
        <f t="shared" si="4"/>
        <v>NoData</v>
      </c>
      <c r="BQ65" t="str">
        <f t="shared" si="5"/>
        <v>NoData</v>
      </c>
      <c r="BR65" t="s">
        <v>11</v>
      </c>
      <c r="BS65" t="s">
        <v>11</v>
      </c>
      <c r="BT65" t="s">
        <v>11</v>
      </c>
      <c r="BU65" t="s">
        <v>11</v>
      </c>
    </row>
    <row r="66" spans="1:73" x14ac:dyDescent="0.25">
      <c r="A66" s="5">
        <v>27791</v>
      </c>
      <c r="B66">
        <v>267</v>
      </c>
      <c r="C66" t="s">
        <v>11</v>
      </c>
      <c r="D66" t="s">
        <v>11</v>
      </c>
      <c r="E66" t="s">
        <v>11</v>
      </c>
      <c r="F66">
        <v>28</v>
      </c>
      <c r="G66" t="s">
        <v>11</v>
      </c>
      <c r="H66">
        <v>252</v>
      </c>
      <c r="I66" t="s">
        <v>11</v>
      </c>
      <c r="J66">
        <v>610</v>
      </c>
      <c r="K66" t="s">
        <v>11</v>
      </c>
      <c r="L66">
        <v>30968</v>
      </c>
      <c r="M66">
        <v>12625</v>
      </c>
      <c r="N66">
        <v>349</v>
      </c>
      <c r="O66" t="s">
        <v>11</v>
      </c>
      <c r="P66" t="s">
        <v>11</v>
      </c>
      <c r="Q66" t="s">
        <v>11</v>
      </c>
      <c r="R66" t="s">
        <v>11</v>
      </c>
      <c r="S66" t="s">
        <v>11</v>
      </c>
      <c r="T66" s="34">
        <v>41687</v>
      </c>
      <c r="U66" s="34">
        <v>8458</v>
      </c>
      <c r="V66" s="34">
        <v>3156</v>
      </c>
      <c r="W66" t="s">
        <v>11</v>
      </c>
      <c r="X66">
        <v>2764</v>
      </c>
      <c r="Y66" t="s">
        <v>11</v>
      </c>
      <c r="Z66">
        <v>4235</v>
      </c>
      <c r="AA66">
        <v>3574</v>
      </c>
      <c r="AB66">
        <v>14972</v>
      </c>
      <c r="AC66">
        <v>7804</v>
      </c>
      <c r="AD66">
        <v>902</v>
      </c>
      <c r="AE66" t="s">
        <v>11</v>
      </c>
      <c r="AF66">
        <v>4385</v>
      </c>
      <c r="AG66" t="s">
        <v>11</v>
      </c>
      <c r="AH66">
        <f t="shared" si="6"/>
        <v>902</v>
      </c>
      <c r="AI66" t="str">
        <f t="shared" si="7"/>
        <v>NoData</v>
      </c>
      <c r="AJ66">
        <v>7206</v>
      </c>
      <c r="AK66" t="s">
        <v>11</v>
      </c>
      <c r="AL66">
        <v>28590</v>
      </c>
      <c r="AM66">
        <v>20770</v>
      </c>
      <c r="AN66">
        <v>38</v>
      </c>
      <c r="AO66" t="s">
        <v>11</v>
      </c>
      <c r="AP66" t="s">
        <v>11</v>
      </c>
      <c r="AQ66" t="s">
        <v>11</v>
      </c>
      <c r="AR66" t="s">
        <v>11</v>
      </c>
      <c r="AS66" t="s">
        <v>11</v>
      </c>
      <c r="AT66" t="str">
        <f t="shared" si="11"/>
        <v>NoData</v>
      </c>
      <c r="AU66" t="str">
        <f t="shared" si="12"/>
        <v>NoData</v>
      </c>
      <c r="AV66" t="s">
        <v>11</v>
      </c>
      <c r="AW66" t="s">
        <v>11</v>
      </c>
      <c r="AX66" t="s">
        <v>11</v>
      </c>
      <c r="AY66" t="s">
        <v>11</v>
      </c>
      <c r="AZ66" t="str">
        <f t="shared" si="2"/>
        <v>NoData</v>
      </c>
      <c r="BA66" t="str">
        <f t="shared" si="3"/>
        <v>NoData</v>
      </c>
      <c r="BB66">
        <f t="shared" si="9"/>
        <v>38</v>
      </c>
      <c r="BC66" t="str">
        <f t="shared" si="10"/>
        <v>NoData</v>
      </c>
      <c r="BD66" t="s">
        <v>11</v>
      </c>
      <c r="BE66" t="s">
        <v>11</v>
      </c>
      <c r="BF66" t="s">
        <v>11</v>
      </c>
      <c r="BG66" t="s">
        <v>11</v>
      </c>
      <c r="BH66">
        <v>0</v>
      </c>
      <c r="BI66" t="s">
        <v>11</v>
      </c>
      <c r="BJ66">
        <v>48</v>
      </c>
      <c r="BK66" t="s">
        <v>11</v>
      </c>
      <c r="BL66" t="s">
        <v>11</v>
      </c>
      <c r="BM66" t="s">
        <v>11</v>
      </c>
      <c r="BN66" t="s">
        <v>11</v>
      </c>
      <c r="BO66" t="s">
        <v>11</v>
      </c>
      <c r="BP66" t="str">
        <f t="shared" si="4"/>
        <v>NoData</v>
      </c>
      <c r="BQ66" t="str">
        <f t="shared" si="5"/>
        <v>NoData</v>
      </c>
      <c r="BR66" t="s">
        <v>11</v>
      </c>
      <c r="BS66" t="s">
        <v>11</v>
      </c>
      <c r="BT66" t="s">
        <v>11</v>
      </c>
      <c r="BU66" t="s">
        <v>11</v>
      </c>
    </row>
    <row r="67" spans="1:73" x14ac:dyDescent="0.25">
      <c r="A67" s="5">
        <v>27820</v>
      </c>
      <c r="B67">
        <v>752</v>
      </c>
      <c r="C67" t="s">
        <v>11</v>
      </c>
      <c r="D67" t="s">
        <v>11</v>
      </c>
      <c r="E67" t="s">
        <v>11</v>
      </c>
      <c r="F67">
        <v>443</v>
      </c>
      <c r="G67" t="s">
        <v>11</v>
      </c>
      <c r="H67">
        <v>711</v>
      </c>
      <c r="I67" t="s">
        <v>11</v>
      </c>
      <c r="J67">
        <v>1269</v>
      </c>
      <c r="K67" t="s">
        <v>11</v>
      </c>
      <c r="L67">
        <v>65164</v>
      </c>
      <c r="M67">
        <v>43987</v>
      </c>
      <c r="N67">
        <v>822</v>
      </c>
      <c r="O67" t="s">
        <v>11</v>
      </c>
      <c r="P67" t="s">
        <v>11</v>
      </c>
      <c r="Q67" t="s">
        <v>11</v>
      </c>
      <c r="R67" t="s">
        <v>11</v>
      </c>
      <c r="S67" t="s">
        <v>11</v>
      </c>
      <c r="T67" s="34">
        <v>87782</v>
      </c>
      <c r="U67" s="34">
        <v>51771</v>
      </c>
      <c r="V67" s="34">
        <v>4952</v>
      </c>
      <c r="W67" t="s">
        <v>11</v>
      </c>
      <c r="X67">
        <v>5210</v>
      </c>
      <c r="Y67" t="s">
        <v>11</v>
      </c>
      <c r="Z67">
        <v>4627</v>
      </c>
      <c r="AA67">
        <v>4018</v>
      </c>
      <c r="AB67">
        <v>35581</v>
      </c>
      <c r="AC67">
        <v>27382</v>
      </c>
      <c r="AD67">
        <v>2846</v>
      </c>
      <c r="AE67" t="s">
        <v>11</v>
      </c>
      <c r="AF67">
        <v>6662</v>
      </c>
      <c r="AG67" t="s">
        <v>11</v>
      </c>
      <c r="AH67">
        <f t="shared" si="6"/>
        <v>2846</v>
      </c>
      <c r="AI67" t="str">
        <f t="shared" si="7"/>
        <v>NoData</v>
      </c>
      <c r="AJ67">
        <v>16680</v>
      </c>
      <c r="AK67" t="s">
        <v>11</v>
      </c>
      <c r="AL67">
        <v>53831</v>
      </c>
      <c r="AM67">
        <v>35648</v>
      </c>
      <c r="AN67">
        <v>161</v>
      </c>
      <c r="AO67" t="s">
        <v>11</v>
      </c>
      <c r="AP67" t="s">
        <v>11</v>
      </c>
      <c r="AQ67" t="s">
        <v>11</v>
      </c>
      <c r="AR67" t="s">
        <v>11</v>
      </c>
      <c r="AS67" t="s">
        <v>11</v>
      </c>
      <c r="AT67" t="str">
        <f t="shared" si="11"/>
        <v>NoData</v>
      </c>
      <c r="AU67" t="str">
        <f t="shared" si="12"/>
        <v>NoData</v>
      </c>
      <c r="AV67" t="s">
        <v>11</v>
      </c>
      <c r="AW67" t="s">
        <v>11</v>
      </c>
      <c r="AX67" t="s">
        <v>11</v>
      </c>
      <c r="AY67" t="s">
        <v>11</v>
      </c>
      <c r="AZ67" t="str">
        <f t="shared" si="2"/>
        <v>NoData</v>
      </c>
      <c r="BA67" t="str">
        <f t="shared" si="3"/>
        <v>NoData</v>
      </c>
      <c r="BB67">
        <f t="shared" si="9"/>
        <v>161</v>
      </c>
      <c r="BC67" t="str">
        <f t="shared" si="10"/>
        <v>NoData</v>
      </c>
      <c r="BD67" t="s">
        <v>11</v>
      </c>
      <c r="BE67" t="s">
        <v>11</v>
      </c>
      <c r="BF67" t="s">
        <v>11</v>
      </c>
      <c r="BG67" t="s">
        <v>11</v>
      </c>
      <c r="BH67">
        <v>16</v>
      </c>
      <c r="BI67" t="s">
        <v>11</v>
      </c>
      <c r="BJ67">
        <v>49</v>
      </c>
      <c r="BK67" t="s">
        <v>11</v>
      </c>
      <c r="BL67" t="s">
        <v>11</v>
      </c>
      <c r="BM67" t="s">
        <v>11</v>
      </c>
      <c r="BN67" t="s">
        <v>11</v>
      </c>
      <c r="BO67" t="s">
        <v>11</v>
      </c>
      <c r="BP67" t="str">
        <f t="shared" si="4"/>
        <v>NoData</v>
      </c>
      <c r="BQ67" t="str">
        <f t="shared" si="5"/>
        <v>NoData</v>
      </c>
      <c r="BR67" t="s">
        <v>11</v>
      </c>
      <c r="BS67" t="s">
        <v>11</v>
      </c>
      <c r="BT67" t="s">
        <v>11</v>
      </c>
      <c r="BU67" t="s">
        <v>11</v>
      </c>
    </row>
    <row r="68" spans="1:73" x14ac:dyDescent="0.25">
      <c r="A68" s="5">
        <v>27851</v>
      </c>
      <c r="B68">
        <v>1221</v>
      </c>
      <c r="C68" t="s">
        <v>11</v>
      </c>
      <c r="D68" t="s">
        <v>11</v>
      </c>
      <c r="E68" t="s">
        <v>11</v>
      </c>
      <c r="F68">
        <v>338</v>
      </c>
      <c r="G68" t="s">
        <v>11</v>
      </c>
      <c r="H68">
        <v>1154</v>
      </c>
      <c r="I68" t="s">
        <v>11</v>
      </c>
      <c r="J68">
        <v>1390</v>
      </c>
      <c r="K68" t="s">
        <v>11</v>
      </c>
      <c r="L68">
        <v>57135</v>
      </c>
      <c r="M68">
        <v>33627</v>
      </c>
      <c r="N68">
        <v>584</v>
      </c>
      <c r="O68" t="s">
        <v>11</v>
      </c>
      <c r="P68" t="s">
        <v>11</v>
      </c>
      <c r="Q68" t="s">
        <v>11</v>
      </c>
      <c r="R68" t="s">
        <v>11</v>
      </c>
      <c r="S68" t="s">
        <v>11</v>
      </c>
      <c r="T68" s="34">
        <v>91223</v>
      </c>
      <c r="U68" s="34">
        <v>49389</v>
      </c>
      <c r="V68" s="34">
        <v>4099</v>
      </c>
      <c r="W68" t="s">
        <v>11</v>
      </c>
      <c r="X68">
        <v>4742</v>
      </c>
      <c r="Y68" t="s">
        <v>11</v>
      </c>
      <c r="Z68">
        <v>5188</v>
      </c>
      <c r="AA68">
        <v>4453</v>
      </c>
      <c r="AB68">
        <v>33198</v>
      </c>
      <c r="AC68">
        <v>24186</v>
      </c>
      <c r="AD68">
        <v>3084</v>
      </c>
      <c r="AE68" t="s">
        <v>11</v>
      </c>
      <c r="AF68">
        <v>6640</v>
      </c>
      <c r="AG68" t="s">
        <v>11</v>
      </c>
      <c r="AH68">
        <f t="shared" si="6"/>
        <v>3084</v>
      </c>
      <c r="AI68" t="str">
        <f t="shared" si="7"/>
        <v>NoData</v>
      </c>
      <c r="AJ68">
        <v>17467</v>
      </c>
      <c r="AK68" t="s">
        <v>11</v>
      </c>
      <c r="AL68">
        <v>53527</v>
      </c>
      <c r="AM68">
        <v>42571</v>
      </c>
      <c r="AN68">
        <v>183</v>
      </c>
      <c r="AO68" t="s">
        <v>11</v>
      </c>
      <c r="AP68" t="s">
        <v>11</v>
      </c>
      <c r="AQ68" t="s">
        <v>11</v>
      </c>
      <c r="AR68" t="s">
        <v>11</v>
      </c>
      <c r="AS68" t="s">
        <v>11</v>
      </c>
      <c r="AT68" t="str">
        <f t="shared" si="11"/>
        <v>NoData</v>
      </c>
      <c r="AU68" t="str">
        <f t="shared" si="12"/>
        <v>NoData</v>
      </c>
      <c r="AV68" t="s">
        <v>11</v>
      </c>
      <c r="AW68" t="s">
        <v>11</v>
      </c>
      <c r="AX68" t="s">
        <v>11</v>
      </c>
      <c r="AY68" t="s">
        <v>11</v>
      </c>
      <c r="AZ68" t="str">
        <f t="shared" si="2"/>
        <v>NoData</v>
      </c>
      <c r="BA68" t="str">
        <f t="shared" si="3"/>
        <v>NoData</v>
      </c>
      <c r="BB68">
        <f t="shared" si="9"/>
        <v>183</v>
      </c>
      <c r="BC68" t="str">
        <f t="shared" si="10"/>
        <v>NoData</v>
      </c>
      <c r="BD68" t="s">
        <v>11</v>
      </c>
      <c r="BE68" t="s">
        <v>11</v>
      </c>
      <c r="BF68" t="s">
        <v>11</v>
      </c>
      <c r="BG68" t="s">
        <v>11</v>
      </c>
      <c r="BH68">
        <v>0</v>
      </c>
      <c r="BI68" t="s">
        <v>11</v>
      </c>
      <c r="BJ68">
        <v>54</v>
      </c>
      <c r="BK68" t="s">
        <v>11</v>
      </c>
      <c r="BL68" t="s">
        <v>11</v>
      </c>
      <c r="BM68" t="s">
        <v>11</v>
      </c>
      <c r="BN68" t="s">
        <v>11</v>
      </c>
      <c r="BO68" t="s">
        <v>11</v>
      </c>
      <c r="BP68" t="str">
        <f t="shared" si="4"/>
        <v>NoData</v>
      </c>
      <c r="BQ68" t="str">
        <f t="shared" si="5"/>
        <v>NoData</v>
      </c>
      <c r="BR68" t="s">
        <v>11</v>
      </c>
      <c r="BS68" t="s">
        <v>11</v>
      </c>
      <c r="BT68" t="s">
        <v>11</v>
      </c>
      <c r="BU68" t="s">
        <v>11</v>
      </c>
    </row>
    <row r="69" spans="1:73" x14ac:dyDescent="0.25">
      <c r="A69" s="5">
        <v>27881</v>
      </c>
      <c r="B69">
        <v>1101</v>
      </c>
      <c r="C69" t="s">
        <v>11</v>
      </c>
      <c r="D69" t="s">
        <v>11</v>
      </c>
      <c r="E69" t="s">
        <v>11</v>
      </c>
      <c r="F69">
        <v>783</v>
      </c>
      <c r="G69" t="s">
        <v>11</v>
      </c>
      <c r="H69">
        <v>1041</v>
      </c>
      <c r="I69" t="s">
        <v>11</v>
      </c>
      <c r="J69">
        <v>1406</v>
      </c>
      <c r="K69" t="s">
        <v>11</v>
      </c>
      <c r="L69">
        <v>63875</v>
      </c>
      <c r="M69">
        <v>37906</v>
      </c>
      <c r="N69">
        <v>490</v>
      </c>
      <c r="O69" t="s">
        <v>11</v>
      </c>
      <c r="P69" t="s">
        <v>11</v>
      </c>
      <c r="Q69" t="s">
        <v>11</v>
      </c>
      <c r="R69" t="s">
        <v>11</v>
      </c>
      <c r="S69" t="s">
        <v>11</v>
      </c>
      <c r="T69" s="34">
        <v>102666</v>
      </c>
      <c r="U69" s="34">
        <v>58369</v>
      </c>
      <c r="V69" s="34">
        <v>3341</v>
      </c>
      <c r="W69" t="s">
        <v>11</v>
      </c>
      <c r="X69">
        <v>3943</v>
      </c>
      <c r="Y69" t="s">
        <v>11</v>
      </c>
      <c r="Z69">
        <v>5706</v>
      </c>
      <c r="AA69">
        <v>4879</v>
      </c>
      <c r="AB69">
        <v>26924</v>
      </c>
      <c r="AC69">
        <v>18005</v>
      </c>
      <c r="AD69">
        <v>3879</v>
      </c>
      <c r="AE69" t="s">
        <v>11</v>
      </c>
      <c r="AF69">
        <v>5651</v>
      </c>
      <c r="AG69" t="s">
        <v>11</v>
      </c>
      <c r="AH69">
        <f t="shared" si="6"/>
        <v>3879</v>
      </c>
      <c r="AI69" t="str">
        <f t="shared" si="7"/>
        <v>NoData</v>
      </c>
      <c r="AJ69">
        <v>24653</v>
      </c>
      <c r="AK69" t="s">
        <v>11</v>
      </c>
      <c r="AL69">
        <v>46535</v>
      </c>
      <c r="AM69">
        <v>27587</v>
      </c>
      <c r="AN69">
        <v>94</v>
      </c>
      <c r="AO69" t="s">
        <v>11</v>
      </c>
      <c r="AP69" t="s">
        <v>11</v>
      </c>
      <c r="AQ69" t="s">
        <v>11</v>
      </c>
      <c r="AR69" t="s">
        <v>11</v>
      </c>
      <c r="AS69" t="s">
        <v>11</v>
      </c>
      <c r="AT69" t="str">
        <f t="shared" si="11"/>
        <v>NoData</v>
      </c>
      <c r="AU69" t="str">
        <f t="shared" si="12"/>
        <v>NoData</v>
      </c>
      <c r="AV69" t="s">
        <v>11</v>
      </c>
      <c r="AW69" t="s">
        <v>11</v>
      </c>
      <c r="AX69" t="s">
        <v>11</v>
      </c>
      <c r="AY69" t="s">
        <v>11</v>
      </c>
      <c r="AZ69" t="str">
        <f t="shared" ref="AZ69:AZ124" si="13">AT69</f>
        <v>NoData</v>
      </c>
      <c r="BA69" t="str">
        <f t="shared" ref="BA69:BA124" si="14">AU69</f>
        <v>NoData</v>
      </c>
      <c r="BB69">
        <f t="shared" si="9"/>
        <v>94</v>
      </c>
      <c r="BC69" t="str">
        <f t="shared" si="10"/>
        <v>NoData</v>
      </c>
      <c r="BD69" t="s">
        <v>11</v>
      </c>
      <c r="BE69" t="s">
        <v>11</v>
      </c>
      <c r="BF69" t="s">
        <v>11</v>
      </c>
      <c r="BG69" t="s">
        <v>11</v>
      </c>
      <c r="BH69">
        <v>0</v>
      </c>
      <c r="BI69" t="s">
        <v>11</v>
      </c>
      <c r="BJ69">
        <v>31</v>
      </c>
      <c r="BK69" t="s">
        <v>11</v>
      </c>
      <c r="BL69" t="s">
        <v>11</v>
      </c>
      <c r="BM69" t="s">
        <v>11</v>
      </c>
      <c r="BN69" t="s">
        <v>11</v>
      </c>
      <c r="BO69" t="s">
        <v>11</v>
      </c>
      <c r="BP69" t="str">
        <f t="shared" ref="BP69:BP132" si="15">BF69</f>
        <v>NoData</v>
      </c>
      <c r="BQ69" t="str">
        <f t="shared" ref="BQ69:BQ132" si="16">BG69</f>
        <v>NoData</v>
      </c>
      <c r="BR69" t="s">
        <v>11</v>
      </c>
      <c r="BS69" t="s">
        <v>11</v>
      </c>
      <c r="BT69" t="s">
        <v>11</v>
      </c>
      <c r="BU69" t="s">
        <v>11</v>
      </c>
    </row>
    <row r="70" spans="1:73" x14ac:dyDescent="0.25">
      <c r="A70" s="5">
        <v>27912</v>
      </c>
      <c r="B70">
        <v>2360</v>
      </c>
      <c r="C70" t="s">
        <v>11</v>
      </c>
      <c r="D70" t="s">
        <v>11</v>
      </c>
      <c r="E70" t="s">
        <v>11</v>
      </c>
      <c r="F70">
        <v>641</v>
      </c>
      <c r="G70" t="s">
        <v>11</v>
      </c>
      <c r="H70">
        <v>2231</v>
      </c>
      <c r="I70" t="s">
        <v>11</v>
      </c>
      <c r="J70">
        <v>2054</v>
      </c>
      <c r="K70" t="s">
        <v>11</v>
      </c>
      <c r="L70">
        <v>74643</v>
      </c>
      <c r="M70">
        <v>49908</v>
      </c>
      <c r="N70">
        <v>1269</v>
      </c>
      <c r="O70" t="s">
        <v>11</v>
      </c>
      <c r="P70" t="s">
        <v>11</v>
      </c>
      <c r="Q70" t="s">
        <v>11</v>
      </c>
      <c r="R70" t="s">
        <v>11</v>
      </c>
      <c r="S70" t="s">
        <v>11</v>
      </c>
      <c r="T70" s="34">
        <v>100960</v>
      </c>
      <c r="U70" s="34">
        <v>57683</v>
      </c>
      <c r="V70" s="34">
        <v>3588</v>
      </c>
      <c r="W70" t="s">
        <v>11</v>
      </c>
      <c r="X70">
        <v>5430</v>
      </c>
      <c r="Y70" t="s">
        <v>11</v>
      </c>
      <c r="Z70">
        <v>4837</v>
      </c>
      <c r="AA70">
        <v>4115</v>
      </c>
      <c r="AB70">
        <v>30571</v>
      </c>
      <c r="AC70">
        <v>22321</v>
      </c>
      <c r="AD70">
        <v>4736</v>
      </c>
      <c r="AE70" t="s">
        <v>11</v>
      </c>
      <c r="AF70">
        <v>4987</v>
      </c>
      <c r="AG70" t="s">
        <v>11</v>
      </c>
      <c r="AH70">
        <f t="shared" ref="AH70:AH133" si="17">AD70</f>
        <v>4736</v>
      </c>
      <c r="AI70" t="str">
        <f t="shared" ref="AI70:AI133" si="18">AE70</f>
        <v>NoData</v>
      </c>
      <c r="AJ70">
        <v>26969</v>
      </c>
      <c r="AK70" t="s">
        <v>11</v>
      </c>
      <c r="AL70">
        <v>50747</v>
      </c>
      <c r="AM70">
        <v>32628</v>
      </c>
      <c r="AN70">
        <v>64</v>
      </c>
      <c r="AO70" t="s">
        <v>11</v>
      </c>
      <c r="AP70" t="s">
        <v>11</v>
      </c>
      <c r="AQ70" t="s">
        <v>11</v>
      </c>
      <c r="AR70" t="s">
        <v>11</v>
      </c>
      <c r="AS70" t="s">
        <v>11</v>
      </c>
      <c r="AT70" t="str">
        <f t="shared" si="11"/>
        <v>NoData</v>
      </c>
      <c r="AU70" t="str">
        <f t="shared" si="12"/>
        <v>NoData</v>
      </c>
      <c r="AV70" t="s">
        <v>11</v>
      </c>
      <c r="AW70" t="s">
        <v>11</v>
      </c>
      <c r="AX70" t="s">
        <v>11</v>
      </c>
      <c r="AY70" t="s">
        <v>11</v>
      </c>
      <c r="AZ70" t="str">
        <f t="shared" si="13"/>
        <v>NoData</v>
      </c>
      <c r="BA70" t="str">
        <f t="shared" si="14"/>
        <v>NoData</v>
      </c>
      <c r="BB70">
        <f t="shared" ref="BB70:BB133" si="19">AN70</f>
        <v>64</v>
      </c>
      <c r="BC70" t="str">
        <f t="shared" ref="BC70:BC133" si="20">AO70</f>
        <v>NoData</v>
      </c>
      <c r="BD70" t="s">
        <v>11</v>
      </c>
      <c r="BE70" t="s">
        <v>11</v>
      </c>
      <c r="BF70" t="s">
        <v>11</v>
      </c>
      <c r="BG70" t="s">
        <v>11</v>
      </c>
      <c r="BH70">
        <v>16</v>
      </c>
      <c r="BI70" t="s">
        <v>11</v>
      </c>
      <c r="BJ70">
        <v>89</v>
      </c>
      <c r="BK70" t="s">
        <v>11</v>
      </c>
      <c r="BL70" t="s">
        <v>11</v>
      </c>
      <c r="BM70" t="s">
        <v>11</v>
      </c>
      <c r="BN70" t="s">
        <v>11</v>
      </c>
      <c r="BO70" t="s">
        <v>11</v>
      </c>
      <c r="BP70" t="str">
        <f t="shared" si="15"/>
        <v>NoData</v>
      </c>
      <c r="BQ70" t="str">
        <f t="shared" si="16"/>
        <v>NoData</v>
      </c>
      <c r="BR70" t="s">
        <v>11</v>
      </c>
      <c r="BS70" t="s">
        <v>11</v>
      </c>
      <c r="BT70" t="s">
        <v>11</v>
      </c>
      <c r="BU70" t="s">
        <v>11</v>
      </c>
    </row>
    <row r="71" spans="1:73" x14ac:dyDescent="0.25">
      <c r="A71" s="5">
        <v>27942</v>
      </c>
      <c r="B71">
        <v>3013</v>
      </c>
      <c r="C71" t="s">
        <v>11</v>
      </c>
      <c r="D71" t="s">
        <v>11</v>
      </c>
      <c r="E71" t="s">
        <v>11</v>
      </c>
      <c r="F71">
        <v>799</v>
      </c>
      <c r="G71" t="s">
        <v>11</v>
      </c>
      <c r="H71">
        <v>2848</v>
      </c>
      <c r="I71" t="s">
        <v>11</v>
      </c>
      <c r="J71">
        <v>1823</v>
      </c>
      <c r="K71" t="s">
        <v>11</v>
      </c>
      <c r="L71">
        <v>72255</v>
      </c>
      <c r="M71">
        <v>44150</v>
      </c>
      <c r="N71">
        <v>1172</v>
      </c>
      <c r="O71" t="s">
        <v>11</v>
      </c>
      <c r="P71" t="s">
        <v>11</v>
      </c>
      <c r="Q71" t="s">
        <v>11</v>
      </c>
      <c r="R71" t="s">
        <v>11</v>
      </c>
      <c r="S71" t="s">
        <v>11</v>
      </c>
      <c r="T71" s="34">
        <v>113774</v>
      </c>
      <c r="U71" s="34">
        <v>66738</v>
      </c>
      <c r="V71" s="34">
        <v>4371</v>
      </c>
      <c r="W71" t="s">
        <v>11</v>
      </c>
      <c r="X71">
        <v>5180</v>
      </c>
      <c r="Y71" t="s">
        <v>11</v>
      </c>
      <c r="Z71">
        <v>6644</v>
      </c>
      <c r="AA71">
        <v>5856</v>
      </c>
      <c r="AB71">
        <v>39396</v>
      </c>
      <c r="AC71">
        <v>30761</v>
      </c>
      <c r="AD71">
        <v>4909</v>
      </c>
      <c r="AE71" t="s">
        <v>11</v>
      </c>
      <c r="AF71">
        <v>5813</v>
      </c>
      <c r="AG71" t="s">
        <v>11</v>
      </c>
      <c r="AH71">
        <f t="shared" si="17"/>
        <v>4909</v>
      </c>
      <c r="AI71" t="str">
        <f t="shared" si="18"/>
        <v>NoData</v>
      </c>
      <c r="AJ71">
        <v>28509</v>
      </c>
      <c r="AK71" t="s">
        <v>11</v>
      </c>
      <c r="AL71">
        <v>57970</v>
      </c>
      <c r="AM71">
        <v>39817</v>
      </c>
      <c r="AN71">
        <v>162</v>
      </c>
      <c r="AO71" t="s">
        <v>11</v>
      </c>
      <c r="AP71" t="s">
        <v>11</v>
      </c>
      <c r="AQ71" t="s">
        <v>11</v>
      </c>
      <c r="AR71" t="s">
        <v>11</v>
      </c>
      <c r="AS71" t="s">
        <v>11</v>
      </c>
      <c r="AT71" t="str">
        <f t="shared" si="11"/>
        <v>NoData</v>
      </c>
      <c r="AU71" t="str">
        <f t="shared" si="12"/>
        <v>NoData</v>
      </c>
      <c r="AV71" t="s">
        <v>11</v>
      </c>
      <c r="AW71" t="s">
        <v>11</v>
      </c>
      <c r="AX71" t="s">
        <v>11</v>
      </c>
      <c r="AY71" t="s">
        <v>11</v>
      </c>
      <c r="AZ71" t="str">
        <f t="shared" si="13"/>
        <v>NoData</v>
      </c>
      <c r="BA71" t="str">
        <f t="shared" si="14"/>
        <v>NoData</v>
      </c>
      <c r="BB71">
        <f t="shared" si="19"/>
        <v>162</v>
      </c>
      <c r="BC71" t="str">
        <f t="shared" si="20"/>
        <v>NoData</v>
      </c>
      <c r="BD71" t="s">
        <v>11</v>
      </c>
      <c r="BE71" t="s">
        <v>11</v>
      </c>
      <c r="BF71" t="s">
        <v>11</v>
      </c>
      <c r="BG71" t="s">
        <v>11</v>
      </c>
      <c r="BH71">
        <v>19</v>
      </c>
      <c r="BI71" t="s">
        <v>11</v>
      </c>
      <c r="BJ71">
        <v>56</v>
      </c>
      <c r="BK71" t="s">
        <v>11</v>
      </c>
      <c r="BL71" t="s">
        <v>11</v>
      </c>
      <c r="BM71" t="s">
        <v>11</v>
      </c>
      <c r="BN71" t="s">
        <v>11</v>
      </c>
      <c r="BO71" t="s">
        <v>11</v>
      </c>
      <c r="BP71" t="str">
        <f t="shared" si="15"/>
        <v>NoData</v>
      </c>
      <c r="BQ71" t="str">
        <f t="shared" si="16"/>
        <v>NoData</v>
      </c>
      <c r="BR71" t="s">
        <v>11</v>
      </c>
      <c r="BS71" t="s">
        <v>11</v>
      </c>
      <c r="BT71" t="s">
        <v>11</v>
      </c>
      <c r="BU71" t="s">
        <v>11</v>
      </c>
    </row>
    <row r="72" spans="1:73" x14ac:dyDescent="0.25">
      <c r="A72" s="5">
        <v>27973</v>
      </c>
      <c r="B72">
        <v>2734</v>
      </c>
      <c r="C72" t="s">
        <v>11</v>
      </c>
      <c r="D72" t="s">
        <v>11</v>
      </c>
      <c r="E72" t="s">
        <v>11</v>
      </c>
      <c r="F72">
        <v>1097</v>
      </c>
      <c r="G72" t="s">
        <v>11</v>
      </c>
      <c r="H72">
        <v>2585</v>
      </c>
      <c r="I72" t="s">
        <v>11</v>
      </c>
      <c r="J72">
        <v>1875</v>
      </c>
      <c r="K72" t="s">
        <v>11</v>
      </c>
      <c r="L72">
        <v>72933</v>
      </c>
      <c r="M72">
        <v>44833</v>
      </c>
      <c r="N72">
        <v>872</v>
      </c>
      <c r="O72" t="s">
        <v>11</v>
      </c>
      <c r="P72" t="s">
        <v>11</v>
      </c>
      <c r="Q72" t="s">
        <v>11</v>
      </c>
      <c r="R72" t="s">
        <v>11</v>
      </c>
      <c r="S72" t="s">
        <v>11</v>
      </c>
      <c r="T72" s="34">
        <v>109311</v>
      </c>
      <c r="U72" s="34">
        <v>60183</v>
      </c>
      <c r="V72" s="34">
        <v>5543</v>
      </c>
      <c r="W72" t="s">
        <v>11</v>
      </c>
      <c r="X72">
        <v>6042</v>
      </c>
      <c r="Y72" t="s">
        <v>11</v>
      </c>
      <c r="Z72">
        <v>6652</v>
      </c>
      <c r="AA72">
        <v>5653</v>
      </c>
      <c r="AB72">
        <v>34815</v>
      </c>
      <c r="AC72">
        <v>25970</v>
      </c>
      <c r="AD72">
        <v>4904</v>
      </c>
      <c r="AE72" t="s">
        <v>11</v>
      </c>
      <c r="AF72">
        <v>6809</v>
      </c>
      <c r="AG72" t="s">
        <v>11</v>
      </c>
      <c r="AH72">
        <f t="shared" si="17"/>
        <v>4904</v>
      </c>
      <c r="AI72" t="str">
        <f t="shared" si="18"/>
        <v>NoData</v>
      </c>
      <c r="AJ72">
        <v>27788</v>
      </c>
      <c r="AK72" t="s">
        <v>11</v>
      </c>
      <c r="AL72">
        <v>68325</v>
      </c>
      <c r="AM72">
        <v>49256</v>
      </c>
      <c r="AN72">
        <v>251</v>
      </c>
      <c r="AO72" t="s">
        <v>11</v>
      </c>
      <c r="AP72" t="s">
        <v>11</v>
      </c>
      <c r="AQ72" t="s">
        <v>11</v>
      </c>
      <c r="AR72" t="s">
        <v>11</v>
      </c>
      <c r="AS72" t="s">
        <v>11</v>
      </c>
      <c r="AT72" t="str">
        <f t="shared" ref="AT72:AT124" si="21">AP72</f>
        <v>NoData</v>
      </c>
      <c r="AU72" t="str">
        <f t="shared" ref="AU72:AU124" si="22">AQ72</f>
        <v>NoData</v>
      </c>
      <c r="AV72" t="s">
        <v>11</v>
      </c>
      <c r="AW72" t="s">
        <v>11</v>
      </c>
      <c r="AX72" t="s">
        <v>11</v>
      </c>
      <c r="AY72" t="s">
        <v>11</v>
      </c>
      <c r="AZ72" t="str">
        <f t="shared" si="13"/>
        <v>NoData</v>
      </c>
      <c r="BA72" t="str">
        <f t="shared" si="14"/>
        <v>NoData</v>
      </c>
      <c r="BB72">
        <f t="shared" si="19"/>
        <v>251</v>
      </c>
      <c r="BC72" t="str">
        <f t="shared" si="20"/>
        <v>NoData</v>
      </c>
      <c r="BD72" t="s">
        <v>11</v>
      </c>
      <c r="BE72" t="s">
        <v>11</v>
      </c>
      <c r="BF72" t="s">
        <v>11</v>
      </c>
      <c r="BG72" t="s">
        <v>11</v>
      </c>
      <c r="BH72">
        <v>30</v>
      </c>
      <c r="BI72" t="s">
        <v>11</v>
      </c>
      <c r="BJ72">
        <v>66</v>
      </c>
      <c r="BK72" t="s">
        <v>11</v>
      </c>
      <c r="BL72" t="s">
        <v>11</v>
      </c>
      <c r="BM72" t="s">
        <v>11</v>
      </c>
      <c r="BN72" t="s">
        <v>11</v>
      </c>
      <c r="BO72" t="s">
        <v>11</v>
      </c>
      <c r="BP72" t="str">
        <f t="shared" si="15"/>
        <v>NoData</v>
      </c>
      <c r="BQ72" t="str">
        <f t="shared" si="16"/>
        <v>NoData</v>
      </c>
      <c r="BR72" t="s">
        <v>11</v>
      </c>
      <c r="BS72" t="s">
        <v>11</v>
      </c>
      <c r="BT72" t="s">
        <v>11</v>
      </c>
      <c r="BU72" t="s">
        <v>11</v>
      </c>
    </row>
    <row r="73" spans="1:73" x14ac:dyDescent="0.25">
      <c r="A73" s="5">
        <v>28004</v>
      </c>
      <c r="B73">
        <v>1348</v>
      </c>
      <c r="C73" t="s">
        <v>11</v>
      </c>
      <c r="D73" t="s">
        <v>11</v>
      </c>
      <c r="E73" t="s">
        <v>11</v>
      </c>
      <c r="F73">
        <v>1254</v>
      </c>
      <c r="G73" t="s">
        <v>11</v>
      </c>
      <c r="H73">
        <v>1274</v>
      </c>
      <c r="I73" t="s">
        <v>11</v>
      </c>
      <c r="J73">
        <v>1940</v>
      </c>
      <c r="K73" t="s">
        <v>11</v>
      </c>
      <c r="L73">
        <v>45271</v>
      </c>
      <c r="M73">
        <v>18654</v>
      </c>
      <c r="N73">
        <v>676</v>
      </c>
      <c r="O73" t="s">
        <v>11</v>
      </c>
      <c r="P73" t="s">
        <v>11</v>
      </c>
      <c r="Q73" t="s">
        <v>11</v>
      </c>
      <c r="R73" t="s">
        <v>11</v>
      </c>
      <c r="S73" t="s">
        <v>11</v>
      </c>
      <c r="T73" s="34">
        <v>64493</v>
      </c>
      <c r="U73" s="34">
        <v>10352</v>
      </c>
      <c r="V73" s="34">
        <v>4970</v>
      </c>
      <c r="W73" t="s">
        <v>11</v>
      </c>
      <c r="X73">
        <v>3593</v>
      </c>
      <c r="Y73" t="s">
        <v>11</v>
      </c>
      <c r="Z73">
        <v>3602</v>
      </c>
      <c r="AA73">
        <v>2573</v>
      </c>
      <c r="AB73">
        <v>30848</v>
      </c>
      <c r="AC73">
        <v>21592</v>
      </c>
      <c r="AD73">
        <v>3454</v>
      </c>
      <c r="AE73" t="s">
        <v>11</v>
      </c>
      <c r="AF73">
        <v>5597</v>
      </c>
      <c r="AG73" t="s">
        <v>11</v>
      </c>
      <c r="AH73">
        <f t="shared" si="17"/>
        <v>3454</v>
      </c>
      <c r="AI73" t="str">
        <f t="shared" si="18"/>
        <v>NoData</v>
      </c>
      <c r="AJ73">
        <v>18948</v>
      </c>
      <c r="AK73" t="s">
        <v>11</v>
      </c>
      <c r="AL73">
        <v>42222</v>
      </c>
      <c r="AM73">
        <v>24555</v>
      </c>
      <c r="AN73">
        <v>188</v>
      </c>
      <c r="AO73" t="s">
        <v>11</v>
      </c>
      <c r="AP73" t="s">
        <v>11</v>
      </c>
      <c r="AQ73" t="s">
        <v>11</v>
      </c>
      <c r="AR73" t="s">
        <v>11</v>
      </c>
      <c r="AS73" t="s">
        <v>11</v>
      </c>
      <c r="AT73" t="str">
        <f t="shared" si="21"/>
        <v>NoData</v>
      </c>
      <c r="AU73" t="str">
        <f t="shared" si="22"/>
        <v>NoData</v>
      </c>
      <c r="AV73" t="s">
        <v>11</v>
      </c>
      <c r="AW73" t="s">
        <v>11</v>
      </c>
      <c r="AX73" t="s">
        <v>11</v>
      </c>
      <c r="AY73" t="s">
        <v>11</v>
      </c>
      <c r="AZ73" t="str">
        <f t="shared" si="13"/>
        <v>NoData</v>
      </c>
      <c r="BA73" t="str">
        <f t="shared" si="14"/>
        <v>NoData</v>
      </c>
      <c r="BB73">
        <f t="shared" si="19"/>
        <v>188</v>
      </c>
      <c r="BC73" t="str">
        <f t="shared" si="20"/>
        <v>NoData</v>
      </c>
      <c r="BD73" t="s">
        <v>11</v>
      </c>
      <c r="BE73" t="s">
        <v>11</v>
      </c>
      <c r="BF73" t="s">
        <v>11</v>
      </c>
      <c r="BG73" t="s">
        <v>11</v>
      </c>
      <c r="BH73">
        <v>6</v>
      </c>
      <c r="BI73" t="s">
        <v>11</v>
      </c>
      <c r="BJ73">
        <v>10</v>
      </c>
      <c r="BK73" t="s">
        <v>11</v>
      </c>
      <c r="BL73" t="s">
        <v>11</v>
      </c>
      <c r="BM73" t="s">
        <v>11</v>
      </c>
      <c r="BN73" t="s">
        <v>11</v>
      </c>
      <c r="BO73" t="s">
        <v>11</v>
      </c>
      <c r="BP73" t="str">
        <f t="shared" si="15"/>
        <v>NoData</v>
      </c>
      <c r="BQ73" t="str">
        <f t="shared" si="16"/>
        <v>NoData</v>
      </c>
      <c r="BR73" t="s">
        <v>11</v>
      </c>
      <c r="BS73" t="s">
        <v>11</v>
      </c>
      <c r="BT73" t="s">
        <v>11</v>
      </c>
      <c r="BU73" t="s">
        <v>11</v>
      </c>
    </row>
    <row r="74" spans="1:73" x14ac:dyDescent="0.25">
      <c r="A74" s="5">
        <v>28034</v>
      </c>
      <c r="B74">
        <v>592</v>
      </c>
      <c r="C74" t="s">
        <v>11</v>
      </c>
      <c r="D74" t="s">
        <v>11</v>
      </c>
      <c r="E74" t="s">
        <v>11</v>
      </c>
      <c r="F74">
        <v>477</v>
      </c>
      <c r="G74" t="s">
        <v>11</v>
      </c>
      <c r="H74">
        <v>560</v>
      </c>
      <c r="I74" t="s">
        <v>11</v>
      </c>
      <c r="J74">
        <v>1087</v>
      </c>
      <c r="K74" t="s">
        <v>11</v>
      </c>
      <c r="L74">
        <v>27662</v>
      </c>
      <c r="M74">
        <v>6752</v>
      </c>
      <c r="N74">
        <v>34</v>
      </c>
      <c r="O74" t="s">
        <v>11</v>
      </c>
      <c r="P74" t="s">
        <v>11</v>
      </c>
      <c r="Q74" t="s">
        <v>11</v>
      </c>
      <c r="R74" t="s">
        <v>11</v>
      </c>
      <c r="S74" t="s">
        <v>11</v>
      </c>
      <c r="T74" s="34">
        <v>50994</v>
      </c>
      <c r="U74" s="34">
        <v>7354</v>
      </c>
      <c r="V74" s="34">
        <v>3520</v>
      </c>
      <c r="W74" t="s">
        <v>11</v>
      </c>
      <c r="X74">
        <v>3787</v>
      </c>
      <c r="Y74" t="s">
        <v>11</v>
      </c>
      <c r="Z74">
        <v>3838</v>
      </c>
      <c r="AA74">
        <v>2953</v>
      </c>
      <c r="AB74">
        <v>22723</v>
      </c>
      <c r="AC74">
        <v>13564</v>
      </c>
      <c r="AD74">
        <v>2522</v>
      </c>
      <c r="AE74" t="s">
        <v>11</v>
      </c>
      <c r="AF74">
        <v>4492</v>
      </c>
      <c r="AG74" t="s">
        <v>11</v>
      </c>
      <c r="AH74">
        <f t="shared" si="17"/>
        <v>2522</v>
      </c>
      <c r="AI74" t="str">
        <f t="shared" si="18"/>
        <v>NoData</v>
      </c>
      <c r="AJ74">
        <v>14783</v>
      </c>
      <c r="AK74" t="s">
        <v>11</v>
      </c>
      <c r="AL74">
        <v>26043</v>
      </c>
      <c r="AM74">
        <v>7162</v>
      </c>
      <c r="AN74">
        <v>2</v>
      </c>
      <c r="AO74" t="s">
        <v>11</v>
      </c>
      <c r="AP74" t="s">
        <v>11</v>
      </c>
      <c r="AQ74" t="s">
        <v>11</v>
      </c>
      <c r="AR74" t="s">
        <v>11</v>
      </c>
      <c r="AS74" t="s">
        <v>11</v>
      </c>
      <c r="AT74" t="str">
        <f t="shared" si="21"/>
        <v>NoData</v>
      </c>
      <c r="AU74" t="str">
        <f t="shared" si="22"/>
        <v>NoData</v>
      </c>
      <c r="AV74" t="s">
        <v>11</v>
      </c>
      <c r="AW74" t="s">
        <v>11</v>
      </c>
      <c r="AX74" t="s">
        <v>11</v>
      </c>
      <c r="AY74" t="s">
        <v>11</v>
      </c>
      <c r="AZ74" t="str">
        <f t="shared" si="13"/>
        <v>NoData</v>
      </c>
      <c r="BA74" t="str">
        <f t="shared" si="14"/>
        <v>NoData</v>
      </c>
      <c r="BB74">
        <f t="shared" si="19"/>
        <v>2</v>
      </c>
      <c r="BC74" t="str">
        <f t="shared" si="20"/>
        <v>NoData</v>
      </c>
      <c r="BD74" t="s">
        <v>11</v>
      </c>
      <c r="BE74" t="s">
        <v>11</v>
      </c>
      <c r="BF74" t="s">
        <v>11</v>
      </c>
      <c r="BG74" t="s">
        <v>11</v>
      </c>
      <c r="BH74">
        <v>0</v>
      </c>
      <c r="BI74" t="s">
        <v>11</v>
      </c>
      <c r="BJ74">
        <v>15</v>
      </c>
      <c r="BK74" t="s">
        <v>11</v>
      </c>
      <c r="BL74" t="s">
        <v>11</v>
      </c>
      <c r="BM74" t="s">
        <v>11</v>
      </c>
      <c r="BN74" t="s">
        <v>11</v>
      </c>
      <c r="BO74" t="s">
        <v>11</v>
      </c>
      <c r="BP74" t="str">
        <f t="shared" si="15"/>
        <v>NoData</v>
      </c>
      <c r="BQ74" t="str">
        <f t="shared" si="16"/>
        <v>NoData</v>
      </c>
      <c r="BR74" t="s">
        <v>11</v>
      </c>
      <c r="BS74" t="s">
        <v>11</v>
      </c>
      <c r="BT74" t="s">
        <v>11</v>
      </c>
      <c r="BU74" t="s">
        <v>11</v>
      </c>
    </row>
    <row r="75" spans="1:73" x14ac:dyDescent="0.25">
      <c r="A75" s="5">
        <v>28065</v>
      </c>
      <c r="B75">
        <v>534</v>
      </c>
      <c r="C75" t="s">
        <v>11</v>
      </c>
      <c r="D75" t="s">
        <v>11</v>
      </c>
      <c r="E75" t="s">
        <v>11</v>
      </c>
      <c r="F75">
        <v>584</v>
      </c>
      <c r="G75" t="s">
        <v>11</v>
      </c>
      <c r="H75">
        <v>505</v>
      </c>
      <c r="I75" t="s">
        <v>11</v>
      </c>
      <c r="J75">
        <v>1220</v>
      </c>
      <c r="K75" t="s">
        <v>11</v>
      </c>
      <c r="L75">
        <v>23988</v>
      </c>
      <c r="M75">
        <v>4564</v>
      </c>
      <c r="N75">
        <v>173</v>
      </c>
      <c r="O75" t="s">
        <v>11</v>
      </c>
      <c r="P75" t="s">
        <v>11</v>
      </c>
      <c r="Q75" t="s">
        <v>11</v>
      </c>
      <c r="R75" t="s">
        <v>11</v>
      </c>
      <c r="S75" t="s">
        <v>11</v>
      </c>
      <c r="T75" s="34">
        <v>51012</v>
      </c>
      <c r="U75" s="34">
        <v>10929</v>
      </c>
      <c r="V75" s="34">
        <v>2291</v>
      </c>
      <c r="W75" t="s">
        <v>11</v>
      </c>
      <c r="X75">
        <v>3796</v>
      </c>
      <c r="Y75" t="s">
        <v>11</v>
      </c>
      <c r="Z75">
        <v>6102</v>
      </c>
      <c r="AA75">
        <v>2368</v>
      </c>
      <c r="AB75">
        <v>12708</v>
      </c>
      <c r="AC75">
        <v>5065</v>
      </c>
      <c r="AD75">
        <v>2210</v>
      </c>
      <c r="AE75" t="s">
        <v>11</v>
      </c>
      <c r="AF75">
        <v>2662</v>
      </c>
      <c r="AG75" t="s">
        <v>11</v>
      </c>
      <c r="AH75">
        <f t="shared" si="17"/>
        <v>2210</v>
      </c>
      <c r="AI75" t="str">
        <f t="shared" si="18"/>
        <v>NoData</v>
      </c>
      <c r="AJ75">
        <v>10435</v>
      </c>
      <c r="AK75" t="s">
        <v>11</v>
      </c>
      <c r="AL75">
        <v>17512</v>
      </c>
      <c r="AM75">
        <v>-393</v>
      </c>
      <c r="AN75">
        <v>7</v>
      </c>
      <c r="AO75" t="s">
        <v>11</v>
      </c>
      <c r="AP75" t="s">
        <v>11</v>
      </c>
      <c r="AQ75" t="s">
        <v>11</v>
      </c>
      <c r="AR75" t="s">
        <v>11</v>
      </c>
      <c r="AS75" t="s">
        <v>11</v>
      </c>
      <c r="AT75" t="str">
        <f t="shared" si="21"/>
        <v>NoData</v>
      </c>
      <c r="AU75" t="str">
        <f t="shared" si="22"/>
        <v>NoData</v>
      </c>
      <c r="AV75" t="s">
        <v>11</v>
      </c>
      <c r="AW75" t="s">
        <v>11</v>
      </c>
      <c r="AX75" t="s">
        <v>11</v>
      </c>
      <c r="AY75" t="s">
        <v>11</v>
      </c>
      <c r="AZ75" t="str">
        <f t="shared" si="13"/>
        <v>NoData</v>
      </c>
      <c r="BA75" t="str">
        <f t="shared" si="14"/>
        <v>NoData</v>
      </c>
      <c r="BB75">
        <f t="shared" si="19"/>
        <v>7</v>
      </c>
      <c r="BC75" t="str">
        <f t="shared" si="20"/>
        <v>NoData</v>
      </c>
      <c r="BD75" t="s">
        <v>11</v>
      </c>
      <c r="BE75" t="s">
        <v>11</v>
      </c>
      <c r="BF75" t="s">
        <v>11</v>
      </c>
      <c r="BG75" t="s">
        <v>11</v>
      </c>
      <c r="BH75">
        <v>0</v>
      </c>
      <c r="BI75" t="s">
        <v>11</v>
      </c>
      <c r="BJ75">
        <v>17</v>
      </c>
      <c r="BK75" t="s">
        <v>11</v>
      </c>
      <c r="BL75" t="s">
        <v>11</v>
      </c>
      <c r="BM75" t="s">
        <v>11</v>
      </c>
      <c r="BN75" t="s">
        <v>11</v>
      </c>
      <c r="BO75" t="s">
        <v>11</v>
      </c>
      <c r="BP75" t="str">
        <f t="shared" si="15"/>
        <v>NoData</v>
      </c>
      <c r="BQ75" t="str">
        <f t="shared" si="16"/>
        <v>NoData</v>
      </c>
      <c r="BR75" t="s">
        <v>11</v>
      </c>
      <c r="BS75" t="s">
        <v>11</v>
      </c>
      <c r="BT75" t="s">
        <v>11</v>
      </c>
      <c r="BU75" t="s">
        <v>11</v>
      </c>
    </row>
    <row r="76" spans="1:73" x14ac:dyDescent="0.25">
      <c r="A76" s="5">
        <v>28095</v>
      </c>
      <c r="B76">
        <v>263</v>
      </c>
      <c r="C76" t="s">
        <v>11</v>
      </c>
      <c r="D76" t="s">
        <v>11</v>
      </c>
      <c r="E76" t="s">
        <v>11</v>
      </c>
      <c r="F76">
        <v>432</v>
      </c>
      <c r="G76" t="s">
        <v>11</v>
      </c>
      <c r="H76">
        <v>249</v>
      </c>
      <c r="I76" t="s">
        <v>11</v>
      </c>
      <c r="J76">
        <v>987</v>
      </c>
      <c r="K76" t="s">
        <v>11</v>
      </c>
      <c r="L76">
        <v>25544</v>
      </c>
      <c r="M76">
        <v>7034</v>
      </c>
      <c r="N76">
        <v>122</v>
      </c>
      <c r="O76" t="s">
        <v>11</v>
      </c>
      <c r="P76" t="s">
        <v>11</v>
      </c>
      <c r="Q76" t="s">
        <v>11</v>
      </c>
      <c r="R76" t="s">
        <v>11</v>
      </c>
      <c r="S76" t="s">
        <v>11</v>
      </c>
      <c r="T76" s="34">
        <v>41540</v>
      </c>
      <c r="U76" s="34">
        <v>1725</v>
      </c>
      <c r="V76" s="34">
        <v>983</v>
      </c>
      <c r="W76" t="s">
        <v>11</v>
      </c>
      <c r="X76">
        <v>2449</v>
      </c>
      <c r="Y76" t="s">
        <v>11</v>
      </c>
      <c r="Z76">
        <v>2440</v>
      </c>
      <c r="AA76">
        <v>1827</v>
      </c>
      <c r="AB76">
        <v>12727</v>
      </c>
      <c r="AC76">
        <v>4760</v>
      </c>
      <c r="AD76">
        <v>2067</v>
      </c>
      <c r="AE76" t="s">
        <v>11</v>
      </c>
      <c r="AF76">
        <v>2990</v>
      </c>
      <c r="AG76" t="s">
        <v>11</v>
      </c>
      <c r="AH76">
        <f t="shared" si="17"/>
        <v>2067</v>
      </c>
      <c r="AI76" t="str">
        <f t="shared" si="18"/>
        <v>NoData</v>
      </c>
      <c r="AJ76">
        <v>14093</v>
      </c>
      <c r="AK76" t="s">
        <v>11</v>
      </c>
      <c r="AL76">
        <v>20065</v>
      </c>
      <c r="AM76">
        <v>1220</v>
      </c>
      <c r="AN76">
        <v>46</v>
      </c>
      <c r="AO76" t="s">
        <v>11</v>
      </c>
      <c r="AP76" t="s">
        <v>11</v>
      </c>
      <c r="AQ76" t="s">
        <v>11</v>
      </c>
      <c r="AR76" t="s">
        <v>11</v>
      </c>
      <c r="AS76" t="s">
        <v>11</v>
      </c>
      <c r="AT76" t="str">
        <f t="shared" si="21"/>
        <v>NoData</v>
      </c>
      <c r="AU76" t="str">
        <f t="shared" si="22"/>
        <v>NoData</v>
      </c>
      <c r="AV76" t="s">
        <v>11</v>
      </c>
      <c r="AW76" t="s">
        <v>11</v>
      </c>
      <c r="AX76" t="s">
        <v>11</v>
      </c>
      <c r="AY76" t="s">
        <v>11</v>
      </c>
      <c r="AZ76" t="str">
        <f t="shared" si="13"/>
        <v>NoData</v>
      </c>
      <c r="BA76" t="str">
        <f t="shared" si="14"/>
        <v>NoData</v>
      </c>
      <c r="BB76">
        <f t="shared" si="19"/>
        <v>46</v>
      </c>
      <c r="BC76" t="str">
        <f t="shared" si="20"/>
        <v>NoData</v>
      </c>
      <c r="BD76" t="s">
        <v>11</v>
      </c>
      <c r="BE76" t="s">
        <v>11</v>
      </c>
      <c r="BF76" t="s">
        <v>11</v>
      </c>
      <c r="BG76" t="s">
        <v>11</v>
      </c>
      <c r="BH76">
        <v>0</v>
      </c>
      <c r="BI76" t="s">
        <v>11</v>
      </c>
      <c r="BJ76">
        <v>41</v>
      </c>
      <c r="BK76" t="s">
        <v>11</v>
      </c>
      <c r="BL76" t="s">
        <v>11</v>
      </c>
      <c r="BM76" t="s">
        <v>11</v>
      </c>
      <c r="BN76" t="s">
        <v>11</v>
      </c>
      <c r="BO76" t="s">
        <v>11</v>
      </c>
      <c r="BP76" t="str">
        <f t="shared" si="15"/>
        <v>NoData</v>
      </c>
      <c r="BQ76" t="str">
        <f t="shared" si="16"/>
        <v>NoData</v>
      </c>
      <c r="BR76" t="s">
        <v>11</v>
      </c>
      <c r="BS76" t="s">
        <v>11</v>
      </c>
      <c r="BT76" t="s">
        <v>11</v>
      </c>
      <c r="BU76" t="s">
        <v>11</v>
      </c>
    </row>
    <row r="77" spans="1:73" x14ac:dyDescent="0.25">
      <c r="A77" s="5">
        <v>28126</v>
      </c>
      <c r="B77">
        <v>247</v>
      </c>
      <c r="C77" t="s">
        <v>11</v>
      </c>
      <c r="D77" t="s">
        <v>11</v>
      </c>
      <c r="E77" t="s">
        <v>11</v>
      </c>
      <c r="F77">
        <v>0</v>
      </c>
      <c r="G77" t="s">
        <v>11</v>
      </c>
      <c r="H77">
        <v>0</v>
      </c>
      <c r="I77" t="s">
        <v>11</v>
      </c>
      <c r="J77">
        <v>301</v>
      </c>
      <c r="K77" t="s">
        <v>11</v>
      </c>
      <c r="L77">
        <v>6748</v>
      </c>
      <c r="M77">
        <v>-7646</v>
      </c>
      <c r="N77">
        <v>119</v>
      </c>
      <c r="O77" t="s">
        <v>11</v>
      </c>
      <c r="P77" t="s">
        <v>11</v>
      </c>
      <c r="Q77" t="s">
        <v>11</v>
      </c>
      <c r="R77" t="s">
        <v>11</v>
      </c>
      <c r="S77" t="s">
        <v>11</v>
      </c>
      <c r="T77" s="34">
        <v>40376</v>
      </c>
      <c r="U77" s="34">
        <v>4403</v>
      </c>
      <c r="V77" s="34">
        <v>1190</v>
      </c>
      <c r="W77" t="s">
        <v>11</v>
      </c>
      <c r="X77">
        <v>1020</v>
      </c>
      <c r="Y77" t="s">
        <v>11</v>
      </c>
      <c r="Z77">
        <v>1648</v>
      </c>
      <c r="AA77">
        <v>1189</v>
      </c>
      <c r="AB77">
        <v>13008</v>
      </c>
      <c r="AC77">
        <v>6495</v>
      </c>
      <c r="AD77">
        <v>1092</v>
      </c>
      <c r="AE77" t="s">
        <v>11</v>
      </c>
      <c r="AF77">
        <v>2292</v>
      </c>
      <c r="AG77" t="s">
        <v>11</v>
      </c>
      <c r="AH77">
        <f t="shared" si="17"/>
        <v>1092</v>
      </c>
      <c r="AI77" t="str">
        <f t="shared" si="18"/>
        <v>NoData</v>
      </c>
      <c r="AJ77">
        <v>6526</v>
      </c>
      <c r="AK77" t="s">
        <v>11</v>
      </c>
      <c r="AL77">
        <v>14522</v>
      </c>
      <c r="AM77">
        <v>-4000</v>
      </c>
      <c r="AN77">
        <v>5</v>
      </c>
      <c r="AO77" t="s">
        <v>11</v>
      </c>
      <c r="AP77" t="s">
        <v>11</v>
      </c>
      <c r="AQ77" t="s">
        <v>11</v>
      </c>
      <c r="AR77" t="s">
        <v>11</v>
      </c>
      <c r="AS77" t="s">
        <v>11</v>
      </c>
      <c r="AT77" t="str">
        <f t="shared" si="21"/>
        <v>NoData</v>
      </c>
      <c r="AU77" t="str">
        <f t="shared" si="22"/>
        <v>NoData</v>
      </c>
      <c r="AV77" t="s">
        <v>11</v>
      </c>
      <c r="AW77" t="s">
        <v>11</v>
      </c>
      <c r="AX77" t="s">
        <v>11</v>
      </c>
      <c r="AY77" t="s">
        <v>11</v>
      </c>
      <c r="AZ77" t="str">
        <f t="shared" si="13"/>
        <v>NoData</v>
      </c>
      <c r="BA77" t="str">
        <f t="shared" si="14"/>
        <v>NoData</v>
      </c>
      <c r="BB77">
        <f t="shared" si="19"/>
        <v>5</v>
      </c>
      <c r="BC77" t="str">
        <f t="shared" si="20"/>
        <v>NoData</v>
      </c>
      <c r="BD77" t="s">
        <v>11</v>
      </c>
      <c r="BE77" t="s">
        <v>11</v>
      </c>
      <c r="BF77" t="s">
        <v>11</v>
      </c>
      <c r="BG77" t="s">
        <v>11</v>
      </c>
      <c r="BH77">
        <v>0</v>
      </c>
      <c r="BI77" t="s">
        <v>11</v>
      </c>
      <c r="BJ77">
        <v>27</v>
      </c>
      <c r="BK77" t="s">
        <v>11</v>
      </c>
      <c r="BL77" t="s">
        <v>11</v>
      </c>
      <c r="BM77" t="s">
        <v>11</v>
      </c>
      <c r="BN77" t="s">
        <v>11</v>
      </c>
      <c r="BO77" t="s">
        <v>11</v>
      </c>
      <c r="BP77" t="str">
        <f t="shared" si="15"/>
        <v>NoData</v>
      </c>
      <c r="BQ77" t="str">
        <f t="shared" si="16"/>
        <v>NoData</v>
      </c>
      <c r="BR77" t="s">
        <v>11</v>
      </c>
      <c r="BS77" t="s">
        <v>11</v>
      </c>
      <c r="BT77" t="s">
        <v>11</v>
      </c>
      <c r="BU77" t="s">
        <v>11</v>
      </c>
    </row>
    <row r="78" spans="1:73" x14ac:dyDescent="0.25">
      <c r="A78" s="5">
        <v>28157</v>
      </c>
      <c r="B78">
        <v>659</v>
      </c>
      <c r="C78" t="s">
        <v>11</v>
      </c>
      <c r="D78" t="s">
        <v>11</v>
      </c>
      <c r="E78" t="s">
        <v>11</v>
      </c>
      <c r="F78">
        <v>0</v>
      </c>
      <c r="G78" t="s">
        <v>11</v>
      </c>
      <c r="H78">
        <v>0</v>
      </c>
      <c r="I78" t="s">
        <v>11</v>
      </c>
      <c r="J78">
        <v>1690</v>
      </c>
      <c r="K78" t="s">
        <v>11</v>
      </c>
      <c r="L78">
        <v>47249</v>
      </c>
      <c r="M78">
        <v>33822</v>
      </c>
      <c r="N78">
        <v>426</v>
      </c>
      <c r="O78" t="s">
        <v>11</v>
      </c>
      <c r="P78" t="s">
        <v>11</v>
      </c>
      <c r="Q78" t="s">
        <v>11</v>
      </c>
      <c r="R78" t="s">
        <v>11</v>
      </c>
      <c r="S78" t="s">
        <v>11</v>
      </c>
      <c r="T78" s="34">
        <v>59412</v>
      </c>
      <c r="U78" s="34">
        <v>28691</v>
      </c>
      <c r="V78" s="34">
        <v>3389</v>
      </c>
      <c r="W78" t="s">
        <v>11</v>
      </c>
      <c r="X78">
        <v>3684</v>
      </c>
      <c r="Y78" t="s">
        <v>11</v>
      </c>
      <c r="Z78">
        <v>6288</v>
      </c>
      <c r="AA78">
        <v>5643</v>
      </c>
      <c r="AB78">
        <v>24209</v>
      </c>
      <c r="AC78">
        <v>15876</v>
      </c>
      <c r="AD78">
        <v>1828</v>
      </c>
      <c r="AE78" t="s">
        <v>11</v>
      </c>
      <c r="AF78">
        <v>5765</v>
      </c>
      <c r="AG78" t="s">
        <v>11</v>
      </c>
      <c r="AH78">
        <f t="shared" si="17"/>
        <v>1828</v>
      </c>
      <c r="AI78" t="str">
        <f t="shared" si="18"/>
        <v>NoData</v>
      </c>
      <c r="AJ78">
        <v>10536</v>
      </c>
      <c r="AK78" t="s">
        <v>11</v>
      </c>
      <c r="AL78">
        <v>34090</v>
      </c>
      <c r="AM78">
        <v>17377</v>
      </c>
      <c r="AN78">
        <v>0</v>
      </c>
      <c r="AO78" t="s">
        <v>11</v>
      </c>
      <c r="AP78" t="s">
        <v>11</v>
      </c>
      <c r="AQ78" t="s">
        <v>11</v>
      </c>
      <c r="AR78" t="s">
        <v>11</v>
      </c>
      <c r="AS78" t="s">
        <v>11</v>
      </c>
      <c r="AT78" t="str">
        <f t="shared" si="21"/>
        <v>NoData</v>
      </c>
      <c r="AU78" t="str">
        <f t="shared" si="22"/>
        <v>NoData</v>
      </c>
      <c r="AV78" t="s">
        <v>11</v>
      </c>
      <c r="AW78" t="s">
        <v>11</v>
      </c>
      <c r="AX78" t="s">
        <v>11</v>
      </c>
      <c r="AY78" t="s">
        <v>11</v>
      </c>
      <c r="AZ78" t="str">
        <f t="shared" si="13"/>
        <v>NoData</v>
      </c>
      <c r="BA78" t="str">
        <f t="shared" si="14"/>
        <v>NoData</v>
      </c>
      <c r="BB78">
        <f t="shared" si="19"/>
        <v>0</v>
      </c>
      <c r="BC78" t="str">
        <f t="shared" si="20"/>
        <v>NoData</v>
      </c>
      <c r="BD78" t="s">
        <v>11</v>
      </c>
      <c r="BE78" t="s">
        <v>11</v>
      </c>
      <c r="BF78" t="s">
        <v>11</v>
      </c>
      <c r="BG78" t="s">
        <v>11</v>
      </c>
      <c r="BH78">
        <v>0</v>
      </c>
      <c r="BI78" t="s">
        <v>11</v>
      </c>
      <c r="BJ78">
        <v>62</v>
      </c>
      <c r="BK78" t="s">
        <v>11</v>
      </c>
      <c r="BL78" t="s">
        <v>11</v>
      </c>
      <c r="BM78" t="s">
        <v>11</v>
      </c>
      <c r="BN78" t="s">
        <v>11</v>
      </c>
      <c r="BO78" t="s">
        <v>11</v>
      </c>
      <c r="BP78" t="str">
        <f t="shared" si="15"/>
        <v>NoData</v>
      </c>
      <c r="BQ78" t="str">
        <f t="shared" si="16"/>
        <v>NoData</v>
      </c>
      <c r="BR78" t="s">
        <v>11</v>
      </c>
      <c r="BS78" t="s">
        <v>11</v>
      </c>
      <c r="BT78" t="s">
        <v>11</v>
      </c>
      <c r="BU78" t="s">
        <v>11</v>
      </c>
    </row>
    <row r="79" spans="1:73" x14ac:dyDescent="0.25">
      <c r="A79" s="5">
        <v>28185</v>
      </c>
      <c r="B79">
        <v>1175</v>
      </c>
      <c r="C79" t="s">
        <v>11</v>
      </c>
      <c r="D79" t="s">
        <v>11</v>
      </c>
      <c r="E79" t="s">
        <v>11</v>
      </c>
      <c r="F79">
        <v>0</v>
      </c>
      <c r="G79" t="s">
        <v>11</v>
      </c>
      <c r="H79">
        <v>0</v>
      </c>
      <c r="I79" t="s">
        <v>11</v>
      </c>
      <c r="J79">
        <v>1668</v>
      </c>
      <c r="K79" t="s">
        <v>11</v>
      </c>
      <c r="L79">
        <v>58212</v>
      </c>
      <c r="M79">
        <v>36707</v>
      </c>
      <c r="N79">
        <v>645</v>
      </c>
      <c r="O79" t="s">
        <v>11</v>
      </c>
      <c r="P79" t="s">
        <v>11</v>
      </c>
      <c r="Q79" t="s">
        <v>11</v>
      </c>
      <c r="R79" t="s">
        <v>11</v>
      </c>
      <c r="S79" t="s">
        <v>11</v>
      </c>
      <c r="T79" s="34">
        <v>77317</v>
      </c>
      <c r="U79" s="34">
        <v>39974</v>
      </c>
      <c r="V79" s="34">
        <v>2746</v>
      </c>
      <c r="W79" t="s">
        <v>11</v>
      </c>
      <c r="X79">
        <v>3248</v>
      </c>
      <c r="Y79" t="s">
        <v>11</v>
      </c>
      <c r="Z79">
        <v>3220</v>
      </c>
      <c r="AA79">
        <v>2615</v>
      </c>
      <c r="AB79">
        <v>26121</v>
      </c>
      <c r="AC79">
        <v>17632</v>
      </c>
      <c r="AD79">
        <v>3003</v>
      </c>
      <c r="AE79" t="s">
        <v>11</v>
      </c>
      <c r="AF79">
        <v>5310</v>
      </c>
      <c r="AG79" t="s">
        <v>11</v>
      </c>
      <c r="AH79">
        <f t="shared" si="17"/>
        <v>3003</v>
      </c>
      <c r="AI79" t="str">
        <f t="shared" si="18"/>
        <v>NoData</v>
      </c>
      <c r="AJ79">
        <v>16056</v>
      </c>
      <c r="AK79" t="s">
        <v>11</v>
      </c>
      <c r="AL79">
        <v>38873</v>
      </c>
      <c r="AM79">
        <v>28289</v>
      </c>
      <c r="AN79">
        <v>209</v>
      </c>
      <c r="AO79" t="s">
        <v>11</v>
      </c>
      <c r="AP79" t="s">
        <v>11</v>
      </c>
      <c r="AQ79" t="s">
        <v>11</v>
      </c>
      <c r="AR79" t="s">
        <v>11</v>
      </c>
      <c r="AS79" t="s">
        <v>11</v>
      </c>
      <c r="AT79" t="str">
        <f t="shared" si="21"/>
        <v>NoData</v>
      </c>
      <c r="AU79" t="str">
        <f t="shared" si="22"/>
        <v>NoData</v>
      </c>
      <c r="AV79" t="s">
        <v>11</v>
      </c>
      <c r="AW79" t="s">
        <v>11</v>
      </c>
      <c r="AX79" t="s">
        <v>11</v>
      </c>
      <c r="AY79" t="s">
        <v>11</v>
      </c>
      <c r="AZ79" t="str">
        <f t="shared" si="13"/>
        <v>NoData</v>
      </c>
      <c r="BA79" t="str">
        <f t="shared" si="14"/>
        <v>NoData</v>
      </c>
      <c r="BB79">
        <f t="shared" si="19"/>
        <v>209</v>
      </c>
      <c r="BC79" t="str">
        <f t="shared" si="20"/>
        <v>NoData</v>
      </c>
      <c r="BD79" t="s">
        <v>11</v>
      </c>
      <c r="BE79" t="s">
        <v>11</v>
      </c>
      <c r="BF79" t="s">
        <v>11</v>
      </c>
      <c r="BG79" t="s">
        <v>11</v>
      </c>
      <c r="BH79">
        <v>0</v>
      </c>
      <c r="BI79" t="s">
        <v>11</v>
      </c>
      <c r="BJ79">
        <v>60</v>
      </c>
      <c r="BK79" t="s">
        <v>11</v>
      </c>
      <c r="BL79" t="s">
        <v>11</v>
      </c>
      <c r="BM79" t="s">
        <v>11</v>
      </c>
      <c r="BN79" t="s">
        <v>11</v>
      </c>
      <c r="BO79" t="s">
        <v>11</v>
      </c>
      <c r="BP79" t="str">
        <f t="shared" si="15"/>
        <v>NoData</v>
      </c>
      <c r="BQ79" t="str">
        <f t="shared" si="16"/>
        <v>NoData</v>
      </c>
      <c r="BR79" t="s">
        <v>11</v>
      </c>
      <c r="BS79" t="s">
        <v>11</v>
      </c>
      <c r="BT79" t="s">
        <v>11</v>
      </c>
      <c r="BU79" t="s">
        <v>11</v>
      </c>
    </row>
    <row r="80" spans="1:73" x14ac:dyDescent="0.25">
      <c r="A80" s="5">
        <v>28216</v>
      </c>
      <c r="B80">
        <v>3236</v>
      </c>
      <c r="C80" t="s">
        <v>11</v>
      </c>
      <c r="D80" t="s">
        <v>11</v>
      </c>
      <c r="E80" t="s">
        <v>11</v>
      </c>
      <c r="F80">
        <v>4273</v>
      </c>
      <c r="G80" t="s">
        <v>11</v>
      </c>
      <c r="H80">
        <v>3086</v>
      </c>
      <c r="I80" t="s">
        <v>11</v>
      </c>
      <c r="J80">
        <v>2310</v>
      </c>
      <c r="K80" t="s">
        <v>11</v>
      </c>
      <c r="L80">
        <v>57230</v>
      </c>
      <c r="M80">
        <v>33682</v>
      </c>
      <c r="N80">
        <v>1321</v>
      </c>
      <c r="O80" t="s">
        <v>11</v>
      </c>
      <c r="P80" t="s">
        <v>11</v>
      </c>
      <c r="Q80" t="s">
        <v>11</v>
      </c>
      <c r="R80" t="s">
        <v>11</v>
      </c>
      <c r="S80" t="s">
        <v>11</v>
      </c>
      <c r="T80" s="34">
        <v>96021</v>
      </c>
      <c r="U80" s="34">
        <v>55829</v>
      </c>
      <c r="V80" s="34">
        <v>2832</v>
      </c>
      <c r="W80" t="s">
        <v>11</v>
      </c>
      <c r="X80">
        <v>3692</v>
      </c>
      <c r="Y80" t="s">
        <v>11</v>
      </c>
      <c r="Z80">
        <v>4218</v>
      </c>
      <c r="AA80">
        <v>3691</v>
      </c>
      <c r="AB80">
        <v>27750</v>
      </c>
      <c r="AC80">
        <v>19924</v>
      </c>
      <c r="AD80">
        <v>3160</v>
      </c>
      <c r="AE80" t="s">
        <v>11</v>
      </c>
      <c r="AF80">
        <v>6319</v>
      </c>
      <c r="AG80" t="s">
        <v>11</v>
      </c>
      <c r="AH80">
        <f t="shared" si="17"/>
        <v>3160</v>
      </c>
      <c r="AI80" t="str">
        <f t="shared" si="18"/>
        <v>NoData</v>
      </c>
      <c r="AJ80">
        <v>18242</v>
      </c>
      <c r="AK80" t="s">
        <v>11</v>
      </c>
      <c r="AL80">
        <v>48454</v>
      </c>
      <c r="AM80">
        <v>30910</v>
      </c>
      <c r="AN80">
        <v>96</v>
      </c>
      <c r="AO80" t="s">
        <v>11</v>
      </c>
      <c r="AP80" t="s">
        <v>11</v>
      </c>
      <c r="AQ80" t="s">
        <v>11</v>
      </c>
      <c r="AR80" t="s">
        <v>11</v>
      </c>
      <c r="AS80" t="s">
        <v>11</v>
      </c>
      <c r="AT80" t="str">
        <f t="shared" si="21"/>
        <v>NoData</v>
      </c>
      <c r="AU80" t="str">
        <f t="shared" si="22"/>
        <v>NoData</v>
      </c>
      <c r="AV80" t="s">
        <v>11</v>
      </c>
      <c r="AW80" t="s">
        <v>11</v>
      </c>
      <c r="AX80" t="s">
        <v>11</v>
      </c>
      <c r="AY80" t="s">
        <v>11</v>
      </c>
      <c r="AZ80" t="str">
        <f t="shared" si="13"/>
        <v>NoData</v>
      </c>
      <c r="BA80" t="str">
        <f t="shared" si="14"/>
        <v>NoData</v>
      </c>
      <c r="BB80">
        <f t="shared" si="19"/>
        <v>96</v>
      </c>
      <c r="BC80" t="str">
        <f t="shared" si="20"/>
        <v>NoData</v>
      </c>
      <c r="BD80" t="s">
        <v>11</v>
      </c>
      <c r="BE80" t="s">
        <v>11</v>
      </c>
      <c r="BF80" t="s">
        <v>11</v>
      </c>
      <c r="BG80" t="s">
        <v>11</v>
      </c>
      <c r="BH80">
        <v>10</v>
      </c>
      <c r="BI80" t="s">
        <v>11</v>
      </c>
      <c r="BJ80">
        <v>63</v>
      </c>
      <c r="BK80" t="s">
        <v>11</v>
      </c>
      <c r="BL80" t="s">
        <v>11</v>
      </c>
      <c r="BM80" t="s">
        <v>11</v>
      </c>
      <c r="BN80" t="s">
        <v>11</v>
      </c>
      <c r="BO80" t="s">
        <v>11</v>
      </c>
      <c r="BP80" t="str">
        <f t="shared" si="15"/>
        <v>NoData</v>
      </c>
      <c r="BQ80" t="str">
        <f t="shared" si="16"/>
        <v>NoData</v>
      </c>
      <c r="BR80" t="s">
        <v>11</v>
      </c>
      <c r="BS80" t="s">
        <v>11</v>
      </c>
      <c r="BT80" t="s">
        <v>11</v>
      </c>
      <c r="BU80" t="s">
        <v>11</v>
      </c>
    </row>
    <row r="81" spans="1:73" x14ac:dyDescent="0.25">
      <c r="A81" s="5">
        <v>28246</v>
      </c>
      <c r="B81">
        <v>2456</v>
      </c>
      <c r="C81" t="s">
        <v>11</v>
      </c>
      <c r="D81" t="s">
        <v>11</v>
      </c>
      <c r="E81" t="s">
        <v>11</v>
      </c>
      <c r="F81">
        <v>1374</v>
      </c>
      <c r="G81" t="s">
        <v>11</v>
      </c>
      <c r="H81">
        <v>992</v>
      </c>
      <c r="I81" t="s">
        <v>11</v>
      </c>
      <c r="J81">
        <v>2131</v>
      </c>
      <c r="K81" t="s">
        <v>11</v>
      </c>
      <c r="L81">
        <v>58930</v>
      </c>
      <c r="M81">
        <v>35967</v>
      </c>
      <c r="N81">
        <v>676</v>
      </c>
      <c r="O81" t="s">
        <v>11</v>
      </c>
      <c r="P81" t="s">
        <v>11</v>
      </c>
      <c r="Q81" t="s">
        <v>11</v>
      </c>
      <c r="R81" t="s">
        <v>11</v>
      </c>
      <c r="S81" t="s">
        <v>11</v>
      </c>
      <c r="T81" s="34">
        <v>96120</v>
      </c>
      <c r="U81" s="34">
        <v>50013</v>
      </c>
      <c r="V81" s="34">
        <v>3531</v>
      </c>
      <c r="W81" t="s">
        <v>11</v>
      </c>
      <c r="X81">
        <v>3979</v>
      </c>
      <c r="Y81" t="s">
        <v>11</v>
      </c>
      <c r="Z81">
        <v>5236</v>
      </c>
      <c r="AA81">
        <v>4646</v>
      </c>
      <c r="AB81">
        <v>25142</v>
      </c>
      <c r="AC81">
        <v>18041</v>
      </c>
      <c r="AD81">
        <v>3653</v>
      </c>
      <c r="AE81" t="s">
        <v>11</v>
      </c>
      <c r="AF81">
        <v>5205</v>
      </c>
      <c r="AG81" t="s">
        <v>11</v>
      </c>
      <c r="AH81">
        <f t="shared" si="17"/>
        <v>3653</v>
      </c>
      <c r="AI81" t="str">
        <f t="shared" si="18"/>
        <v>NoData</v>
      </c>
      <c r="AJ81">
        <v>20905</v>
      </c>
      <c r="AK81" t="s">
        <v>11</v>
      </c>
      <c r="AL81">
        <v>43055</v>
      </c>
      <c r="AM81">
        <v>26187</v>
      </c>
      <c r="AN81">
        <v>113</v>
      </c>
      <c r="AO81" t="s">
        <v>11</v>
      </c>
      <c r="AP81" t="s">
        <v>11</v>
      </c>
      <c r="AQ81" t="s">
        <v>11</v>
      </c>
      <c r="AR81" t="s">
        <v>11</v>
      </c>
      <c r="AS81" t="s">
        <v>11</v>
      </c>
      <c r="AT81" t="str">
        <f t="shared" si="21"/>
        <v>NoData</v>
      </c>
      <c r="AU81" t="str">
        <f t="shared" si="22"/>
        <v>NoData</v>
      </c>
      <c r="AV81" t="s">
        <v>11</v>
      </c>
      <c r="AW81" t="s">
        <v>11</v>
      </c>
      <c r="AX81" t="s">
        <v>11</v>
      </c>
      <c r="AY81" t="s">
        <v>11</v>
      </c>
      <c r="AZ81" t="str">
        <f t="shared" si="13"/>
        <v>NoData</v>
      </c>
      <c r="BA81" t="str">
        <f t="shared" si="14"/>
        <v>NoData</v>
      </c>
      <c r="BB81">
        <f t="shared" si="19"/>
        <v>113</v>
      </c>
      <c r="BC81" t="str">
        <f t="shared" si="20"/>
        <v>NoData</v>
      </c>
      <c r="BD81" t="s">
        <v>11</v>
      </c>
      <c r="BE81" t="s">
        <v>11</v>
      </c>
      <c r="BF81" t="s">
        <v>11</v>
      </c>
      <c r="BG81" t="s">
        <v>11</v>
      </c>
      <c r="BH81">
        <v>0</v>
      </c>
      <c r="BI81" t="s">
        <v>11</v>
      </c>
      <c r="BJ81">
        <v>68</v>
      </c>
      <c r="BK81" t="s">
        <v>11</v>
      </c>
      <c r="BL81" t="s">
        <v>11</v>
      </c>
      <c r="BM81" t="s">
        <v>11</v>
      </c>
      <c r="BN81" t="s">
        <v>11</v>
      </c>
      <c r="BO81" t="s">
        <v>11</v>
      </c>
      <c r="BP81" t="str">
        <f t="shared" si="15"/>
        <v>NoData</v>
      </c>
      <c r="BQ81" t="str">
        <f t="shared" si="16"/>
        <v>NoData</v>
      </c>
      <c r="BR81" t="s">
        <v>11</v>
      </c>
      <c r="BS81" t="s">
        <v>11</v>
      </c>
      <c r="BT81" t="s">
        <v>11</v>
      </c>
      <c r="BU81" t="s">
        <v>11</v>
      </c>
    </row>
    <row r="82" spans="1:73" x14ac:dyDescent="0.25">
      <c r="A82" s="5">
        <v>28277</v>
      </c>
      <c r="B82">
        <v>3287</v>
      </c>
      <c r="C82" t="s">
        <v>11</v>
      </c>
      <c r="D82" t="s">
        <v>11</v>
      </c>
      <c r="E82" t="s">
        <v>11</v>
      </c>
      <c r="F82">
        <v>2357</v>
      </c>
      <c r="G82" t="s">
        <v>11</v>
      </c>
      <c r="H82">
        <v>1702</v>
      </c>
      <c r="I82" t="s">
        <v>11</v>
      </c>
      <c r="J82">
        <v>2694</v>
      </c>
      <c r="K82" t="s">
        <v>11</v>
      </c>
      <c r="L82">
        <v>76702</v>
      </c>
      <c r="M82">
        <v>54693</v>
      </c>
      <c r="N82">
        <v>2015</v>
      </c>
      <c r="O82" t="s">
        <v>11</v>
      </c>
      <c r="P82" t="s">
        <v>11</v>
      </c>
      <c r="Q82" t="s">
        <v>11</v>
      </c>
      <c r="R82" t="s">
        <v>11</v>
      </c>
      <c r="S82" t="s">
        <v>11</v>
      </c>
      <c r="T82" s="34">
        <v>110838</v>
      </c>
      <c r="U82" s="34">
        <v>67014</v>
      </c>
      <c r="V82" s="34">
        <v>4777</v>
      </c>
      <c r="W82" t="s">
        <v>11</v>
      </c>
      <c r="X82">
        <v>6645</v>
      </c>
      <c r="Y82" t="s">
        <v>11</v>
      </c>
      <c r="Z82">
        <v>5821</v>
      </c>
      <c r="AA82">
        <v>5160</v>
      </c>
      <c r="AB82">
        <v>36011</v>
      </c>
      <c r="AC82">
        <v>29316</v>
      </c>
      <c r="AD82">
        <v>4788</v>
      </c>
      <c r="AE82" t="s">
        <v>11</v>
      </c>
      <c r="AF82">
        <v>6176</v>
      </c>
      <c r="AG82" t="s">
        <v>11</v>
      </c>
      <c r="AH82">
        <f t="shared" si="17"/>
        <v>4788</v>
      </c>
      <c r="AI82" t="str">
        <f t="shared" si="18"/>
        <v>NoData</v>
      </c>
      <c r="AJ82">
        <v>27698</v>
      </c>
      <c r="AK82" t="s">
        <v>11</v>
      </c>
      <c r="AL82">
        <v>52563</v>
      </c>
      <c r="AM82">
        <v>34959</v>
      </c>
      <c r="AN82">
        <v>84</v>
      </c>
      <c r="AO82" t="s">
        <v>11</v>
      </c>
      <c r="AP82" t="s">
        <v>11</v>
      </c>
      <c r="AQ82" t="s">
        <v>11</v>
      </c>
      <c r="AR82" t="s">
        <v>11</v>
      </c>
      <c r="AS82" t="s">
        <v>11</v>
      </c>
      <c r="AT82" t="str">
        <f t="shared" si="21"/>
        <v>NoData</v>
      </c>
      <c r="AU82" t="str">
        <f t="shared" si="22"/>
        <v>NoData</v>
      </c>
      <c r="AV82" t="s">
        <v>11</v>
      </c>
      <c r="AW82" t="s">
        <v>11</v>
      </c>
      <c r="AX82" t="s">
        <v>11</v>
      </c>
      <c r="AY82" t="s">
        <v>11</v>
      </c>
      <c r="AZ82" t="str">
        <f t="shared" si="13"/>
        <v>NoData</v>
      </c>
      <c r="BA82" t="str">
        <f t="shared" si="14"/>
        <v>NoData</v>
      </c>
      <c r="BB82">
        <f t="shared" si="19"/>
        <v>84</v>
      </c>
      <c r="BC82" t="str">
        <f t="shared" si="20"/>
        <v>NoData</v>
      </c>
      <c r="BD82" t="s">
        <v>11</v>
      </c>
      <c r="BE82" t="s">
        <v>11</v>
      </c>
      <c r="BF82" t="s">
        <v>11</v>
      </c>
      <c r="BG82" t="s">
        <v>11</v>
      </c>
      <c r="BH82">
        <v>0</v>
      </c>
      <c r="BI82" t="s">
        <v>11</v>
      </c>
      <c r="BJ82">
        <v>156</v>
      </c>
      <c r="BK82" t="s">
        <v>11</v>
      </c>
      <c r="BL82" t="s">
        <v>11</v>
      </c>
      <c r="BM82" t="s">
        <v>11</v>
      </c>
      <c r="BN82" t="s">
        <v>11</v>
      </c>
      <c r="BO82" t="s">
        <v>11</v>
      </c>
      <c r="BP82" t="str">
        <f t="shared" si="15"/>
        <v>NoData</v>
      </c>
      <c r="BQ82" t="str">
        <f t="shared" si="16"/>
        <v>NoData</v>
      </c>
      <c r="BR82" t="s">
        <v>11</v>
      </c>
      <c r="BS82" t="s">
        <v>11</v>
      </c>
      <c r="BT82" t="s">
        <v>11</v>
      </c>
      <c r="BU82" t="s">
        <v>11</v>
      </c>
    </row>
    <row r="83" spans="1:73" x14ac:dyDescent="0.25">
      <c r="A83" s="5">
        <v>28307</v>
      </c>
      <c r="B83">
        <v>5115</v>
      </c>
      <c r="C83" t="s">
        <v>11</v>
      </c>
      <c r="D83" t="s">
        <v>11</v>
      </c>
      <c r="E83" t="s">
        <v>11</v>
      </c>
      <c r="F83">
        <v>1126</v>
      </c>
      <c r="G83" t="s">
        <v>11</v>
      </c>
      <c r="H83">
        <v>813</v>
      </c>
      <c r="I83" t="s">
        <v>11</v>
      </c>
      <c r="J83">
        <v>2665</v>
      </c>
      <c r="K83" t="s">
        <v>11</v>
      </c>
      <c r="L83">
        <v>83704</v>
      </c>
      <c r="M83">
        <v>59227</v>
      </c>
      <c r="N83">
        <v>2076</v>
      </c>
      <c r="O83" t="s">
        <v>11</v>
      </c>
      <c r="P83" t="s">
        <v>11</v>
      </c>
      <c r="Q83" t="s">
        <v>11</v>
      </c>
      <c r="R83" t="s">
        <v>11</v>
      </c>
      <c r="S83" t="s">
        <v>11</v>
      </c>
      <c r="T83" s="34">
        <v>127162</v>
      </c>
      <c r="U83" s="34">
        <v>81781</v>
      </c>
      <c r="V83" s="34">
        <v>6043</v>
      </c>
      <c r="W83" t="s">
        <v>11</v>
      </c>
      <c r="X83">
        <v>6911</v>
      </c>
      <c r="Y83" t="s">
        <v>11</v>
      </c>
      <c r="Z83">
        <v>6082</v>
      </c>
      <c r="AA83">
        <v>5264</v>
      </c>
      <c r="AB83">
        <v>41022</v>
      </c>
      <c r="AC83">
        <v>33880</v>
      </c>
      <c r="AD83">
        <v>4855</v>
      </c>
      <c r="AE83" t="s">
        <v>11</v>
      </c>
      <c r="AF83">
        <v>7957</v>
      </c>
      <c r="AG83" t="s">
        <v>11</v>
      </c>
      <c r="AH83">
        <f t="shared" si="17"/>
        <v>4855</v>
      </c>
      <c r="AI83" t="str">
        <f t="shared" si="18"/>
        <v>NoData</v>
      </c>
      <c r="AJ83">
        <v>29855</v>
      </c>
      <c r="AK83" t="s">
        <v>11</v>
      </c>
      <c r="AL83">
        <v>59681</v>
      </c>
      <c r="AM83">
        <v>41605</v>
      </c>
      <c r="AN83">
        <v>181</v>
      </c>
      <c r="AO83" t="s">
        <v>11</v>
      </c>
      <c r="AP83" t="s">
        <v>11</v>
      </c>
      <c r="AQ83" t="s">
        <v>11</v>
      </c>
      <c r="AR83" t="s">
        <v>11</v>
      </c>
      <c r="AS83" t="s">
        <v>11</v>
      </c>
      <c r="AT83" t="str">
        <f t="shared" si="21"/>
        <v>NoData</v>
      </c>
      <c r="AU83" t="str">
        <f t="shared" si="22"/>
        <v>NoData</v>
      </c>
      <c r="AV83" t="s">
        <v>11</v>
      </c>
      <c r="AW83" t="s">
        <v>11</v>
      </c>
      <c r="AX83" t="s">
        <v>11</v>
      </c>
      <c r="AY83" t="s">
        <v>11</v>
      </c>
      <c r="AZ83" t="str">
        <f t="shared" si="13"/>
        <v>NoData</v>
      </c>
      <c r="BA83" t="str">
        <f t="shared" si="14"/>
        <v>NoData</v>
      </c>
      <c r="BB83">
        <f t="shared" si="19"/>
        <v>181</v>
      </c>
      <c r="BC83" t="str">
        <f t="shared" si="20"/>
        <v>NoData</v>
      </c>
      <c r="BD83" t="s">
        <v>11</v>
      </c>
      <c r="BE83" t="s">
        <v>11</v>
      </c>
      <c r="BF83" t="s">
        <v>11</v>
      </c>
      <c r="BG83" t="s">
        <v>11</v>
      </c>
      <c r="BH83">
        <v>4</v>
      </c>
      <c r="BI83" t="s">
        <v>11</v>
      </c>
      <c r="BJ83">
        <v>138</v>
      </c>
      <c r="BK83" t="s">
        <v>11</v>
      </c>
      <c r="BL83" t="s">
        <v>11</v>
      </c>
      <c r="BM83" t="s">
        <v>11</v>
      </c>
      <c r="BN83" t="s">
        <v>11</v>
      </c>
      <c r="BO83" t="s">
        <v>11</v>
      </c>
      <c r="BP83" t="str">
        <f t="shared" si="15"/>
        <v>NoData</v>
      </c>
      <c r="BQ83" t="str">
        <f t="shared" si="16"/>
        <v>NoData</v>
      </c>
      <c r="BR83" t="s">
        <v>11</v>
      </c>
      <c r="BS83" t="s">
        <v>11</v>
      </c>
      <c r="BT83" t="s">
        <v>11</v>
      </c>
      <c r="BU83" t="s">
        <v>11</v>
      </c>
    </row>
    <row r="84" spans="1:73" x14ac:dyDescent="0.25">
      <c r="A84" s="5">
        <v>28338</v>
      </c>
      <c r="B84">
        <v>4438</v>
      </c>
      <c r="C84" t="s">
        <v>11</v>
      </c>
      <c r="D84" t="s">
        <v>11</v>
      </c>
      <c r="E84" t="s">
        <v>11</v>
      </c>
      <c r="F84">
        <v>1957</v>
      </c>
      <c r="G84" t="s">
        <v>11</v>
      </c>
      <c r="H84">
        <v>1413</v>
      </c>
      <c r="I84" t="s">
        <v>11</v>
      </c>
      <c r="J84">
        <v>3284</v>
      </c>
      <c r="K84" t="s">
        <v>11</v>
      </c>
      <c r="L84">
        <v>74465</v>
      </c>
      <c r="M84">
        <v>59227</v>
      </c>
      <c r="N84">
        <v>1730</v>
      </c>
      <c r="O84" t="s">
        <v>11</v>
      </c>
      <c r="P84" t="s">
        <v>11</v>
      </c>
      <c r="Q84" t="s">
        <v>11</v>
      </c>
      <c r="R84" t="s">
        <v>11</v>
      </c>
      <c r="S84" t="s">
        <v>11</v>
      </c>
      <c r="T84" s="34">
        <v>97725</v>
      </c>
      <c r="U84" s="34">
        <v>46550</v>
      </c>
      <c r="V84" s="34">
        <v>3908</v>
      </c>
      <c r="W84" t="s">
        <v>11</v>
      </c>
      <c r="X84">
        <v>4978</v>
      </c>
      <c r="Y84" t="s">
        <v>11</v>
      </c>
      <c r="Z84">
        <v>4965</v>
      </c>
      <c r="AA84">
        <v>4278</v>
      </c>
      <c r="AB84">
        <v>21707</v>
      </c>
      <c r="AC84">
        <v>13795</v>
      </c>
      <c r="AD84">
        <v>3503</v>
      </c>
      <c r="AE84" t="s">
        <v>11</v>
      </c>
      <c r="AF84">
        <v>6449</v>
      </c>
      <c r="AG84" t="s">
        <v>11</v>
      </c>
      <c r="AH84">
        <f t="shared" si="17"/>
        <v>3503</v>
      </c>
      <c r="AI84" t="str">
        <f t="shared" si="18"/>
        <v>NoData</v>
      </c>
      <c r="AJ84">
        <v>21458</v>
      </c>
      <c r="AK84" t="s">
        <v>11</v>
      </c>
      <c r="AL84">
        <v>46484</v>
      </c>
      <c r="AM84">
        <v>28666</v>
      </c>
      <c r="AN84">
        <v>93</v>
      </c>
      <c r="AO84" t="s">
        <v>11</v>
      </c>
      <c r="AP84" t="s">
        <v>11</v>
      </c>
      <c r="AQ84" t="s">
        <v>11</v>
      </c>
      <c r="AR84" t="s">
        <v>11</v>
      </c>
      <c r="AS84" t="s">
        <v>11</v>
      </c>
      <c r="AT84" t="str">
        <f t="shared" si="21"/>
        <v>NoData</v>
      </c>
      <c r="AU84" t="str">
        <f t="shared" si="22"/>
        <v>NoData</v>
      </c>
      <c r="AV84" t="s">
        <v>11</v>
      </c>
      <c r="AW84" t="s">
        <v>11</v>
      </c>
      <c r="AX84" t="s">
        <v>11</v>
      </c>
      <c r="AY84" t="s">
        <v>11</v>
      </c>
      <c r="AZ84" t="str">
        <f t="shared" si="13"/>
        <v>NoData</v>
      </c>
      <c r="BA84" t="str">
        <f t="shared" si="14"/>
        <v>NoData</v>
      </c>
      <c r="BB84">
        <f t="shared" si="19"/>
        <v>93</v>
      </c>
      <c r="BC84" t="str">
        <f t="shared" si="20"/>
        <v>NoData</v>
      </c>
      <c r="BD84" t="s">
        <v>11</v>
      </c>
      <c r="BE84" t="s">
        <v>11</v>
      </c>
      <c r="BF84" t="s">
        <v>11</v>
      </c>
      <c r="BG84" t="s">
        <v>11</v>
      </c>
      <c r="BH84">
        <v>15</v>
      </c>
      <c r="BI84" t="s">
        <v>11</v>
      </c>
      <c r="BJ84">
        <v>125</v>
      </c>
      <c r="BK84" t="s">
        <v>11</v>
      </c>
      <c r="BL84" t="s">
        <v>11</v>
      </c>
      <c r="BM84" t="s">
        <v>11</v>
      </c>
      <c r="BN84" t="s">
        <v>11</v>
      </c>
      <c r="BO84" t="s">
        <v>11</v>
      </c>
      <c r="BP84" t="str">
        <f t="shared" si="15"/>
        <v>NoData</v>
      </c>
      <c r="BQ84" t="str">
        <f t="shared" si="16"/>
        <v>NoData</v>
      </c>
      <c r="BR84" t="s">
        <v>11</v>
      </c>
      <c r="BS84" t="s">
        <v>11</v>
      </c>
      <c r="BT84" t="s">
        <v>11</v>
      </c>
      <c r="BU84" t="s">
        <v>11</v>
      </c>
    </row>
    <row r="85" spans="1:73" x14ac:dyDescent="0.25">
      <c r="A85" s="5">
        <v>28369</v>
      </c>
      <c r="B85">
        <v>2436</v>
      </c>
      <c r="C85" t="s">
        <v>11</v>
      </c>
      <c r="D85" t="s">
        <v>11</v>
      </c>
      <c r="E85" t="s">
        <v>11</v>
      </c>
      <c r="F85">
        <v>1983</v>
      </c>
      <c r="G85" t="s">
        <v>11</v>
      </c>
      <c r="H85">
        <v>1432</v>
      </c>
      <c r="I85" t="s">
        <v>11</v>
      </c>
      <c r="J85">
        <v>1431</v>
      </c>
      <c r="K85" t="s">
        <v>11</v>
      </c>
      <c r="L85">
        <v>53781</v>
      </c>
      <c r="M85">
        <v>47392</v>
      </c>
      <c r="N85">
        <v>1410</v>
      </c>
      <c r="O85" t="s">
        <v>11</v>
      </c>
      <c r="P85" t="s">
        <v>11</v>
      </c>
      <c r="Q85" t="s">
        <v>11</v>
      </c>
      <c r="R85" t="s">
        <v>11</v>
      </c>
      <c r="S85" t="s">
        <v>11</v>
      </c>
      <c r="T85" s="34">
        <v>70486</v>
      </c>
      <c r="U85" s="34">
        <v>25481</v>
      </c>
      <c r="V85" s="34">
        <v>2259</v>
      </c>
      <c r="W85" t="s">
        <v>11</v>
      </c>
      <c r="X85">
        <v>3535</v>
      </c>
      <c r="Y85" t="s">
        <v>11</v>
      </c>
      <c r="Z85">
        <v>3802</v>
      </c>
      <c r="AA85">
        <v>3037</v>
      </c>
      <c r="AB85">
        <v>19883</v>
      </c>
      <c r="AC85">
        <v>12713</v>
      </c>
      <c r="AD85">
        <v>3744</v>
      </c>
      <c r="AE85" t="s">
        <v>11</v>
      </c>
      <c r="AF85">
        <v>5534</v>
      </c>
      <c r="AG85" t="s">
        <v>11</v>
      </c>
      <c r="AH85">
        <f t="shared" si="17"/>
        <v>3744</v>
      </c>
      <c r="AI85" t="str">
        <f t="shared" si="18"/>
        <v>NoData</v>
      </c>
      <c r="AJ85">
        <v>23271</v>
      </c>
      <c r="AK85" t="s">
        <v>11</v>
      </c>
      <c r="AL85">
        <v>39446</v>
      </c>
      <c r="AM85">
        <v>22069</v>
      </c>
      <c r="AN85">
        <v>151</v>
      </c>
      <c r="AO85" t="s">
        <v>11</v>
      </c>
      <c r="AP85" t="s">
        <v>11</v>
      </c>
      <c r="AQ85" t="s">
        <v>11</v>
      </c>
      <c r="AR85" t="s">
        <v>11</v>
      </c>
      <c r="AS85" t="s">
        <v>11</v>
      </c>
      <c r="AT85" t="str">
        <f t="shared" si="21"/>
        <v>NoData</v>
      </c>
      <c r="AU85" t="str">
        <f t="shared" si="22"/>
        <v>NoData</v>
      </c>
      <c r="AV85" t="s">
        <v>11</v>
      </c>
      <c r="AW85" t="s">
        <v>11</v>
      </c>
      <c r="AX85" t="s">
        <v>11</v>
      </c>
      <c r="AY85" t="s">
        <v>11</v>
      </c>
      <c r="AZ85" t="str">
        <f t="shared" si="13"/>
        <v>NoData</v>
      </c>
      <c r="BA85" t="str">
        <f t="shared" si="14"/>
        <v>NoData</v>
      </c>
      <c r="BB85">
        <f t="shared" si="19"/>
        <v>151</v>
      </c>
      <c r="BC85" t="str">
        <f t="shared" si="20"/>
        <v>NoData</v>
      </c>
      <c r="BD85" t="s">
        <v>11</v>
      </c>
      <c r="BE85" t="s">
        <v>11</v>
      </c>
      <c r="BF85" t="s">
        <v>11</v>
      </c>
      <c r="BG85" t="s">
        <v>11</v>
      </c>
      <c r="BH85">
        <v>4</v>
      </c>
      <c r="BI85" t="s">
        <v>11</v>
      </c>
      <c r="BJ85">
        <v>69</v>
      </c>
      <c r="BK85" t="s">
        <v>11</v>
      </c>
      <c r="BL85" t="s">
        <v>11</v>
      </c>
      <c r="BM85" t="s">
        <v>11</v>
      </c>
      <c r="BN85" t="s">
        <v>11</v>
      </c>
      <c r="BO85" t="s">
        <v>11</v>
      </c>
      <c r="BP85" t="str">
        <f t="shared" si="15"/>
        <v>NoData</v>
      </c>
      <c r="BQ85" t="str">
        <f t="shared" si="16"/>
        <v>NoData</v>
      </c>
      <c r="BR85" t="s">
        <v>11</v>
      </c>
      <c r="BS85" t="s">
        <v>11</v>
      </c>
      <c r="BT85" t="s">
        <v>11</v>
      </c>
      <c r="BU85" t="s">
        <v>11</v>
      </c>
    </row>
    <row r="86" spans="1:73" x14ac:dyDescent="0.25">
      <c r="A86" s="5">
        <v>28399</v>
      </c>
      <c r="B86">
        <v>722</v>
      </c>
      <c r="C86" t="s">
        <v>11</v>
      </c>
      <c r="D86" t="s">
        <v>11</v>
      </c>
      <c r="E86" t="s">
        <v>11</v>
      </c>
      <c r="F86">
        <v>1211</v>
      </c>
      <c r="G86" t="s">
        <v>11</v>
      </c>
      <c r="H86">
        <v>847</v>
      </c>
      <c r="I86" t="s">
        <v>11</v>
      </c>
      <c r="J86">
        <v>2369</v>
      </c>
      <c r="K86" t="s">
        <v>11</v>
      </c>
      <c r="L86">
        <v>32280</v>
      </c>
      <c r="M86">
        <v>27713</v>
      </c>
      <c r="N86">
        <v>475</v>
      </c>
      <c r="O86" t="s">
        <v>11</v>
      </c>
      <c r="P86" t="s">
        <v>11</v>
      </c>
      <c r="Q86" t="s">
        <v>11</v>
      </c>
      <c r="R86" t="s">
        <v>11</v>
      </c>
      <c r="S86" t="s">
        <v>11</v>
      </c>
      <c r="T86" s="34">
        <v>51123</v>
      </c>
      <c r="U86" s="34">
        <v>12946</v>
      </c>
      <c r="V86" s="34">
        <v>1265</v>
      </c>
      <c r="W86" t="s">
        <v>11</v>
      </c>
      <c r="X86">
        <v>2311</v>
      </c>
      <c r="Y86" t="s">
        <v>11</v>
      </c>
      <c r="Z86">
        <v>2751</v>
      </c>
      <c r="AA86">
        <v>2084</v>
      </c>
      <c r="AB86">
        <v>17667</v>
      </c>
      <c r="AC86">
        <v>10836</v>
      </c>
      <c r="AD86">
        <v>2891</v>
      </c>
      <c r="AE86" t="s">
        <v>11</v>
      </c>
      <c r="AF86">
        <v>3620</v>
      </c>
      <c r="AG86" t="s">
        <v>11</v>
      </c>
      <c r="AH86">
        <f t="shared" si="17"/>
        <v>2891</v>
      </c>
      <c r="AI86" t="str">
        <f t="shared" si="18"/>
        <v>NoData</v>
      </c>
      <c r="AJ86">
        <v>15796</v>
      </c>
      <c r="AK86" t="s">
        <v>11</v>
      </c>
      <c r="AL86">
        <v>26001</v>
      </c>
      <c r="AM86">
        <v>7699</v>
      </c>
      <c r="AN86">
        <v>29</v>
      </c>
      <c r="AO86" t="s">
        <v>11</v>
      </c>
      <c r="AP86" t="s">
        <v>11</v>
      </c>
      <c r="AQ86" t="s">
        <v>11</v>
      </c>
      <c r="AR86" t="s">
        <v>11</v>
      </c>
      <c r="AS86" t="s">
        <v>11</v>
      </c>
      <c r="AT86" t="str">
        <f t="shared" si="21"/>
        <v>NoData</v>
      </c>
      <c r="AU86" t="str">
        <f t="shared" si="22"/>
        <v>NoData</v>
      </c>
      <c r="AV86" t="s">
        <v>11</v>
      </c>
      <c r="AW86" t="s">
        <v>11</v>
      </c>
      <c r="AX86" t="s">
        <v>11</v>
      </c>
      <c r="AY86" t="s">
        <v>11</v>
      </c>
      <c r="AZ86" t="str">
        <f t="shared" si="13"/>
        <v>NoData</v>
      </c>
      <c r="BA86" t="str">
        <f t="shared" si="14"/>
        <v>NoData</v>
      </c>
      <c r="BB86">
        <f t="shared" si="19"/>
        <v>29</v>
      </c>
      <c r="BC86" t="str">
        <f t="shared" si="20"/>
        <v>NoData</v>
      </c>
      <c r="BD86" t="s">
        <v>11</v>
      </c>
      <c r="BE86" t="s">
        <v>11</v>
      </c>
      <c r="BF86" t="s">
        <v>11</v>
      </c>
      <c r="BG86" t="s">
        <v>11</v>
      </c>
      <c r="BH86">
        <v>4</v>
      </c>
      <c r="BI86" t="s">
        <v>11</v>
      </c>
      <c r="BJ86">
        <v>79</v>
      </c>
      <c r="BK86" t="s">
        <v>11</v>
      </c>
      <c r="BL86" t="s">
        <v>11</v>
      </c>
      <c r="BM86" t="s">
        <v>11</v>
      </c>
      <c r="BN86" t="s">
        <v>11</v>
      </c>
      <c r="BO86" t="s">
        <v>11</v>
      </c>
      <c r="BP86" t="str">
        <f t="shared" si="15"/>
        <v>NoData</v>
      </c>
      <c r="BQ86" t="str">
        <f t="shared" si="16"/>
        <v>NoData</v>
      </c>
      <c r="BR86" t="s">
        <v>11</v>
      </c>
      <c r="BS86" t="s">
        <v>11</v>
      </c>
      <c r="BT86" t="s">
        <v>11</v>
      </c>
      <c r="BU86" t="s">
        <v>11</v>
      </c>
    </row>
    <row r="87" spans="1:73" x14ac:dyDescent="0.25">
      <c r="A87" s="5">
        <v>28430</v>
      </c>
      <c r="B87">
        <v>739</v>
      </c>
      <c r="C87" t="s">
        <v>11</v>
      </c>
      <c r="D87" t="s">
        <v>11</v>
      </c>
      <c r="E87" t="s">
        <v>11</v>
      </c>
      <c r="F87">
        <v>1877</v>
      </c>
      <c r="G87" t="s">
        <v>11</v>
      </c>
      <c r="H87">
        <v>1356</v>
      </c>
      <c r="I87" t="s">
        <v>11</v>
      </c>
      <c r="J87">
        <v>1809</v>
      </c>
      <c r="K87" t="s">
        <v>11</v>
      </c>
      <c r="L87">
        <v>25064</v>
      </c>
      <c r="M87">
        <v>11709</v>
      </c>
      <c r="N87">
        <v>571</v>
      </c>
      <c r="O87" t="s">
        <v>11</v>
      </c>
      <c r="P87" t="s">
        <v>11</v>
      </c>
      <c r="Q87" t="s">
        <v>11</v>
      </c>
      <c r="R87" t="s">
        <v>11</v>
      </c>
      <c r="S87" t="s">
        <v>11</v>
      </c>
      <c r="T87" s="34">
        <v>50444</v>
      </c>
      <c r="U87" s="34">
        <v>14830</v>
      </c>
      <c r="V87" s="34">
        <v>1260</v>
      </c>
      <c r="W87" t="s">
        <v>11</v>
      </c>
      <c r="X87">
        <v>2056</v>
      </c>
      <c r="Y87" t="s">
        <v>11</v>
      </c>
      <c r="Z87">
        <v>2875</v>
      </c>
      <c r="AA87">
        <v>2275</v>
      </c>
      <c r="AB87">
        <v>11526</v>
      </c>
      <c r="AC87">
        <v>5259</v>
      </c>
      <c r="AD87">
        <v>2547</v>
      </c>
      <c r="AE87" t="s">
        <v>11</v>
      </c>
      <c r="AF87">
        <v>3647</v>
      </c>
      <c r="AG87" t="s">
        <v>11</v>
      </c>
      <c r="AH87">
        <f t="shared" si="17"/>
        <v>2547</v>
      </c>
      <c r="AI87" t="str">
        <f t="shared" si="18"/>
        <v>NoData</v>
      </c>
      <c r="AJ87">
        <v>12145</v>
      </c>
      <c r="AK87" t="s">
        <v>11</v>
      </c>
      <c r="AL87">
        <v>24056</v>
      </c>
      <c r="AM87">
        <v>7343</v>
      </c>
      <c r="AN87">
        <v>0</v>
      </c>
      <c r="AO87" t="s">
        <v>11</v>
      </c>
      <c r="AP87" t="s">
        <v>11</v>
      </c>
      <c r="AQ87" t="s">
        <v>11</v>
      </c>
      <c r="AR87" t="s">
        <v>11</v>
      </c>
      <c r="AS87" t="s">
        <v>11</v>
      </c>
      <c r="AT87" t="str">
        <f t="shared" si="21"/>
        <v>NoData</v>
      </c>
      <c r="AU87" t="str">
        <f t="shared" si="22"/>
        <v>NoData</v>
      </c>
      <c r="AV87" t="s">
        <v>11</v>
      </c>
      <c r="AW87" t="s">
        <v>11</v>
      </c>
      <c r="AX87" t="s">
        <v>11</v>
      </c>
      <c r="AY87" t="s">
        <v>11</v>
      </c>
      <c r="AZ87" t="str">
        <f t="shared" si="13"/>
        <v>NoData</v>
      </c>
      <c r="BA87" t="str">
        <f t="shared" si="14"/>
        <v>NoData</v>
      </c>
      <c r="BB87">
        <f t="shared" si="19"/>
        <v>0</v>
      </c>
      <c r="BC87" t="str">
        <f t="shared" si="20"/>
        <v>NoData</v>
      </c>
      <c r="BD87" t="s">
        <v>11</v>
      </c>
      <c r="BE87" t="s">
        <v>11</v>
      </c>
      <c r="BF87" t="s">
        <v>11</v>
      </c>
      <c r="BG87" t="s">
        <v>11</v>
      </c>
      <c r="BH87">
        <v>0</v>
      </c>
      <c r="BI87" t="s">
        <v>11</v>
      </c>
      <c r="BJ87">
        <v>68</v>
      </c>
      <c r="BK87" t="s">
        <v>11</v>
      </c>
      <c r="BL87" t="s">
        <v>11</v>
      </c>
      <c r="BM87" t="s">
        <v>11</v>
      </c>
      <c r="BN87" t="s">
        <v>11</v>
      </c>
      <c r="BO87" t="s">
        <v>11</v>
      </c>
      <c r="BP87" t="str">
        <f t="shared" si="15"/>
        <v>NoData</v>
      </c>
      <c r="BQ87" t="str">
        <f t="shared" si="16"/>
        <v>NoData</v>
      </c>
      <c r="BR87" t="s">
        <v>11</v>
      </c>
      <c r="BS87" t="s">
        <v>11</v>
      </c>
      <c r="BT87" t="s">
        <v>11</v>
      </c>
      <c r="BU87" t="s">
        <v>11</v>
      </c>
    </row>
    <row r="88" spans="1:73" x14ac:dyDescent="0.25">
      <c r="A88" s="5">
        <v>28460</v>
      </c>
      <c r="B88">
        <v>426</v>
      </c>
      <c r="C88" t="s">
        <v>11</v>
      </c>
      <c r="D88" t="s">
        <v>11</v>
      </c>
      <c r="E88" t="s">
        <v>11</v>
      </c>
      <c r="F88">
        <v>1291</v>
      </c>
      <c r="G88" t="s">
        <v>11</v>
      </c>
      <c r="H88">
        <v>932</v>
      </c>
      <c r="I88" t="s">
        <v>11</v>
      </c>
      <c r="J88">
        <v>1178</v>
      </c>
      <c r="K88" t="s">
        <v>11</v>
      </c>
      <c r="L88">
        <v>20800</v>
      </c>
      <c r="M88">
        <v>5972</v>
      </c>
      <c r="N88">
        <v>410</v>
      </c>
      <c r="O88" t="s">
        <v>11</v>
      </c>
      <c r="P88" t="s">
        <v>11</v>
      </c>
      <c r="Q88" t="s">
        <v>11</v>
      </c>
      <c r="R88" t="s">
        <v>11</v>
      </c>
      <c r="S88" t="s">
        <v>11</v>
      </c>
      <c r="T88" s="34">
        <v>45270</v>
      </c>
      <c r="U88" s="34">
        <v>7550</v>
      </c>
      <c r="V88" s="34">
        <v>951</v>
      </c>
      <c r="W88" t="s">
        <v>11</v>
      </c>
      <c r="X88">
        <v>1795</v>
      </c>
      <c r="Y88" t="s">
        <v>11</v>
      </c>
      <c r="Z88">
        <v>2599</v>
      </c>
      <c r="AA88">
        <v>2271</v>
      </c>
      <c r="AB88">
        <v>9928</v>
      </c>
      <c r="AC88">
        <v>4086</v>
      </c>
      <c r="AD88">
        <v>1662</v>
      </c>
      <c r="AE88" t="s">
        <v>11</v>
      </c>
      <c r="AF88">
        <v>2186</v>
      </c>
      <c r="AG88" t="s">
        <v>11</v>
      </c>
      <c r="AH88">
        <f t="shared" si="17"/>
        <v>1662</v>
      </c>
      <c r="AI88" t="str">
        <f t="shared" si="18"/>
        <v>NoData</v>
      </c>
      <c r="AJ88">
        <v>9020</v>
      </c>
      <c r="AK88" t="s">
        <v>11</v>
      </c>
      <c r="AL88">
        <v>17211</v>
      </c>
      <c r="AM88">
        <v>-896</v>
      </c>
      <c r="AN88">
        <v>40</v>
      </c>
      <c r="AO88" t="s">
        <v>11</v>
      </c>
      <c r="AP88" t="s">
        <v>11</v>
      </c>
      <c r="AQ88" t="s">
        <v>11</v>
      </c>
      <c r="AR88" t="s">
        <v>11</v>
      </c>
      <c r="AS88" t="s">
        <v>11</v>
      </c>
      <c r="AT88" t="str">
        <f t="shared" si="21"/>
        <v>NoData</v>
      </c>
      <c r="AU88" t="str">
        <f t="shared" si="22"/>
        <v>NoData</v>
      </c>
      <c r="AV88" t="s">
        <v>11</v>
      </c>
      <c r="AW88" t="s">
        <v>11</v>
      </c>
      <c r="AX88" t="s">
        <v>11</v>
      </c>
      <c r="AY88" t="s">
        <v>11</v>
      </c>
      <c r="AZ88" t="str">
        <f t="shared" si="13"/>
        <v>NoData</v>
      </c>
      <c r="BA88" t="str">
        <f t="shared" si="14"/>
        <v>NoData</v>
      </c>
      <c r="BB88">
        <f t="shared" si="19"/>
        <v>40</v>
      </c>
      <c r="BC88" t="str">
        <f t="shared" si="20"/>
        <v>NoData</v>
      </c>
      <c r="BD88" t="s">
        <v>11</v>
      </c>
      <c r="BE88" t="s">
        <v>11</v>
      </c>
      <c r="BF88" t="s">
        <v>11</v>
      </c>
      <c r="BG88" t="s">
        <v>11</v>
      </c>
      <c r="BH88">
        <v>0</v>
      </c>
      <c r="BI88" t="s">
        <v>11</v>
      </c>
      <c r="BJ88">
        <v>89</v>
      </c>
      <c r="BK88" t="s">
        <v>11</v>
      </c>
      <c r="BL88" t="s">
        <v>11</v>
      </c>
      <c r="BM88" t="s">
        <v>11</v>
      </c>
      <c r="BN88" t="s">
        <v>11</v>
      </c>
      <c r="BO88" t="s">
        <v>11</v>
      </c>
      <c r="BP88" t="str">
        <f t="shared" si="15"/>
        <v>NoData</v>
      </c>
      <c r="BQ88" t="str">
        <f t="shared" si="16"/>
        <v>NoData</v>
      </c>
      <c r="BR88" t="s">
        <v>11</v>
      </c>
      <c r="BS88" t="s">
        <v>11</v>
      </c>
      <c r="BT88" t="s">
        <v>11</v>
      </c>
      <c r="BU88" t="s">
        <v>11</v>
      </c>
    </row>
    <row r="89" spans="1:73" x14ac:dyDescent="0.25">
      <c r="A89" s="5">
        <v>28491</v>
      </c>
      <c r="B89">
        <v>188</v>
      </c>
      <c r="C89" t="s">
        <v>11</v>
      </c>
      <c r="D89" t="s">
        <v>11</v>
      </c>
      <c r="E89" t="s">
        <v>11</v>
      </c>
      <c r="F89">
        <v>338</v>
      </c>
      <c r="G89" t="s">
        <v>11</v>
      </c>
      <c r="H89">
        <v>211</v>
      </c>
      <c r="I89" t="s">
        <v>11</v>
      </c>
      <c r="J89">
        <v>1113</v>
      </c>
      <c r="K89" t="s">
        <v>11</v>
      </c>
      <c r="L89">
        <v>6535</v>
      </c>
      <c r="M89">
        <v>-7231</v>
      </c>
      <c r="N89">
        <v>6</v>
      </c>
      <c r="O89" t="s">
        <v>11</v>
      </c>
      <c r="P89" t="s">
        <v>11</v>
      </c>
      <c r="Q89" t="s">
        <v>11</v>
      </c>
      <c r="R89" t="s">
        <v>11</v>
      </c>
      <c r="S89" t="s">
        <v>11</v>
      </c>
      <c r="T89" s="34">
        <v>20398</v>
      </c>
      <c r="U89" s="34">
        <v>-9946</v>
      </c>
      <c r="V89" s="34">
        <v>343</v>
      </c>
      <c r="W89" t="s">
        <v>11</v>
      </c>
      <c r="X89">
        <v>510</v>
      </c>
      <c r="Y89" t="s">
        <v>11</v>
      </c>
      <c r="Z89">
        <v>800</v>
      </c>
      <c r="AA89">
        <v>553</v>
      </c>
      <c r="AB89">
        <v>4285</v>
      </c>
      <c r="AC89">
        <v>-839</v>
      </c>
      <c r="AD89">
        <v>187</v>
      </c>
      <c r="AE89" t="s">
        <v>11</v>
      </c>
      <c r="AF89">
        <v>1043</v>
      </c>
      <c r="AG89" t="s">
        <v>11</v>
      </c>
      <c r="AH89">
        <f t="shared" si="17"/>
        <v>187</v>
      </c>
      <c r="AI89" t="str">
        <f t="shared" si="18"/>
        <v>NoData</v>
      </c>
      <c r="AJ89">
        <v>2213</v>
      </c>
      <c r="AK89" t="s">
        <v>11</v>
      </c>
      <c r="AL89">
        <v>6633</v>
      </c>
      <c r="AM89">
        <v>-10963</v>
      </c>
      <c r="AN89">
        <v>0</v>
      </c>
      <c r="AO89" t="s">
        <v>11</v>
      </c>
      <c r="AP89" t="s">
        <v>11</v>
      </c>
      <c r="AQ89" t="s">
        <v>11</v>
      </c>
      <c r="AR89" t="s">
        <v>11</v>
      </c>
      <c r="AS89" t="s">
        <v>11</v>
      </c>
      <c r="AT89" t="str">
        <f t="shared" si="21"/>
        <v>NoData</v>
      </c>
      <c r="AU89" t="str">
        <f t="shared" si="22"/>
        <v>NoData</v>
      </c>
      <c r="AV89" t="s">
        <v>11</v>
      </c>
      <c r="AW89" t="s">
        <v>11</v>
      </c>
      <c r="AX89" t="s">
        <v>11</v>
      </c>
      <c r="AY89" t="s">
        <v>11</v>
      </c>
      <c r="AZ89" t="str">
        <f t="shared" si="13"/>
        <v>NoData</v>
      </c>
      <c r="BA89" t="str">
        <f t="shared" si="14"/>
        <v>NoData</v>
      </c>
      <c r="BB89">
        <f t="shared" si="19"/>
        <v>0</v>
      </c>
      <c r="BC89" t="str">
        <f t="shared" si="20"/>
        <v>NoData</v>
      </c>
      <c r="BD89" t="s">
        <v>11</v>
      </c>
      <c r="BE89" t="s">
        <v>11</v>
      </c>
      <c r="BF89" t="s">
        <v>11</v>
      </c>
      <c r="BG89" t="s">
        <v>11</v>
      </c>
      <c r="BH89">
        <v>0</v>
      </c>
      <c r="BI89" t="s">
        <v>11</v>
      </c>
      <c r="BJ89">
        <v>48</v>
      </c>
      <c r="BK89" t="s">
        <v>11</v>
      </c>
      <c r="BL89" t="s">
        <v>11</v>
      </c>
      <c r="BM89" t="s">
        <v>11</v>
      </c>
      <c r="BN89" t="s">
        <v>11</v>
      </c>
      <c r="BO89" t="s">
        <v>11</v>
      </c>
      <c r="BP89" t="str">
        <f t="shared" si="15"/>
        <v>NoData</v>
      </c>
      <c r="BQ89" t="str">
        <f t="shared" si="16"/>
        <v>NoData</v>
      </c>
      <c r="BR89" t="s">
        <v>11</v>
      </c>
      <c r="BS89" t="s">
        <v>11</v>
      </c>
      <c r="BT89" t="s">
        <v>11</v>
      </c>
      <c r="BU89" t="s">
        <v>11</v>
      </c>
    </row>
    <row r="90" spans="1:73" x14ac:dyDescent="0.25">
      <c r="A90" s="5">
        <v>28522</v>
      </c>
      <c r="B90">
        <v>287</v>
      </c>
      <c r="C90" t="s">
        <v>11</v>
      </c>
      <c r="D90" t="s">
        <v>11</v>
      </c>
      <c r="E90" t="s">
        <v>11</v>
      </c>
      <c r="F90">
        <v>288</v>
      </c>
      <c r="G90" t="s">
        <v>11</v>
      </c>
      <c r="H90">
        <v>180</v>
      </c>
      <c r="I90" t="s">
        <v>11</v>
      </c>
      <c r="J90">
        <v>58</v>
      </c>
      <c r="K90" t="s">
        <v>11</v>
      </c>
      <c r="L90">
        <v>12597</v>
      </c>
      <c r="M90">
        <v>2051</v>
      </c>
      <c r="N90">
        <v>183</v>
      </c>
      <c r="O90" t="s">
        <v>11</v>
      </c>
      <c r="P90" t="s">
        <v>11</v>
      </c>
      <c r="Q90" t="s">
        <v>11</v>
      </c>
      <c r="R90" t="s">
        <v>11</v>
      </c>
      <c r="S90" t="s">
        <v>11</v>
      </c>
      <c r="T90" s="34">
        <v>50506</v>
      </c>
      <c r="U90" s="34">
        <v>22570</v>
      </c>
      <c r="V90" s="34">
        <v>2075</v>
      </c>
      <c r="W90" t="s">
        <v>11</v>
      </c>
      <c r="X90">
        <v>2981</v>
      </c>
      <c r="Y90" t="s">
        <v>11</v>
      </c>
      <c r="Z90">
        <v>3959</v>
      </c>
      <c r="AA90">
        <v>3571</v>
      </c>
      <c r="AB90">
        <v>20831</v>
      </c>
      <c r="AC90">
        <v>15568</v>
      </c>
      <c r="AD90">
        <v>1805</v>
      </c>
      <c r="AE90" t="s">
        <v>11</v>
      </c>
      <c r="AF90">
        <v>5147</v>
      </c>
      <c r="AG90" t="s">
        <v>11</v>
      </c>
      <c r="AH90">
        <f t="shared" si="17"/>
        <v>1805</v>
      </c>
      <c r="AI90" t="str">
        <f t="shared" si="18"/>
        <v>NoData</v>
      </c>
      <c r="AJ90">
        <v>8484</v>
      </c>
      <c r="AK90" t="s">
        <v>11</v>
      </c>
      <c r="AL90">
        <v>23649</v>
      </c>
      <c r="AM90">
        <v>8273</v>
      </c>
      <c r="AN90">
        <v>0</v>
      </c>
      <c r="AO90" t="s">
        <v>11</v>
      </c>
      <c r="AP90" t="s">
        <v>11</v>
      </c>
      <c r="AQ90" t="s">
        <v>11</v>
      </c>
      <c r="AR90" t="s">
        <v>11</v>
      </c>
      <c r="AS90" t="s">
        <v>11</v>
      </c>
      <c r="AT90" t="str">
        <f t="shared" si="21"/>
        <v>NoData</v>
      </c>
      <c r="AU90" t="str">
        <f t="shared" si="22"/>
        <v>NoData</v>
      </c>
      <c r="AV90" t="s">
        <v>11</v>
      </c>
      <c r="AW90" t="s">
        <v>11</v>
      </c>
      <c r="AX90" t="s">
        <v>11</v>
      </c>
      <c r="AY90" t="s">
        <v>11</v>
      </c>
      <c r="AZ90" t="str">
        <f t="shared" si="13"/>
        <v>NoData</v>
      </c>
      <c r="BA90" t="str">
        <f t="shared" si="14"/>
        <v>NoData</v>
      </c>
      <c r="BB90">
        <f t="shared" si="19"/>
        <v>0</v>
      </c>
      <c r="BC90" t="str">
        <f t="shared" si="20"/>
        <v>NoData</v>
      </c>
      <c r="BD90" t="s">
        <v>11</v>
      </c>
      <c r="BE90" t="s">
        <v>11</v>
      </c>
      <c r="BF90" t="s">
        <v>11</v>
      </c>
      <c r="BG90" t="s">
        <v>11</v>
      </c>
      <c r="BH90">
        <v>0</v>
      </c>
      <c r="BI90" t="s">
        <v>11</v>
      </c>
      <c r="BJ90">
        <v>66</v>
      </c>
      <c r="BK90" t="s">
        <v>11</v>
      </c>
      <c r="BL90" t="s">
        <v>11</v>
      </c>
      <c r="BM90" t="s">
        <v>11</v>
      </c>
      <c r="BN90" t="s">
        <v>11</v>
      </c>
      <c r="BO90" t="s">
        <v>11</v>
      </c>
      <c r="BP90" t="str">
        <f t="shared" si="15"/>
        <v>NoData</v>
      </c>
      <c r="BQ90" t="str">
        <f t="shared" si="16"/>
        <v>NoData</v>
      </c>
      <c r="BR90" t="s">
        <v>11</v>
      </c>
      <c r="BS90" t="s">
        <v>11</v>
      </c>
      <c r="BT90" t="s">
        <v>11</v>
      </c>
      <c r="BU90" t="s">
        <v>11</v>
      </c>
    </row>
    <row r="91" spans="1:73" x14ac:dyDescent="0.25">
      <c r="A91" s="5">
        <v>28550</v>
      </c>
      <c r="B91">
        <v>790</v>
      </c>
      <c r="C91" t="s">
        <v>11</v>
      </c>
      <c r="D91" t="s">
        <v>11</v>
      </c>
      <c r="E91" t="s">
        <v>11</v>
      </c>
      <c r="F91">
        <v>1682</v>
      </c>
      <c r="G91" t="s">
        <v>11</v>
      </c>
      <c r="H91">
        <v>1050</v>
      </c>
      <c r="I91" t="s">
        <v>11</v>
      </c>
      <c r="J91">
        <v>1003</v>
      </c>
      <c r="K91" t="s">
        <v>11</v>
      </c>
      <c r="L91">
        <v>44994</v>
      </c>
      <c r="M91">
        <v>29893</v>
      </c>
      <c r="N91">
        <v>1899</v>
      </c>
      <c r="O91" t="s">
        <v>11</v>
      </c>
      <c r="P91" t="s">
        <v>11</v>
      </c>
      <c r="Q91" t="s">
        <v>11</v>
      </c>
      <c r="R91" t="s">
        <v>11</v>
      </c>
      <c r="S91" t="s">
        <v>11</v>
      </c>
      <c r="T91" s="34">
        <v>79995</v>
      </c>
      <c r="U91" s="34">
        <v>44460</v>
      </c>
      <c r="V91" s="34">
        <v>4754</v>
      </c>
      <c r="W91" t="s">
        <v>11</v>
      </c>
      <c r="X91">
        <v>4291</v>
      </c>
      <c r="Y91" t="s">
        <v>11</v>
      </c>
      <c r="Z91">
        <v>4492</v>
      </c>
      <c r="AA91">
        <v>4080</v>
      </c>
      <c r="AB91">
        <v>23930</v>
      </c>
      <c r="AC91">
        <v>17422</v>
      </c>
      <c r="AD91">
        <v>2144</v>
      </c>
      <c r="AE91" t="s">
        <v>11</v>
      </c>
      <c r="AF91">
        <v>4825</v>
      </c>
      <c r="AG91" t="s">
        <v>11</v>
      </c>
      <c r="AH91">
        <f t="shared" si="17"/>
        <v>2144</v>
      </c>
      <c r="AI91" t="str">
        <f t="shared" si="18"/>
        <v>NoData</v>
      </c>
      <c r="AJ91">
        <v>12724</v>
      </c>
      <c r="AK91" t="s">
        <v>11</v>
      </c>
      <c r="AL91">
        <v>38254</v>
      </c>
      <c r="AM91">
        <v>20956</v>
      </c>
      <c r="AN91">
        <v>0</v>
      </c>
      <c r="AO91" t="s">
        <v>11</v>
      </c>
      <c r="AP91" t="s">
        <v>11</v>
      </c>
      <c r="AQ91" t="s">
        <v>11</v>
      </c>
      <c r="AR91" t="s">
        <v>11</v>
      </c>
      <c r="AS91" t="s">
        <v>11</v>
      </c>
      <c r="AT91" t="str">
        <f t="shared" si="21"/>
        <v>NoData</v>
      </c>
      <c r="AU91" t="str">
        <f t="shared" si="22"/>
        <v>NoData</v>
      </c>
      <c r="AV91" t="s">
        <v>11</v>
      </c>
      <c r="AW91" t="s">
        <v>11</v>
      </c>
      <c r="AX91" t="s">
        <v>11</v>
      </c>
      <c r="AY91" t="s">
        <v>11</v>
      </c>
      <c r="AZ91" t="str">
        <f t="shared" si="13"/>
        <v>NoData</v>
      </c>
      <c r="BA91" t="str">
        <f t="shared" si="14"/>
        <v>NoData</v>
      </c>
      <c r="BB91">
        <f t="shared" si="19"/>
        <v>0</v>
      </c>
      <c r="BC91" t="str">
        <f t="shared" si="20"/>
        <v>NoData</v>
      </c>
      <c r="BD91" t="s">
        <v>11</v>
      </c>
      <c r="BE91" t="s">
        <v>11</v>
      </c>
      <c r="BF91" t="s">
        <v>11</v>
      </c>
      <c r="BG91" t="s">
        <v>11</v>
      </c>
      <c r="BH91">
        <v>0</v>
      </c>
      <c r="BI91" t="s">
        <v>11</v>
      </c>
      <c r="BJ91">
        <v>72</v>
      </c>
      <c r="BK91" t="s">
        <v>11</v>
      </c>
      <c r="BL91" t="s">
        <v>11</v>
      </c>
      <c r="BM91" t="s">
        <v>11</v>
      </c>
      <c r="BN91" t="s">
        <v>11</v>
      </c>
      <c r="BO91" t="s">
        <v>11</v>
      </c>
      <c r="BP91" t="str">
        <f t="shared" si="15"/>
        <v>NoData</v>
      </c>
      <c r="BQ91" t="str">
        <f t="shared" si="16"/>
        <v>NoData</v>
      </c>
      <c r="BR91" t="s">
        <v>11</v>
      </c>
      <c r="BS91" t="s">
        <v>11</v>
      </c>
      <c r="BT91" t="s">
        <v>11</v>
      </c>
      <c r="BU91" t="s">
        <v>11</v>
      </c>
    </row>
    <row r="92" spans="1:73" x14ac:dyDescent="0.25">
      <c r="A92" s="5">
        <v>28581</v>
      </c>
      <c r="B92">
        <v>2112</v>
      </c>
      <c r="C92" t="s">
        <v>11</v>
      </c>
      <c r="D92" t="s">
        <v>11</v>
      </c>
      <c r="E92" t="s">
        <v>11</v>
      </c>
      <c r="F92">
        <v>2200</v>
      </c>
      <c r="G92" t="s">
        <v>11</v>
      </c>
      <c r="H92">
        <v>1374</v>
      </c>
      <c r="I92" t="s">
        <v>11</v>
      </c>
      <c r="J92">
        <v>1932</v>
      </c>
      <c r="K92" t="s">
        <v>11</v>
      </c>
      <c r="L92">
        <v>70682</v>
      </c>
      <c r="M92">
        <v>46827</v>
      </c>
      <c r="N92">
        <v>576</v>
      </c>
      <c r="O92" t="s">
        <v>11</v>
      </c>
      <c r="P92" t="s">
        <v>11</v>
      </c>
      <c r="Q92" t="s">
        <v>11</v>
      </c>
      <c r="R92" t="s">
        <v>11</v>
      </c>
      <c r="S92" t="s">
        <v>11</v>
      </c>
      <c r="T92" s="34">
        <v>108894</v>
      </c>
      <c r="U92" s="34">
        <v>68537</v>
      </c>
      <c r="V92" s="34">
        <v>3374</v>
      </c>
      <c r="W92" t="s">
        <v>11</v>
      </c>
      <c r="X92">
        <v>3668</v>
      </c>
      <c r="Y92" t="s">
        <v>11</v>
      </c>
      <c r="Z92">
        <v>5353</v>
      </c>
      <c r="AA92">
        <v>4885</v>
      </c>
      <c r="AB92">
        <v>25729</v>
      </c>
      <c r="AC92">
        <v>19380</v>
      </c>
      <c r="AD92">
        <v>3053</v>
      </c>
      <c r="AE92" t="s">
        <v>11</v>
      </c>
      <c r="AF92">
        <v>5978</v>
      </c>
      <c r="AG92" t="s">
        <v>11</v>
      </c>
      <c r="AH92">
        <f t="shared" si="17"/>
        <v>3053</v>
      </c>
      <c r="AI92" t="str">
        <f t="shared" si="18"/>
        <v>NoData</v>
      </c>
      <c r="AJ92">
        <v>15366</v>
      </c>
      <c r="AK92" t="s">
        <v>11</v>
      </c>
      <c r="AL92">
        <v>46621</v>
      </c>
      <c r="AM92">
        <v>29691</v>
      </c>
      <c r="AN92">
        <v>159</v>
      </c>
      <c r="AO92" t="s">
        <v>11</v>
      </c>
      <c r="AP92" t="s">
        <v>11</v>
      </c>
      <c r="AQ92" t="s">
        <v>11</v>
      </c>
      <c r="AR92" t="s">
        <v>11</v>
      </c>
      <c r="AS92" t="s">
        <v>11</v>
      </c>
      <c r="AT92" t="str">
        <f t="shared" si="21"/>
        <v>NoData</v>
      </c>
      <c r="AU92" t="str">
        <f t="shared" si="22"/>
        <v>NoData</v>
      </c>
      <c r="AV92" t="s">
        <v>11</v>
      </c>
      <c r="AW92" t="s">
        <v>11</v>
      </c>
      <c r="AX92" t="s">
        <v>11</v>
      </c>
      <c r="AY92" t="s">
        <v>11</v>
      </c>
      <c r="AZ92" t="str">
        <f t="shared" si="13"/>
        <v>NoData</v>
      </c>
      <c r="BA92" t="str">
        <f t="shared" si="14"/>
        <v>NoData</v>
      </c>
      <c r="BB92">
        <f t="shared" si="19"/>
        <v>159</v>
      </c>
      <c r="BC92" t="str">
        <f t="shared" si="20"/>
        <v>NoData</v>
      </c>
      <c r="BD92" t="s">
        <v>11</v>
      </c>
      <c r="BE92" t="s">
        <v>11</v>
      </c>
      <c r="BF92" t="s">
        <v>11</v>
      </c>
      <c r="BG92" t="s">
        <v>11</v>
      </c>
      <c r="BH92">
        <v>54</v>
      </c>
      <c r="BI92" t="s">
        <v>11</v>
      </c>
      <c r="BJ92">
        <v>126</v>
      </c>
      <c r="BK92" t="s">
        <v>11</v>
      </c>
      <c r="BL92" t="s">
        <v>11</v>
      </c>
      <c r="BM92" t="s">
        <v>11</v>
      </c>
      <c r="BN92" t="s">
        <v>11</v>
      </c>
      <c r="BO92" t="s">
        <v>11</v>
      </c>
      <c r="BP92" t="str">
        <f t="shared" si="15"/>
        <v>NoData</v>
      </c>
      <c r="BQ92" t="str">
        <f t="shared" si="16"/>
        <v>NoData</v>
      </c>
      <c r="BR92" t="s">
        <v>11</v>
      </c>
      <c r="BS92" t="s">
        <v>11</v>
      </c>
      <c r="BT92" t="s">
        <v>11</v>
      </c>
      <c r="BU92" t="s">
        <v>11</v>
      </c>
    </row>
    <row r="93" spans="1:73" x14ac:dyDescent="0.25">
      <c r="A93" s="5">
        <v>28611</v>
      </c>
      <c r="B93">
        <v>2145</v>
      </c>
      <c r="C93" t="s">
        <v>11</v>
      </c>
      <c r="D93" t="s">
        <v>11</v>
      </c>
      <c r="E93" t="s">
        <v>11</v>
      </c>
      <c r="F93">
        <v>1712</v>
      </c>
      <c r="G93" t="s">
        <v>11</v>
      </c>
      <c r="H93">
        <v>1069</v>
      </c>
      <c r="I93" t="s">
        <v>11</v>
      </c>
      <c r="J93">
        <v>2121</v>
      </c>
      <c r="K93" t="s">
        <v>11</v>
      </c>
      <c r="L93">
        <v>64214</v>
      </c>
      <c r="M93">
        <v>37632</v>
      </c>
      <c r="N93">
        <v>1697</v>
      </c>
      <c r="O93" t="s">
        <v>11</v>
      </c>
      <c r="P93" t="s">
        <v>11</v>
      </c>
      <c r="Q93" t="s">
        <v>11</v>
      </c>
      <c r="R93" t="s">
        <v>11</v>
      </c>
      <c r="S93" t="s">
        <v>11</v>
      </c>
      <c r="T93" s="34">
        <v>96121</v>
      </c>
      <c r="U93" s="34">
        <v>50911</v>
      </c>
      <c r="V93" s="34">
        <v>3188</v>
      </c>
      <c r="W93" t="s">
        <v>11</v>
      </c>
      <c r="X93">
        <v>5093</v>
      </c>
      <c r="Y93" t="s">
        <v>11</v>
      </c>
      <c r="Z93">
        <v>4902</v>
      </c>
      <c r="AA93">
        <v>4401</v>
      </c>
      <c r="AB93">
        <v>29451</v>
      </c>
      <c r="AC93">
        <v>23223</v>
      </c>
      <c r="AD93">
        <v>4310</v>
      </c>
      <c r="AE93" t="s">
        <v>11</v>
      </c>
      <c r="AF93">
        <v>6453</v>
      </c>
      <c r="AG93" t="s">
        <v>11</v>
      </c>
      <c r="AH93">
        <f t="shared" si="17"/>
        <v>4310</v>
      </c>
      <c r="AI93" t="str">
        <f t="shared" si="18"/>
        <v>NoData</v>
      </c>
      <c r="AJ93">
        <v>24572</v>
      </c>
      <c r="AK93" t="s">
        <v>11</v>
      </c>
      <c r="AL93">
        <v>48841</v>
      </c>
      <c r="AM93">
        <v>32215</v>
      </c>
      <c r="AN93">
        <v>48</v>
      </c>
      <c r="AO93" t="s">
        <v>11</v>
      </c>
      <c r="AP93" t="s">
        <v>11</v>
      </c>
      <c r="AQ93" t="s">
        <v>11</v>
      </c>
      <c r="AR93" t="s">
        <v>11</v>
      </c>
      <c r="AS93" t="s">
        <v>11</v>
      </c>
      <c r="AT93" t="str">
        <f t="shared" si="21"/>
        <v>NoData</v>
      </c>
      <c r="AU93" t="str">
        <f t="shared" si="22"/>
        <v>NoData</v>
      </c>
      <c r="AV93" t="s">
        <v>11</v>
      </c>
      <c r="AW93" t="s">
        <v>11</v>
      </c>
      <c r="AX93" t="s">
        <v>11</v>
      </c>
      <c r="AY93" t="s">
        <v>11</v>
      </c>
      <c r="AZ93" t="str">
        <f t="shared" si="13"/>
        <v>NoData</v>
      </c>
      <c r="BA93" t="str">
        <f t="shared" si="14"/>
        <v>NoData</v>
      </c>
      <c r="BB93">
        <f t="shared" si="19"/>
        <v>48</v>
      </c>
      <c r="BC93" t="str">
        <f t="shared" si="20"/>
        <v>NoData</v>
      </c>
      <c r="BD93" t="s">
        <v>11</v>
      </c>
      <c r="BE93" t="s">
        <v>11</v>
      </c>
      <c r="BF93" t="s">
        <v>11</v>
      </c>
      <c r="BG93" t="s">
        <v>11</v>
      </c>
      <c r="BH93">
        <v>0</v>
      </c>
      <c r="BI93" t="s">
        <v>11</v>
      </c>
      <c r="BJ93">
        <v>141</v>
      </c>
      <c r="BK93" t="s">
        <v>11</v>
      </c>
      <c r="BL93" t="s">
        <v>11</v>
      </c>
      <c r="BM93" t="s">
        <v>11</v>
      </c>
      <c r="BN93" t="s">
        <v>11</v>
      </c>
      <c r="BO93" t="s">
        <v>11</v>
      </c>
      <c r="BP93" t="str">
        <f t="shared" si="15"/>
        <v>NoData</v>
      </c>
      <c r="BQ93" t="str">
        <f t="shared" si="16"/>
        <v>NoData</v>
      </c>
      <c r="BR93" t="s">
        <v>11</v>
      </c>
      <c r="BS93" t="s">
        <v>11</v>
      </c>
      <c r="BT93" t="s">
        <v>11</v>
      </c>
      <c r="BU93" t="s">
        <v>11</v>
      </c>
    </row>
    <row r="94" spans="1:73" x14ac:dyDescent="0.25">
      <c r="A94" s="5">
        <v>28642</v>
      </c>
      <c r="B94">
        <v>2858</v>
      </c>
      <c r="C94" t="s">
        <v>11</v>
      </c>
      <c r="D94" t="s">
        <v>11</v>
      </c>
      <c r="E94" t="s">
        <v>11</v>
      </c>
      <c r="F94">
        <v>2085</v>
      </c>
      <c r="G94" t="s">
        <v>11</v>
      </c>
      <c r="H94">
        <v>1302</v>
      </c>
      <c r="I94" t="s">
        <v>11</v>
      </c>
      <c r="J94">
        <v>2500</v>
      </c>
      <c r="K94" t="s">
        <v>11</v>
      </c>
      <c r="L94">
        <v>49459</v>
      </c>
      <c r="M94">
        <v>53099</v>
      </c>
      <c r="N94">
        <v>2584</v>
      </c>
      <c r="O94" t="s">
        <v>11</v>
      </c>
      <c r="P94" t="s">
        <v>11</v>
      </c>
      <c r="Q94" t="s">
        <v>11</v>
      </c>
      <c r="R94" t="s">
        <v>11</v>
      </c>
      <c r="S94" t="s">
        <v>11</v>
      </c>
      <c r="T94" s="34">
        <v>106673</v>
      </c>
      <c r="U94" s="34">
        <v>63909</v>
      </c>
      <c r="V94" s="34">
        <v>6757</v>
      </c>
      <c r="W94" t="s">
        <v>11</v>
      </c>
      <c r="X94">
        <v>7174</v>
      </c>
      <c r="Y94" t="s">
        <v>11</v>
      </c>
      <c r="Z94">
        <v>4678</v>
      </c>
      <c r="AA94">
        <v>4142</v>
      </c>
      <c r="AB94">
        <v>36920</v>
      </c>
      <c r="AC94">
        <v>30794</v>
      </c>
      <c r="AD94">
        <v>4925</v>
      </c>
      <c r="AE94" t="s">
        <v>11</v>
      </c>
      <c r="AF94">
        <v>5773</v>
      </c>
      <c r="AG94" t="s">
        <v>11</v>
      </c>
      <c r="AH94">
        <f t="shared" si="17"/>
        <v>4925</v>
      </c>
      <c r="AI94" t="str">
        <f t="shared" si="18"/>
        <v>NoData</v>
      </c>
      <c r="AJ94">
        <v>27101</v>
      </c>
      <c r="AK94" t="s">
        <v>11</v>
      </c>
      <c r="AL94">
        <v>61316</v>
      </c>
      <c r="AM94">
        <v>45458</v>
      </c>
      <c r="AN94">
        <v>209</v>
      </c>
      <c r="AO94" t="s">
        <v>11</v>
      </c>
      <c r="AP94" t="s">
        <v>11</v>
      </c>
      <c r="AQ94" t="s">
        <v>11</v>
      </c>
      <c r="AR94" t="s">
        <v>11</v>
      </c>
      <c r="AS94" t="s">
        <v>11</v>
      </c>
      <c r="AT94" t="str">
        <f t="shared" si="21"/>
        <v>NoData</v>
      </c>
      <c r="AU94" t="str">
        <f t="shared" si="22"/>
        <v>NoData</v>
      </c>
      <c r="AV94" t="s">
        <v>11</v>
      </c>
      <c r="AW94" t="s">
        <v>11</v>
      </c>
      <c r="AX94" t="s">
        <v>11</v>
      </c>
      <c r="AY94" t="s">
        <v>11</v>
      </c>
      <c r="AZ94" t="str">
        <f t="shared" si="13"/>
        <v>NoData</v>
      </c>
      <c r="BA94" t="str">
        <f t="shared" si="14"/>
        <v>NoData</v>
      </c>
      <c r="BB94">
        <f t="shared" si="19"/>
        <v>209</v>
      </c>
      <c r="BC94" t="str">
        <f t="shared" si="20"/>
        <v>NoData</v>
      </c>
      <c r="BD94" t="s">
        <v>11</v>
      </c>
      <c r="BE94" t="s">
        <v>11</v>
      </c>
      <c r="BF94" t="s">
        <v>11</v>
      </c>
      <c r="BG94" t="s">
        <v>11</v>
      </c>
      <c r="BH94">
        <v>37</v>
      </c>
      <c r="BI94" t="s">
        <v>11</v>
      </c>
      <c r="BJ94">
        <v>199</v>
      </c>
      <c r="BK94" t="s">
        <v>11</v>
      </c>
      <c r="BL94" t="s">
        <v>11</v>
      </c>
      <c r="BM94" t="s">
        <v>11</v>
      </c>
      <c r="BN94" t="s">
        <v>11</v>
      </c>
      <c r="BO94" t="s">
        <v>11</v>
      </c>
      <c r="BP94" t="str">
        <f t="shared" si="15"/>
        <v>NoData</v>
      </c>
      <c r="BQ94" t="str">
        <f t="shared" si="16"/>
        <v>NoData</v>
      </c>
      <c r="BR94" t="s">
        <v>11</v>
      </c>
      <c r="BS94" t="s">
        <v>11</v>
      </c>
      <c r="BT94" t="s">
        <v>11</v>
      </c>
      <c r="BU94" t="s">
        <v>11</v>
      </c>
    </row>
    <row r="95" spans="1:73" x14ac:dyDescent="0.25">
      <c r="A95" s="5">
        <v>28672</v>
      </c>
      <c r="B95">
        <v>3947</v>
      </c>
      <c r="C95" t="s">
        <v>11</v>
      </c>
      <c r="D95" t="s">
        <v>11</v>
      </c>
      <c r="E95" t="s">
        <v>11</v>
      </c>
      <c r="F95">
        <v>4027</v>
      </c>
      <c r="G95" t="s">
        <v>11</v>
      </c>
      <c r="H95">
        <v>2514</v>
      </c>
      <c r="I95" t="s">
        <v>11</v>
      </c>
      <c r="J95">
        <v>2974</v>
      </c>
      <c r="K95" t="s">
        <v>11</v>
      </c>
      <c r="L95">
        <v>86143</v>
      </c>
      <c r="M95">
        <v>57891</v>
      </c>
      <c r="N95">
        <v>2166</v>
      </c>
      <c r="O95" t="s">
        <v>11</v>
      </c>
      <c r="P95" t="s">
        <v>11</v>
      </c>
      <c r="Q95" t="s">
        <v>11</v>
      </c>
      <c r="R95" t="s">
        <v>11</v>
      </c>
      <c r="S95" t="s">
        <v>11</v>
      </c>
      <c r="T95" s="34">
        <v>122203</v>
      </c>
      <c r="U95" s="34">
        <v>78171</v>
      </c>
      <c r="V95" s="34">
        <v>6070</v>
      </c>
      <c r="W95" t="s">
        <v>11</v>
      </c>
      <c r="X95">
        <v>7463</v>
      </c>
      <c r="Y95" t="s">
        <v>11</v>
      </c>
      <c r="Z95">
        <v>5054</v>
      </c>
      <c r="AA95">
        <v>4512</v>
      </c>
      <c r="AB95">
        <v>40897</v>
      </c>
      <c r="AC95">
        <v>34454</v>
      </c>
      <c r="AD95">
        <v>5163</v>
      </c>
      <c r="AE95" t="s">
        <v>11</v>
      </c>
      <c r="AF95">
        <v>6788</v>
      </c>
      <c r="AG95" t="s">
        <v>11</v>
      </c>
      <c r="AH95">
        <f t="shared" si="17"/>
        <v>5163</v>
      </c>
      <c r="AI95" t="str">
        <f t="shared" si="18"/>
        <v>NoData</v>
      </c>
      <c r="AJ95">
        <v>29907</v>
      </c>
      <c r="AK95" t="s">
        <v>11</v>
      </c>
      <c r="AL95">
        <v>61313</v>
      </c>
      <c r="AM95">
        <v>47105</v>
      </c>
      <c r="AN95">
        <v>188</v>
      </c>
      <c r="AO95" t="s">
        <v>11</v>
      </c>
      <c r="AP95" t="s">
        <v>11</v>
      </c>
      <c r="AQ95" t="s">
        <v>11</v>
      </c>
      <c r="AR95" t="s">
        <v>11</v>
      </c>
      <c r="AS95" t="s">
        <v>11</v>
      </c>
      <c r="AT95" t="str">
        <f t="shared" si="21"/>
        <v>NoData</v>
      </c>
      <c r="AU95" t="str">
        <f t="shared" si="22"/>
        <v>NoData</v>
      </c>
      <c r="AV95" t="s">
        <v>11</v>
      </c>
      <c r="AW95" t="s">
        <v>11</v>
      </c>
      <c r="AX95" t="s">
        <v>11</v>
      </c>
      <c r="AY95" t="s">
        <v>11</v>
      </c>
      <c r="AZ95" t="str">
        <f t="shared" si="13"/>
        <v>NoData</v>
      </c>
      <c r="BA95" t="str">
        <f t="shared" si="14"/>
        <v>NoData</v>
      </c>
      <c r="BB95">
        <f t="shared" si="19"/>
        <v>188</v>
      </c>
      <c r="BC95" t="str">
        <f t="shared" si="20"/>
        <v>NoData</v>
      </c>
      <c r="BD95" t="s">
        <v>11</v>
      </c>
      <c r="BE95" t="s">
        <v>11</v>
      </c>
      <c r="BF95" t="s">
        <v>11</v>
      </c>
      <c r="BG95" t="s">
        <v>11</v>
      </c>
      <c r="BH95">
        <v>71</v>
      </c>
      <c r="BI95" t="s">
        <v>11</v>
      </c>
      <c r="BJ95">
        <v>170</v>
      </c>
      <c r="BK95" t="s">
        <v>11</v>
      </c>
      <c r="BL95" t="s">
        <v>11</v>
      </c>
      <c r="BM95" t="s">
        <v>11</v>
      </c>
      <c r="BN95" t="s">
        <v>11</v>
      </c>
      <c r="BO95" t="s">
        <v>11</v>
      </c>
      <c r="BP95" t="str">
        <f t="shared" si="15"/>
        <v>NoData</v>
      </c>
      <c r="BQ95" t="str">
        <f t="shared" si="16"/>
        <v>NoData</v>
      </c>
      <c r="BR95" t="s">
        <v>11</v>
      </c>
      <c r="BS95" t="s">
        <v>11</v>
      </c>
      <c r="BT95" t="s">
        <v>11</v>
      </c>
      <c r="BU95" t="s">
        <v>11</v>
      </c>
    </row>
    <row r="96" spans="1:73" x14ac:dyDescent="0.25">
      <c r="A96" s="5">
        <v>28703</v>
      </c>
      <c r="B96">
        <v>3451</v>
      </c>
      <c r="C96" t="s">
        <v>11</v>
      </c>
      <c r="D96" t="s">
        <v>11</v>
      </c>
      <c r="E96" t="s">
        <v>11</v>
      </c>
      <c r="F96">
        <v>3531</v>
      </c>
      <c r="G96" t="s">
        <v>11</v>
      </c>
      <c r="H96">
        <v>2205</v>
      </c>
      <c r="I96" t="s">
        <v>11</v>
      </c>
      <c r="J96">
        <v>2149</v>
      </c>
      <c r="K96" t="s">
        <v>11</v>
      </c>
      <c r="L96">
        <v>86600</v>
      </c>
      <c r="M96">
        <v>57681</v>
      </c>
      <c r="N96">
        <v>1720</v>
      </c>
      <c r="O96" t="s">
        <v>11</v>
      </c>
      <c r="P96" t="s">
        <v>11</v>
      </c>
      <c r="Q96" t="s">
        <v>11</v>
      </c>
      <c r="R96" t="s">
        <v>11</v>
      </c>
      <c r="S96" t="s">
        <v>11</v>
      </c>
      <c r="T96" s="34">
        <v>96636</v>
      </c>
      <c r="U96" s="34">
        <v>48743</v>
      </c>
      <c r="V96" s="34">
        <v>3445</v>
      </c>
      <c r="W96" t="s">
        <v>11</v>
      </c>
      <c r="X96">
        <v>4703</v>
      </c>
      <c r="Y96" t="s">
        <v>11</v>
      </c>
      <c r="Z96">
        <v>5162</v>
      </c>
      <c r="AA96">
        <v>4504</v>
      </c>
      <c r="AB96">
        <v>27050</v>
      </c>
      <c r="AC96">
        <v>20556</v>
      </c>
      <c r="AD96">
        <v>5357</v>
      </c>
      <c r="AE96" t="s">
        <v>11</v>
      </c>
      <c r="AF96">
        <v>5992</v>
      </c>
      <c r="AG96" t="s">
        <v>11</v>
      </c>
      <c r="AH96">
        <f t="shared" si="17"/>
        <v>5357</v>
      </c>
      <c r="AI96" t="str">
        <f t="shared" si="18"/>
        <v>NoData</v>
      </c>
      <c r="AJ96">
        <v>28681</v>
      </c>
      <c r="AK96" t="s">
        <v>11</v>
      </c>
      <c r="AL96">
        <v>54415</v>
      </c>
      <c r="AM96">
        <v>39525</v>
      </c>
      <c r="AN96">
        <v>111</v>
      </c>
      <c r="AO96" t="s">
        <v>11</v>
      </c>
      <c r="AP96" t="s">
        <v>11</v>
      </c>
      <c r="AQ96" t="s">
        <v>11</v>
      </c>
      <c r="AR96" t="s">
        <v>11</v>
      </c>
      <c r="AS96" t="s">
        <v>11</v>
      </c>
      <c r="AT96" t="str">
        <f t="shared" si="21"/>
        <v>NoData</v>
      </c>
      <c r="AU96" t="str">
        <f t="shared" si="22"/>
        <v>NoData</v>
      </c>
      <c r="AV96" t="s">
        <v>11</v>
      </c>
      <c r="AW96" t="s">
        <v>11</v>
      </c>
      <c r="AX96" t="s">
        <v>11</v>
      </c>
      <c r="AY96" t="s">
        <v>11</v>
      </c>
      <c r="AZ96" t="str">
        <f t="shared" si="13"/>
        <v>NoData</v>
      </c>
      <c r="BA96" t="str">
        <f t="shared" si="14"/>
        <v>NoData</v>
      </c>
      <c r="BB96">
        <f t="shared" si="19"/>
        <v>111</v>
      </c>
      <c r="BC96" t="str">
        <f t="shared" si="20"/>
        <v>NoData</v>
      </c>
      <c r="BD96" t="s">
        <v>11</v>
      </c>
      <c r="BE96" t="s">
        <v>11</v>
      </c>
      <c r="BF96" t="s">
        <v>11</v>
      </c>
      <c r="BG96" t="s">
        <v>11</v>
      </c>
      <c r="BH96">
        <v>58</v>
      </c>
      <c r="BI96" t="s">
        <v>11</v>
      </c>
      <c r="BJ96">
        <v>109</v>
      </c>
      <c r="BK96" t="s">
        <v>11</v>
      </c>
      <c r="BL96" t="s">
        <v>11</v>
      </c>
      <c r="BM96" t="s">
        <v>11</v>
      </c>
      <c r="BN96" t="s">
        <v>11</v>
      </c>
      <c r="BO96" t="s">
        <v>11</v>
      </c>
      <c r="BP96" t="str">
        <f t="shared" si="15"/>
        <v>NoData</v>
      </c>
      <c r="BQ96" t="str">
        <f t="shared" si="16"/>
        <v>NoData</v>
      </c>
      <c r="BR96" t="s">
        <v>11</v>
      </c>
      <c r="BS96" t="s">
        <v>11</v>
      </c>
      <c r="BT96" t="s">
        <v>11</v>
      </c>
      <c r="BU96" t="s">
        <v>11</v>
      </c>
    </row>
    <row r="97" spans="1:73" x14ac:dyDescent="0.25">
      <c r="A97" s="5">
        <v>28734</v>
      </c>
      <c r="B97">
        <v>1931</v>
      </c>
      <c r="C97" t="s">
        <v>11</v>
      </c>
      <c r="D97" t="s">
        <v>11</v>
      </c>
      <c r="E97" t="s">
        <v>11</v>
      </c>
      <c r="F97">
        <v>2117</v>
      </c>
      <c r="G97" t="s">
        <v>11</v>
      </c>
      <c r="H97">
        <v>1322</v>
      </c>
      <c r="I97" t="s">
        <v>11</v>
      </c>
      <c r="J97">
        <v>2700</v>
      </c>
      <c r="K97" t="s">
        <v>11</v>
      </c>
      <c r="L97">
        <v>57696</v>
      </c>
      <c r="M97">
        <v>32333</v>
      </c>
      <c r="N97">
        <v>320</v>
      </c>
      <c r="O97" t="s">
        <v>11</v>
      </c>
      <c r="P97" t="s">
        <v>11</v>
      </c>
      <c r="Q97" t="s">
        <v>11</v>
      </c>
      <c r="R97" t="s">
        <v>11</v>
      </c>
      <c r="S97" t="s">
        <v>11</v>
      </c>
      <c r="T97" s="34">
        <v>72201</v>
      </c>
      <c r="U97" s="34">
        <v>31145</v>
      </c>
      <c r="V97" s="34">
        <v>2098</v>
      </c>
      <c r="W97" t="s">
        <v>11</v>
      </c>
      <c r="X97">
        <v>3177</v>
      </c>
      <c r="Y97" t="s">
        <v>11</v>
      </c>
      <c r="Z97">
        <v>4617</v>
      </c>
      <c r="AA97">
        <v>3953</v>
      </c>
      <c r="AB97">
        <v>25969</v>
      </c>
      <c r="AC97">
        <v>19751</v>
      </c>
      <c r="AD97">
        <v>3540</v>
      </c>
      <c r="AE97" t="s">
        <v>11</v>
      </c>
      <c r="AF97">
        <v>4478</v>
      </c>
      <c r="AG97" t="s">
        <v>11</v>
      </c>
      <c r="AH97">
        <f t="shared" si="17"/>
        <v>3540</v>
      </c>
      <c r="AI97" t="str">
        <f t="shared" si="18"/>
        <v>NoData</v>
      </c>
      <c r="AJ97">
        <v>22269</v>
      </c>
      <c r="AK97" t="s">
        <v>11</v>
      </c>
      <c r="AL97">
        <v>44076</v>
      </c>
      <c r="AM97">
        <v>30463</v>
      </c>
      <c r="AN97">
        <v>91</v>
      </c>
      <c r="AO97" t="s">
        <v>11</v>
      </c>
      <c r="AP97" t="s">
        <v>11</v>
      </c>
      <c r="AQ97" t="s">
        <v>11</v>
      </c>
      <c r="AR97" t="s">
        <v>11</v>
      </c>
      <c r="AS97" t="s">
        <v>11</v>
      </c>
      <c r="AT97" t="str">
        <f t="shared" si="21"/>
        <v>NoData</v>
      </c>
      <c r="AU97" t="str">
        <f t="shared" si="22"/>
        <v>NoData</v>
      </c>
      <c r="AV97" t="s">
        <v>11</v>
      </c>
      <c r="AW97" t="s">
        <v>11</v>
      </c>
      <c r="AX97" t="s">
        <v>11</v>
      </c>
      <c r="AY97" t="s">
        <v>11</v>
      </c>
      <c r="AZ97" t="str">
        <f t="shared" si="13"/>
        <v>NoData</v>
      </c>
      <c r="BA97" t="str">
        <f t="shared" si="14"/>
        <v>NoData</v>
      </c>
      <c r="BB97">
        <f t="shared" si="19"/>
        <v>91</v>
      </c>
      <c r="BC97" t="str">
        <f t="shared" si="20"/>
        <v>NoData</v>
      </c>
      <c r="BD97" t="s">
        <v>11</v>
      </c>
      <c r="BE97" t="s">
        <v>11</v>
      </c>
      <c r="BF97" t="s">
        <v>11</v>
      </c>
      <c r="BG97" t="s">
        <v>11</v>
      </c>
      <c r="BH97">
        <v>34</v>
      </c>
      <c r="BI97" t="s">
        <v>11</v>
      </c>
      <c r="BJ97">
        <v>135</v>
      </c>
      <c r="BK97" t="s">
        <v>11</v>
      </c>
      <c r="BL97" t="s">
        <v>11</v>
      </c>
      <c r="BM97" t="s">
        <v>11</v>
      </c>
      <c r="BN97" t="s">
        <v>11</v>
      </c>
      <c r="BO97" t="s">
        <v>11</v>
      </c>
      <c r="BP97" t="str">
        <f t="shared" si="15"/>
        <v>NoData</v>
      </c>
      <c r="BQ97" t="str">
        <f t="shared" si="16"/>
        <v>NoData</v>
      </c>
      <c r="BR97" t="s">
        <v>11</v>
      </c>
      <c r="BS97" t="s">
        <v>11</v>
      </c>
      <c r="BT97" t="s">
        <v>11</v>
      </c>
      <c r="BU97" t="s">
        <v>11</v>
      </c>
    </row>
    <row r="98" spans="1:73" x14ac:dyDescent="0.25">
      <c r="A98" s="5">
        <v>28764</v>
      </c>
      <c r="B98">
        <v>698</v>
      </c>
      <c r="C98" t="s">
        <v>11</v>
      </c>
      <c r="D98" t="s">
        <v>11</v>
      </c>
      <c r="E98" t="s">
        <v>11</v>
      </c>
      <c r="F98">
        <v>1063</v>
      </c>
      <c r="G98" t="s">
        <v>11</v>
      </c>
      <c r="H98">
        <v>664</v>
      </c>
      <c r="I98" t="s">
        <v>11</v>
      </c>
      <c r="J98">
        <v>1507</v>
      </c>
      <c r="K98" t="s">
        <v>11</v>
      </c>
      <c r="L98">
        <v>27209</v>
      </c>
      <c r="M98">
        <v>5827</v>
      </c>
      <c r="N98">
        <v>276</v>
      </c>
      <c r="O98" t="s">
        <v>11</v>
      </c>
      <c r="P98" t="s">
        <v>11</v>
      </c>
      <c r="Q98" t="s">
        <v>11</v>
      </c>
      <c r="R98" t="s">
        <v>11</v>
      </c>
      <c r="S98" t="s">
        <v>11</v>
      </c>
      <c r="T98" s="34">
        <v>50980</v>
      </c>
      <c r="U98" s="34">
        <v>11214</v>
      </c>
      <c r="V98" s="34">
        <v>1334</v>
      </c>
      <c r="W98" t="s">
        <v>11</v>
      </c>
      <c r="X98">
        <v>2149</v>
      </c>
      <c r="Y98" t="s">
        <v>11</v>
      </c>
      <c r="Z98">
        <v>3563</v>
      </c>
      <c r="AA98">
        <v>2947</v>
      </c>
      <c r="AB98">
        <v>19953</v>
      </c>
      <c r="AC98">
        <v>13693</v>
      </c>
      <c r="AD98">
        <v>2922</v>
      </c>
      <c r="AE98" t="s">
        <v>11</v>
      </c>
      <c r="AF98">
        <v>3904</v>
      </c>
      <c r="AG98" t="s">
        <v>11</v>
      </c>
      <c r="AH98">
        <f t="shared" si="17"/>
        <v>2922</v>
      </c>
      <c r="AI98" t="str">
        <f t="shared" si="18"/>
        <v>NoData</v>
      </c>
      <c r="AJ98">
        <v>15011</v>
      </c>
      <c r="AK98" t="s">
        <v>11</v>
      </c>
      <c r="AL98">
        <v>27559</v>
      </c>
      <c r="AM98">
        <v>12407</v>
      </c>
      <c r="AN98">
        <v>0</v>
      </c>
      <c r="AO98" t="s">
        <v>11</v>
      </c>
      <c r="AP98" t="s">
        <v>11</v>
      </c>
      <c r="AQ98" t="s">
        <v>11</v>
      </c>
      <c r="AR98" t="s">
        <v>11</v>
      </c>
      <c r="AS98" t="s">
        <v>11</v>
      </c>
      <c r="AT98" t="str">
        <f t="shared" si="21"/>
        <v>NoData</v>
      </c>
      <c r="AU98" t="str">
        <f t="shared" si="22"/>
        <v>NoData</v>
      </c>
      <c r="AV98" t="s">
        <v>11</v>
      </c>
      <c r="AW98" t="s">
        <v>11</v>
      </c>
      <c r="AX98" t="s">
        <v>11</v>
      </c>
      <c r="AY98" t="s">
        <v>11</v>
      </c>
      <c r="AZ98" t="str">
        <f t="shared" si="13"/>
        <v>NoData</v>
      </c>
      <c r="BA98" t="str">
        <f t="shared" si="14"/>
        <v>NoData</v>
      </c>
      <c r="BB98">
        <f t="shared" si="19"/>
        <v>0</v>
      </c>
      <c r="BC98" t="str">
        <f t="shared" si="20"/>
        <v>NoData</v>
      </c>
      <c r="BD98" t="s">
        <v>11</v>
      </c>
      <c r="BE98" t="s">
        <v>11</v>
      </c>
      <c r="BF98" t="s">
        <v>11</v>
      </c>
      <c r="BG98" t="s">
        <v>11</v>
      </c>
      <c r="BH98">
        <v>0</v>
      </c>
      <c r="BI98" t="s">
        <v>11</v>
      </c>
      <c r="BJ98">
        <v>91</v>
      </c>
      <c r="BK98" t="s">
        <v>11</v>
      </c>
      <c r="BL98" t="s">
        <v>11</v>
      </c>
      <c r="BM98" t="s">
        <v>11</v>
      </c>
      <c r="BN98" t="s">
        <v>11</v>
      </c>
      <c r="BO98" t="s">
        <v>11</v>
      </c>
      <c r="BP98" t="str">
        <f t="shared" si="15"/>
        <v>NoData</v>
      </c>
      <c r="BQ98" t="str">
        <f t="shared" si="16"/>
        <v>NoData</v>
      </c>
      <c r="BR98" t="s">
        <v>11</v>
      </c>
      <c r="BS98" t="s">
        <v>11</v>
      </c>
      <c r="BT98" t="s">
        <v>11</v>
      </c>
      <c r="BU98" t="s">
        <v>11</v>
      </c>
    </row>
    <row r="99" spans="1:73" x14ac:dyDescent="0.25">
      <c r="A99" s="5">
        <v>28795</v>
      </c>
      <c r="B99">
        <v>491</v>
      </c>
      <c r="C99" t="s">
        <v>11</v>
      </c>
      <c r="D99" t="s">
        <v>11</v>
      </c>
      <c r="E99" t="s">
        <v>11</v>
      </c>
      <c r="F99">
        <v>887</v>
      </c>
      <c r="G99" t="s">
        <v>11</v>
      </c>
      <c r="H99">
        <v>554</v>
      </c>
      <c r="I99" t="s">
        <v>11</v>
      </c>
      <c r="J99">
        <v>863</v>
      </c>
      <c r="K99" t="s">
        <v>11</v>
      </c>
      <c r="L99">
        <v>14722</v>
      </c>
      <c r="M99">
        <v>-1561</v>
      </c>
      <c r="N99">
        <v>327</v>
      </c>
      <c r="O99" t="s">
        <v>11</v>
      </c>
      <c r="P99" t="s">
        <v>11</v>
      </c>
      <c r="Q99" t="s">
        <v>11</v>
      </c>
      <c r="R99" t="s">
        <v>11</v>
      </c>
      <c r="S99" t="s">
        <v>11</v>
      </c>
      <c r="T99" s="34">
        <v>47074</v>
      </c>
      <c r="U99" s="34">
        <v>10838</v>
      </c>
      <c r="V99" s="34">
        <v>2031</v>
      </c>
      <c r="W99" t="s">
        <v>11</v>
      </c>
      <c r="X99">
        <v>1643</v>
      </c>
      <c r="Y99" t="s">
        <v>11</v>
      </c>
      <c r="Z99">
        <v>2518</v>
      </c>
      <c r="AA99">
        <v>2184</v>
      </c>
      <c r="AB99">
        <v>13252</v>
      </c>
      <c r="AC99">
        <v>7298</v>
      </c>
      <c r="AD99">
        <v>1790</v>
      </c>
      <c r="AE99" t="s">
        <v>11</v>
      </c>
      <c r="AF99">
        <v>4679</v>
      </c>
      <c r="AG99" t="s">
        <v>11</v>
      </c>
      <c r="AH99">
        <f t="shared" si="17"/>
        <v>1790</v>
      </c>
      <c r="AI99" t="str">
        <f t="shared" si="18"/>
        <v>NoData</v>
      </c>
      <c r="AJ99">
        <v>10293</v>
      </c>
      <c r="AK99" t="s">
        <v>11</v>
      </c>
      <c r="AL99">
        <v>20327</v>
      </c>
      <c r="AM99">
        <v>5980</v>
      </c>
      <c r="AN99">
        <v>0</v>
      </c>
      <c r="AO99" t="s">
        <v>11</v>
      </c>
      <c r="AP99" t="s">
        <v>11</v>
      </c>
      <c r="AQ99" t="s">
        <v>11</v>
      </c>
      <c r="AR99" t="s">
        <v>11</v>
      </c>
      <c r="AS99" t="s">
        <v>11</v>
      </c>
      <c r="AT99" t="str">
        <f t="shared" si="21"/>
        <v>NoData</v>
      </c>
      <c r="AU99" t="str">
        <f t="shared" si="22"/>
        <v>NoData</v>
      </c>
      <c r="AV99" t="s">
        <v>11</v>
      </c>
      <c r="AW99" t="s">
        <v>11</v>
      </c>
      <c r="AX99" t="s">
        <v>11</v>
      </c>
      <c r="AY99" t="s">
        <v>11</v>
      </c>
      <c r="AZ99" t="str">
        <f t="shared" si="13"/>
        <v>NoData</v>
      </c>
      <c r="BA99" t="str">
        <f t="shared" si="14"/>
        <v>NoData</v>
      </c>
      <c r="BB99">
        <f t="shared" si="19"/>
        <v>0</v>
      </c>
      <c r="BC99" t="str">
        <f t="shared" si="20"/>
        <v>NoData</v>
      </c>
      <c r="BD99" t="s">
        <v>11</v>
      </c>
      <c r="BE99" t="s">
        <v>11</v>
      </c>
      <c r="BF99" t="s">
        <v>11</v>
      </c>
      <c r="BG99" t="s">
        <v>11</v>
      </c>
      <c r="BH99">
        <v>0</v>
      </c>
      <c r="BI99" t="s">
        <v>11</v>
      </c>
      <c r="BJ99">
        <v>57</v>
      </c>
      <c r="BK99" t="s">
        <v>11</v>
      </c>
      <c r="BL99" t="s">
        <v>11</v>
      </c>
      <c r="BM99" t="s">
        <v>11</v>
      </c>
      <c r="BN99" t="s">
        <v>11</v>
      </c>
      <c r="BO99" t="s">
        <v>11</v>
      </c>
      <c r="BP99" t="str">
        <f t="shared" si="15"/>
        <v>NoData</v>
      </c>
      <c r="BQ99" t="str">
        <f t="shared" si="16"/>
        <v>NoData</v>
      </c>
      <c r="BR99" t="s">
        <v>11</v>
      </c>
      <c r="BS99" t="s">
        <v>11</v>
      </c>
      <c r="BT99" t="s">
        <v>11</v>
      </c>
      <c r="BU99" t="s">
        <v>11</v>
      </c>
    </row>
    <row r="100" spans="1:73" x14ac:dyDescent="0.25">
      <c r="A100" s="5">
        <v>28825</v>
      </c>
      <c r="B100">
        <v>177</v>
      </c>
      <c r="C100" t="s">
        <v>11</v>
      </c>
      <c r="D100" t="s">
        <v>11</v>
      </c>
      <c r="E100" t="s">
        <v>11</v>
      </c>
      <c r="F100">
        <v>258</v>
      </c>
      <c r="G100" t="s">
        <v>11</v>
      </c>
      <c r="H100">
        <v>161</v>
      </c>
      <c r="I100" t="s">
        <v>11</v>
      </c>
      <c r="J100">
        <v>821</v>
      </c>
      <c r="K100" t="s">
        <v>11</v>
      </c>
      <c r="L100">
        <v>15440</v>
      </c>
      <c r="M100">
        <v>1236</v>
      </c>
      <c r="N100">
        <v>60</v>
      </c>
      <c r="O100" t="s">
        <v>11</v>
      </c>
      <c r="P100" t="s">
        <v>11</v>
      </c>
      <c r="Q100" t="s">
        <v>11</v>
      </c>
      <c r="R100" t="s">
        <v>11</v>
      </c>
      <c r="S100" t="s">
        <v>11</v>
      </c>
      <c r="T100" s="34">
        <v>36098</v>
      </c>
      <c r="U100" s="34">
        <v>273</v>
      </c>
      <c r="V100" s="34">
        <v>634</v>
      </c>
      <c r="W100" t="s">
        <v>11</v>
      </c>
      <c r="X100">
        <v>1333</v>
      </c>
      <c r="Y100" t="s">
        <v>11</v>
      </c>
      <c r="Z100">
        <v>1582</v>
      </c>
      <c r="AA100">
        <v>1346</v>
      </c>
      <c r="AB100">
        <v>10671</v>
      </c>
      <c r="AC100">
        <v>5111</v>
      </c>
      <c r="AD100">
        <v>1563</v>
      </c>
      <c r="AE100" t="s">
        <v>11</v>
      </c>
      <c r="AF100">
        <v>3177</v>
      </c>
      <c r="AG100" t="s">
        <v>11</v>
      </c>
      <c r="AH100">
        <f t="shared" si="17"/>
        <v>1563</v>
      </c>
      <c r="AI100" t="str">
        <f t="shared" si="18"/>
        <v>NoData</v>
      </c>
      <c r="AJ100">
        <v>10196</v>
      </c>
      <c r="AK100" t="s">
        <v>11</v>
      </c>
      <c r="AL100">
        <v>16272</v>
      </c>
      <c r="AM100">
        <v>3139</v>
      </c>
      <c r="AN100">
        <v>0</v>
      </c>
      <c r="AO100" t="s">
        <v>11</v>
      </c>
      <c r="AP100" t="s">
        <v>11</v>
      </c>
      <c r="AQ100" t="s">
        <v>11</v>
      </c>
      <c r="AR100" t="s">
        <v>11</v>
      </c>
      <c r="AS100" t="s">
        <v>11</v>
      </c>
      <c r="AT100" t="str">
        <f t="shared" si="21"/>
        <v>NoData</v>
      </c>
      <c r="AU100" t="str">
        <f t="shared" si="22"/>
        <v>NoData</v>
      </c>
      <c r="AV100" t="s">
        <v>11</v>
      </c>
      <c r="AW100" t="s">
        <v>11</v>
      </c>
      <c r="AX100" t="s">
        <v>11</v>
      </c>
      <c r="AY100" t="s">
        <v>11</v>
      </c>
      <c r="AZ100" t="str">
        <f t="shared" si="13"/>
        <v>NoData</v>
      </c>
      <c r="BA100" t="str">
        <f t="shared" si="14"/>
        <v>NoData</v>
      </c>
      <c r="BB100">
        <f t="shared" si="19"/>
        <v>0</v>
      </c>
      <c r="BC100" t="str">
        <f t="shared" si="20"/>
        <v>NoData</v>
      </c>
      <c r="BD100" t="s">
        <v>11</v>
      </c>
      <c r="BE100" t="s">
        <v>11</v>
      </c>
      <c r="BF100" t="s">
        <v>11</v>
      </c>
      <c r="BG100" t="s">
        <v>11</v>
      </c>
      <c r="BH100">
        <v>0</v>
      </c>
      <c r="BI100" t="s">
        <v>11</v>
      </c>
      <c r="BJ100">
        <v>73</v>
      </c>
      <c r="BK100" t="s">
        <v>11</v>
      </c>
      <c r="BL100" t="s">
        <v>11</v>
      </c>
      <c r="BM100" t="s">
        <v>11</v>
      </c>
      <c r="BN100" t="s">
        <v>11</v>
      </c>
      <c r="BO100" t="s">
        <v>11</v>
      </c>
      <c r="BP100" t="str">
        <f t="shared" si="15"/>
        <v>NoData</v>
      </c>
      <c r="BQ100" t="str">
        <f t="shared" si="16"/>
        <v>NoData</v>
      </c>
      <c r="BR100" t="s">
        <v>11</v>
      </c>
      <c r="BS100" t="s">
        <v>11</v>
      </c>
      <c r="BT100" t="s">
        <v>11</v>
      </c>
      <c r="BU100" t="s">
        <v>11</v>
      </c>
    </row>
    <row r="101" spans="1:73" x14ac:dyDescent="0.25">
      <c r="A101" s="5">
        <v>28856</v>
      </c>
      <c r="B101">
        <v>501</v>
      </c>
      <c r="C101" t="s">
        <v>11</v>
      </c>
      <c r="D101" t="s">
        <v>11</v>
      </c>
      <c r="E101" t="s">
        <v>11</v>
      </c>
      <c r="F101">
        <v>522</v>
      </c>
      <c r="G101" t="s">
        <v>11</v>
      </c>
      <c r="H101">
        <v>379</v>
      </c>
      <c r="I101" t="s">
        <v>11</v>
      </c>
      <c r="J101">
        <v>405</v>
      </c>
      <c r="K101" t="s">
        <v>11</v>
      </c>
      <c r="L101">
        <v>4340</v>
      </c>
      <c r="M101">
        <v>-7915</v>
      </c>
      <c r="N101">
        <v>331</v>
      </c>
      <c r="O101" t="s">
        <v>11</v>
      </c>
      <c r="P101" t="s">
        <v>11</v>
      </c>
      <c r="Q101" t="s">
        <v>11</v>
      </c>
      <c r="R101" t="s">
        <v>11</v>
      </c>
      <c r="S101" t="s">
        <v>11</v>
      </c>
      <c r="T101" s="34">
        <v>30102</v>
      </c>
      <c r="U101" s="34">
        <v>-5764</v>
      </c>
      <c r="V101" s="34">
        <v>727</v>
      </c>
      <c r="W101" t="s">
        <v>11</v>
      </c>
      <c r="X101">
        <v>1071</v>
      </c>
      <c r="Y101" t="s">
        <v>11</v>
      </c>
      <c r="Z101">
        <v>1533</v>
      </c>
      <c r="AA101">
        <v>1343</v>
      </c>
      <c r="AB101">
        <v>8413</v>
      </c>
      <c r="AC101">
        <v>3438</v>
      </c>
      <c r="AD101">
        <v>660</v>
      </c>
      <c r="AE101" t="s">
        <v>11</v>
      </c>
      <c r="AF101">
        <v>1319</v>
      </c>
      <c r="AG101" t="s">
        <v>11</v>
      </c>
      <c r="AH101">
        <f t="shared" si="17"/>
        <v>660</v>
      </c>
      <c r="AI101" t="str">
        <f t="shared" si="18"/>
        <v>NoData</v>
      </c>
      <c r="AJ101">
        <v>6954</v>
      </c>
      <c r="AK101" t="s">
        <v>11</v>
      </c>
      <c r="AL101">
        <v>3879</v>
      </c>
      <c r="AM101">
        <v>-8645</v>
      </c>
      <c r="AN101">
        <v>0</v>
      </c>
      <c r="AO101" t="s">
        <v>11</v>
      </c>
      <c r="AP101" t="s">
        <v>11</v>
      </c>
      <c r="AQ101" t="s">
        <v>11</v>
      </c>
      <c r="AR101" t="s">
        <v>11</v>
      </c>
      <c r="AS101" t="s">
        <v>11</v>
      </c>
      <c r="AT101" t="str">
        <f t="shared" si="21"/>
        <v>NoData</v>
      </c>
      <c r="AU101" t="str">
        <f t="shared" si="22"/>
        <v>NoData</v>
      </c>
      <c r="AV101" t="s">
        <v>11</v>
      </c>
      <c r="AW101" t="s">
        <v>11</v>
      </c>
      <c r="AX101" t="s">
        <v>11</v>
      </c>
      <c r="AY101" t="s">
        <v>11</v>
      </c>
      <c r="AZ101" t="str">
        <f t="shared" si="13"/>
        <v>NoData</v>
      </c>
      <c r="BA101" t="str">
        <f t="shared" si="14"/>
        <v>NoData</v>
      </c>
      <c r="BB101">
        <f t="shared" si="19"/>
        <v>0</v>
      </c>
      <c r="BC101" t="str">
        <f t="shared" si="20"/>
        <v>NoData</v>
      </c>
      <c r="BD101" t="s">
        <v>11</v>
      </c>
      <c r="BE101" t="s">
        <v>11</v>
      </c>
      <c r="BF101" t="s">
        <v>11</v>
      </c>
      <c r="BG101" t="s">
        <v>11</v>
      </c>
      <c r="BH101" t="s">
        <v>11</v>
      </c>
      <c r="BI101" t="s">
        <v>11</v>
      </c>
      <c r="BJ101">
        <v>42</v>
      </c>
      <c r="BK101" t="s">
        <v>11</v>
      </c>
      <c r="BL101" t="s">
        <v>11</v>
      </c>
      <c r="BM101" t="s">
        <v>11</v>
      </c>
      <c r="BN101" t="s">
        <v>11</v>
      </c>
      <c r="BO101" t="s">
        <v>11</v>
      </c>
      <c r="BP101" t="str">
        <f t="shared" si="15"/>
        <v>NoData</v>
      </c>
      <c r="BQ101" t="str">
        <f t="shared" si="16"/>
        <v>NoData</v>
      </c>
      <c r="BR101" t="s">
        <v>11</v>
      </c>
      <c r="BS101" t="s">
        <v>11</v>
      </c>
      <c r="BT101" t="s">
        <v>11</v>
      </c>
      <c r="BU101" t="s">
        <v>11</v>
      </c>
    </row>
    <row r="102" spans="1:73" x14ac:dyDescent="0.25">
      <c r="A102" s="5">
        <v>28887</v>
      </c>
      <c r="B102">
        <v>913</v>
      </c>
      <c r="C102" t="s">
        <v>11</v>
      </c>
      <c r="D102" t="s">
        <v>11</v>
      </c>
      <c r="E102" t="s">
        <v>11</v>
      </c>
      <c r="F102">
        <v>738</v>
      </c>
      <c r="G102" t="s">
        <v>11</v>
      </c>
      <c r="H102">
        <v>536</v>
      </c>
      <c r="I102" t="s">
        <v>11</v>
      </c>
      <c r="J102">
        <v>647</v>
      </c>
      <c r="K102" t="s">
        <v>11</v>
      </c>
      <c r="L102">
        <v>30242</v>
      </c>
      <c r="M102">
        <v>19784</v>
      </c>
      <c r="N102">
        <v>253</v>
      </c>
      <c r="O102" t="s">
        <v>11</v>
      </c>
      <c r="P102" t="s">
        <v>11</v>
      </c>
      <c r="Q102" t="s">
        <v>11</v>
      </c>
      <c r="R102" t="s">
        <v>11</v>
      </c>
      <c r="S102" t="s">
        <v>11</v>
      </c>
      <c r="T102" s="34">
        <v>53475</v>
      </c>
      <c r="U102" s="34">
        <v>24439</v>
      </c>
      <c r="V102" s="34">
        <v>2156</v>
      </c>
      <c r="W102" t="s">
        <v>11</v>
      </c>
      <c r="X102">
        <v>3620</v>
      </c>
      <c r="Y102" t="s">
        <v>11</v>
      </c>
      <c r="Z102">
        <v>2901</v>
      </c>
      <c r="AA102">
        <v>2811</v>
      </c>
      <c r="AB102">
        <v>17306</v>
      </c>
      <c r="AC102">
        <v>12178</v>
      </c>
      <c r="AD102">
        <v>1735</v>
      </c>
      <c r="AE102" t="s">
        <v>11</v>
      </c>
      <c r="AF102">
        <v>5137</v>
      </c>
      <c r="AG102" t="s">
        <v>11</v>
      </c>
      <c r="AH102">
        <f t="shared" si="17"/>
        <v>1735</v>
      </c>
      <c r="AI102" t="str">
        <f t="shared" si="18"/>
        <v>NoData</v>
      </c>
      <c r="AJ102">
        <v>10520</v>
      </c>
      <c r="AK102" t="s">
        <v>11</v>
      </c>
      <c r="AL102">
        <v>16255</v>
      </c>
      <c r="AM102">
        <v>4102</v>
      </c>
      <c r="AN102">
        <v>0</v>
      </c>
      <c r="AO102" t="s">
        <v>11</v>
      </c>
      <c r="AP102" t="s">
        <v>11</v>
      </c>
      <c r="AQ102" t="s">
        <v>11</v>
      </c>
      <c r="AR102" t="s">
        <v>11</v>
      </c>
      <c r="AS102" t="s">
        <v>11</v>
      </c>
      <c r="AT102" t="str">
        <f t="shared" si="21"/>
        <v>NoData</v>
      </c>
      <c r="AU102" t="str">
        <f t="shared" si="22"/>
        <v>NoData</v>
      </c>
      <c r="AV102" t="s">
        <v>11</v>
      </c>
      <c r="AW102" t="s">
        <v>11</v>
      </c>
      <c r="AX102" t="s">
        <v>11</v>
      </c>
      <c r="AY102" t="s">
        <v>11</v>
      </c>
      <c r="AZ102" t="str">
        <f t="shared" si="13"/>
        <v>NoData</v>
      </c>
      <c r="BA102" t="str">
        <f t="shared" si="14"/>
        <v>NoData</v>
      </c>
      <c r="BB102">
        <f t="shared" si="19"/>
        <v>0</v>
      </c>
      <c r="BC102" t="str">
        <f t="shared" si="20"/>
        <v>NoData</v>
      </c>
      <c r="BD102" t="s">
        <v>11</v>
      </c>
      <c r="BE102" t="s">
        <v>11</v>
      </c>
      <c r="BF102" t="s">
        <v>11</v>
      </c>
      <c r="BG102" t="s">
        <v>11</v>
      </c>
      <c r="BH102" t="s">
        <v>11</v>
      </c>
      <c r="BI102" t="s">
        <v>11</v>
      </c>
      <c r="BJ102">
        <v>108</v>
      </c>
      <c r="BK102" t="s">
        <v>11</v>
      </c>
      <c r="BL102" t="s">
        <v>11</v>
      </c>
      <c r="BM102" t="s">
        <v>11</v>
      </c>
      <c r="BN102" t="s">
        <v>11</v>
      </c>
      <c r="BO102" t="s">
        <v>11</v>
      </c>
      <c r="BP102" t="str">
        <f t="shared" si="15"/>
        <v>NoData</v>
      </c>
      <c r="BQ102" t="str">
        <f t="shared" si="16"/>
        <v>NoData</v>
      </c>
      <c r="BR102" t="s">
        <v>11</v>
      </c>
      <c r="BS102" t="s">
        <v>11</v>
      </c>
      <c r="BT102" t="s">
        <v>11</v>
      </c>
      <c r="BU102" t="s">
        <v>11</v>
      </c>
    </row>
    <row r="103" spans="1:73" x14ac:dyDescent="0.25">
      <c r="A103" s="5">
        <v>28915</v>
      </c>
      <c r="B103">
        <v>1267</v>
      </c>
      <c r="C103" t="s">
        <v>11</v>
      </c>
      <c r="D103" t="s">
        <v>11</v>
      </c>
      <c r="E103" t="s">
        <v>11</v>
      </c>
      <c r="F103">
        <v>1101</v>
      </c>
      <c r="G103" t="s">
        <v>11</v>
      </c>
      <c r="H103">
        <v>799</v>
      </c>
      <c r="I103" t="s">
        <v>11</v>
      </c>
      <c r="J103">
        <v>2223</v>
      </c>
      <c r="K103" t="s">
        <v>11</v>
      </c>
      <c r="L103">
        <v>51010</v>
      </c>
      <c r="M103">
        <v>32543</v>
      </c>
      <c r="N103">
        <v>444</v>
      </c>
      <c r="O103" t="s">
        <v>11</v>
      </c>
      <c r="P103" t="s">
        <v>11</v>
      </c>
      <c r="Q103" t="s">
        <v>11</v>
      </c>
      <c r="R103" t="s">
        <v>11</v>
      </c>
      <c r="S103" t="s">
        <v>11</v>
      </c>
      <c r="T103" s="34">
        <v>81609</v>
      </c>
      <c r="U103" s="34">
        <v>45011</v>
      </c>
      <c r="V103" s="34">
        <v>4597</v>
      </c>
      <c r="W103" t="s">
        <v>11</v>
      </c>
      <c r="X103">
        <v>3501</v>
      </c>
      <c r="Y103" t="s">
        <v>11</v>
      </c>
      <c r="Z103">
        <v>3241</v>
      </c>
      <c r="AA103">
        <v>3032</v>
      </c>
      <c r="AB103">
        <v>27007</v>
      </c>
      <c r="AC103">
        <v>20694</v>
      </c>
      <c r="AD103">
        <v>1904</v>
      </c>
      <c r="AE103" t="s">
        <v>11</v>
      </c>
      <c r="AF103">
        <v>3936</v>
      </c>
      <c r="AG103" t="s">
        <v>11</v>
      </c>
      <c r="AH103">
        <f t="shared" si="17"/>
        <v>1904</v>
      </c>
      <c r="AI103" t="str">
        <f t="shared" si="18"/>
        <v>NoData</v>
      </c>
      <c r="AJ103">
        <v>12871</v>
      </c>
      <c r="AK103" t="s">
        <v>11</v>
      </c>
      <c r="AL103">
        <v>21064</v>
      </c>
      <c r="AM103">
        <v>6100</v>
      </c>
      <c r="AN103">
        <v>169</v>
      </c>
      <c r="AO103" t="s">
        <v>11</v>
      </c>
      <c r="AP103" t="s">
        <v>11</v>
      </c>
      <c r="AQ103" t="s">
        <v>11</v>
      </c>
      <c r="AR103" t="s">
        <v>11</v>
      </c>
      <c r="AS103" t="s">
        <v>11</v>
      </c>
      <c r="AT103" t="str">
        <f t="shared" si="21"/>
        <v>NoData</v>
      </c>
      <c r="AU103" t="str">
        <f t="shared" si="22"/>
        <v>NoData</v>
      </c>
      <c r="AV103" t="s">
        <v>11</v>
      </c>
      <c r="AW103" t="s">
        <v>11</v>
      </c>
      <c r="AX103" t="s">
        <v>11</v>
      </c>
      <c r="AY103" t="s">
        <v>11</v>
      </c>
      <c r="AZ103" t="str">
        <f t="shared" si="13"/>
        <v>NoData</v>
      </c>
      <c r="BA103" t="str">
        <f t="shared" si="14"/>
        <v>NoData</v>
      </c>
      <c r="BB103">
        <f t="shared" si="19"/>
        <v>169</v>
      </c>
      <c r="BC103" t="str">
        <f t="shared" si="20"/>
        <v>NoData</v>
      </c>
      <c r="BD103" t="s">
        <v>11</v>
      </c>
      <c r="BE103" t="s">
        <v>11</v>
      </c>
      <c r="BF103" t="s">
        <v>11</v>
      </c>
      <c r="BG103" t="s">
        <v>11</v>
      </c>
      <c r="BH103" t="s">
        <v>11</v>
      </c>
      <c r="BI103" t="s">
        <v>11</v>
      </c>
      <c r="BJ103">
        <v>67</v>
      </c>
      <c r="BK103" t="s">
        <v>11</v>
      </c>
      <c r="BL103" t="s">
        <v>11</v>
      </c>
      <c r="BM103" t="s">
        <v>11</v>
      </c>
      <c r="BN103" t="s">
        <v>11</v>
      </c>
      <c r="BO103" t="s">
        <v>11</v>
      </c>
      <c r="BP103" t="str">
        <f t="shared" si="15"/>
        <v>NoData</v>
      </c>
      <c r="BQ103" t="str">
        <f t="shared" si="16"/>
        <v>NoData</v>
      </c>
      <c r="BR103" t="s">
        <v>11</v>
      </c>
      <c r="BS103" t="s">
        <v>11</v>
      </c>
      <c r="BT103" t="s">
        <v>11</v>
      </c>
      <c r="BU103" t="s">
        <v>11</v>
      </c>
    </row>
    <row r="104" spans="1:73" x14ac:dyDescent="0.25">
      <c r="A104" s="5">
        <v>28946</v>
      </c>
      <c r="B104">
        <v>3356</v>
      </c>
      <c r="C104" t="s">
        <v>11</v>
      </c>
      <c r="D104" t="s">
        <v>11</v>
      </c>
      <c r="E104" t="s">
        <v>11</v>
      </c>
      <c r="F104">
        <v>2426</v>
      </c>
      <c r="G104" t="s">
        <v>11</v>
      </c>
      <c r="H104">
        <v>1761</v>
      </c>
      <c r="I104" t="s">
        <v>11</v>
      </c>
      <c r="J104">
        <v>2666</v>
      </c>
      <c r="K104" t="s">
        <v>11</v>
      </c>
      <c r="L104">
        <v>60346</v>
      </c>
      <c r="M104">
        <v>39205</v>
      </c>
      <c r="N104">
        <v>1092</v>
      </c>
      <c r="O104" t="s">
        <v>11</v>
      </c>
      <c r="P104" t="s">
        <v>11</v>
      </c>
      <c r="Q104" t="s">
        <v>11</v>
      </c>
      <c r="R104" t="s">
        <v>11</v>
      </c>
      <c r="S104" t="s">
        <v>11</v>
      </c>
      <c r="T104" s="34">
        <v>105879</v>
      </c>
      <c r="U104" s="34">
        <v>64234</v>
      </c>
      <c r="V104" s="34">
        <v>4634</v>
      </c>
      <c r="W104" t="s">
        <v>11</v>
      </c>
      <c r="X104">
        <v>3709</v>
      </c>
      <c r="Y104" t="s">
        <v>11</v>
      </c>
      <c r="Z104">
        <v>4428</v>
      </c>
      <c r="AA104">
        <v>4219</v>
      </c>
      <c r="AB104">
        <v>30820</v>
      </c>
      <c r="AC104">
        <v>24376</v>
      </c>
      <c r="AD104">
        <v>3142</v>
      </c>
      <c r="AE104" t="s">
        <v>11</v>
      </c>
      <c r="AF104">
        <v>5811</v>
      </c>
      <c r="AG104" t="s">
        <v>11</v>
      </c>
      <c r="AH104">
        <f t="shared" si="17"/>
        <v>3142</v>
      </c>
      <c r="AI104" t="str">
        <f t="shared" si="18"/>
        <v>NoData</v>
      </c>
      <c r="AJ104">
        <v>19675</v>
      </c>
      <c r="AK104" t="s">
        <v>11</v>
      </c>
      <c r="AL104">
        <v>30374</v>
      </c>
      <c r="AM104">
        <v>15722</v>
      </c>
      <c r="AN104">
        <v>142</v>
      </c>
      <c r="AO104" t="s">
        <v>11</v>
      </c>
      <c r="AP104" t="s">
        <v>11</v>
      </c>
      <c r="AQ104" t="s">
        <v>11</v>
      </c>
      <c r="AR104" t="s">
        <v>11</v>
      </c>
      <c r="AS104" t="s">
        <v>11</v>
      </c>
      <c r="AT104" t="str">
        <f t="shared" si="21"/>
        <v>NoData</v>
      </c>
      <c r="AU104" t="str">
        <f t="shared" si="22"/>
        <v>NoData</v>
      </c>
      <c r="AV104" t="s">
        <v>11</v>
      </c>
      <c r="AW104" t="s">
        <v>11</v>
      </c>
      <c r="AX104" t="s">
        <v>11</v>
      </c>
      <c r="AY104" t="s">
        <v>11</v>
      </c>
      <c r="AZ104" t="str">
        <f t="shared" si="13"/>
        <v>NoData</v>
      </c>
      <c r="BA104" t="str">
        <f t="shared" si="14"/>
        <v>NoData</v>
      </c>
      <c r="BB104">
        <f t="shared" si="19"/>
        <v>142</v>
      </c>
      <c r="BC104" t="str">
        <f t="shared" si="20"/>
        <v>NoData</v>
      </c>
      <c r="BD104" t="s">
        <v>11</v>
      </c>
      <c r="BE104" t="s">
        <v>11</v>
      </c>
      <c r="BF104" t="s">
        <v>11</v>
      </c>
      <c r="BG104" t="s">
        <v>11</v>
      </c>
      <c r="BH104" t="s">
        <v>11</v>
      </c>
      <c r="BI104" t="s">
        <v>11</v>
      </c>
      <c r="BJ104">
        <v>101</v>
      </c>
      <c r="BK104" t="s">
        <v>11</v>
      </c>
      <c r="BL104" t="s">
        <v>11</v>
      </c>
      <c r="BM104" t="s">
        <v>11</v>
      </c>
      <c r="BN104" t="s">
        <v>11</v>
      </c>
      <c r="BO104" t="s">
        <v>11</v>
      </c>
      <c r="BP104" t="str">
        <f t="shared" si="15"/>
        <v>NoData</v>
      </c>
      <c r="BQ104" t="str">
        <f t="shared" si="16"/>
        <v>NoData</v>
      </c>
      <c r="BR104" t="s">
        <v>11</v>
      </c>
      <c r="BS104" t="s">
        <v>11</v>
      </c>
      <c r="BT104" t="s">
        <v>11</v>
      </c>
      <c r="BU104" t="s">
        <v>11</v>
      </c>
    </row>
    <row r="105" spans="1:73" x14ac:dyDescent="0.25">
      <c r="A105" s="5">
        <v>28976</v>
      </c>
      <c r="B105">
        <v>2840</v>
      </c>
      <c r="C105" t="s">
        <v>11</v>
      </c>
      <c r="D105" t="s">
        <v>11</v>
      </c>
      <c r="E105" t="s">
        <v>11</v>
      </c>
      <c r="F105">
        <v>1573</v>
      </c>
      <c r="G105" t="s">
        <v>11</v>
      </c>
      <c r="H105">
        <v>1142</v>
      </c>
      <c r="I105" t="s">
        <v>11</v>
      </c>
      <c r="J105">
        <v>2435</v>
      </c>
      <c r="K105" t="s">
        <v>11</v>
      </c>
      <c r="L105">
        <v>63288</v>
      </c>
      <c r="M105">
        <v>38067</v>
      </c>
      <c r="N105">
        <v>1582</v>
      </c>
      <c r="O105" t="s">
        <v>11</v>
      </c>
      <c r="P105" t="s">
        <v>11</v>
      </c>
      <c r="Q105" t="s">
        <v>11</v>
      </c>
      <c r="R105" t="s">
        <v>11</v>
      </c>
      <c r="S105" t="s">
        <v>11</v>
      </c>
      <c r="T105" s="34">
        <v>107150</v>
      </c>
      <c r="U105" s="34">
        <v>61620</v>
      </c>
      <c r="V105" s="34">
        <v>3999</v>
      </c>
      <c r="W105" t="s">
        <v>11</v>
      </c>
      <c r="X105">
        <v>5313</v>
      </c>
      <c r="Y105" t="s">
        <v>11</v>
      </c>
      <c r="Z105">
        <v>4925</v>
      </c>
      <c r="AA105">
        <v>4552</v>
      </c>
      <c r="AB105">
        <v>29794</v>
      </c>
      <c r="AC105">
        <v>23213</v>
      </c>
      <c r="AD105">
        <v>4348</v>
      </c>
      <c r="AE105" t="s">
        <v>11</v>
      </c>
      <c r="AF105">
        <v>6823</v>
      </c>
      <c r="AG105" t="s">
        <v>11</v>
      </c>
      <c r="AH105">
        <f t="shared" si="17"/>
        <v>4348</v>
      </c>
      <c r="AI105" t="str">
        <f t="shared" si="18"/>
        <v>NoData</v>
      </c>
      <c r="AJ105">
        <v>26951</v>
      </c>
      <c r="AK105" t="s">
        <v>11</v>
      </c>
      <c r="AL105">
        <v>33707</v>
      </c>
      <c r="AM105">
        <v>17173</v>
      </c>
      <c r="AN105">
        <v>104</v>
      </c>
      <c r="AO105" t="s">
        <v>11</v>
      </c>
      <c r="AP105" t="s">
        <v>11</v>
      </c>
      <c r="AQ105" t="s">
        <v>11</v>
      </c>
      <c r="AR105" t="s">
        <v>11</v>
      </c>
      <c r="AS105" t="s">
        <v>11</v>
      </c>
      <c r="AT105" t="str">
        <f t="shared" si="21"/>
        <v>NoData</v>
      </c>
      <c r="AU105" t="str">
        <f t="shared" si="22"/>
        <v>NoData</v>
      </c>
      <c r="AV105" t="s">
        <v>11</v>
      </c>
      <c r="AW105" t="s">
        <v>11</v>
      </c>
      <c r="AX105" t="s">
        <v>11</v>
      </c>
      <c r="AY105" t="s">
        <v>11</v>
      </c>
      <c r="AZ105" t="str">
        <f t="shared" si="13"/>
        <v>NoData</v>
      </c>
      <c r="BA105" t="str">
        <f t="shared" si="14"/>
        <v>NoData</v>
      </c>
      <c r="BB105">
        <f t="shared" si="19"/>
        <v>104</v>
      </c>
      <c r="BC105" t="str">
        <f t="shared" si="20"/>
        <v>NoData</v>
      </c>
      <c r="BD105" t="s">
        <v>11</v>
      </c>
      <c r="BE105" t="s">
        <v>11</v>
      </c>
      <c r="BF105" t="s">
        <v>11</v>
      </c>
      <c r="BG105" t="s">
        <v>11</v>
      </c>
      <c r="BH105" t="s">
        <v>11</v>
      </c>
      <c r="BI105" t="s">
        <v>11</v>
      </c>
      <c r="BJ105">
        <v>92</v>
      </c>
      <c r="BK105" t="s">
        <v>11</v>
      </c>
      <c r="BL105" t="s">
        <v>11</v>
      </c>
      <c r="BM105" t="s">
        <v>11</v>
      </c>
      <c r="BN105" t="s">
        <v>11</v>
      </c>
      <c r="BO105" t="s">
        <v>11</v>
      </c>
      <c r="BP105" t="str">
        <f t="shared" si="15"/>
        <v>NoData</v>
      </c>
      <c r="BQ105" t="str">
        <f t="shared" si="16"/>
        <v>NoData</v>
      </c>
      <c r="BR105" t="s">
        <v>11</v>
      </c>
      <c r="BS105" t="s">
        <v>11</v>
      </c>
      <c r="BT105" t="s">
        <v>11</v>
      </c>
      <c r="BU105" t="s">
        <v>11</v>
      </c>
    </row>
    <row r="106" spans="1:73" x14ac:dyDescent="0.25">
      <c r="A106" s="5">
        <v>29007</v>
      </c>
      <c r="B106">
        <v>2982</v>
      </c>
      <c r="C106" t="s">
        <v>11</v>
      </c>
      <c r="D106" t="s">
        <v>11</v>
      </c>
      <c r="E106" t="s">
        <v>11</v>
      </c>
      <c r="F106">
        <v>1812</v>
      </c>
      <c r="G106" t="s">
        <v>11</v>
      </c>
      <c r="H106">
        <v>1315</v>
      </c>
      <c r="I106" t="s">
        <v>11</v>
      </c>
      <c r="J106">
        <v>1649</v>
      </c>
      <c r="K106" t="s">
        <v>11</v>
      </c>
      <c r="L106">
        <v>76809</v>
      </c>
      <c r="M106">
        <v>54374</v>
      </c>
      <c r="N106">
        <v>843</v>
      </c>
      <c r="O106" t="s">
        <v>11</v>
      </c>
      <c r="P106" t="s">
        <v>11</v>
      </c>
      <c r="Q106" t="s">
        <v>11</v>
      </c>
      <c r="R106" t="s">
        <v>11</v>
      </c>
      <c r="S106" t="s">
        <v>11</v>
      </c>
      <c r="T106" s="34">
        <v>107823</v>
      </c>
      <c r="U106" s="34">
        <v>64085</v>
      </c>
      <c r="V106" s="34">
        <v>6218</v>
      </c>
      <c r="W106" t="s">
        <v>11</v>
      </c>
      <c r="X106">
        <v>7486</v>
      </c>
      <c r="Y106" t="s">
        <v>11</v>
      </c>
      <c r="Z106">
        <v>4785</v>
      </c>
      <c r="AA106">
        <v>4299</v>
      </c>
      <c r="AB106">
        <v>34429</v>
      </c>
      <c r="AC106">
        <v>27545</v>
      </c>
      <c r="AD106">
        <v>4552</v>
      </c>
      <c r="AE106" t="s">
        <v>11</v>
      </c>
      <c r="AF106">
        <v>6633</v>
      </c>
      <c r="AG106" t="s">
        <v>11</v>
      </c>
      <c r="AH106">
        <f t="shared" si="17"/>
        <v>4552</v>
      </c>
      <c r="AI106" t="str">
        <f t="shared" si="18"/>
        <v>NoData</v>
      </c>
      <c r="AJ106">
        <v>29433</v>
      </c>
      <c r="AK106" t="s">
        <v>11</v>
      </c>
      <c r="AL106">
        <v>41359</v>
      </c>
      <c r="AM106">
        <v>26122</v>
      </c>
      <c r="AN106">
        <v>162</v>
      </c>
      <c r="AO106" t="s">
        <v>11</v>
      </c>
      <c r="AP106" t="s">
        <v>11</v>
      </c>
      <c r="AQ106" t="s">
        <v>11</v>
      </c>
      <c r="AR106" t="s">
        <v>11</v>
      </c>
      <c r="AS106" t="s">
        <v>11</v>
      </c>
      <c r="AT106" t="str">
        <f t="shared" si="21"/>
        <v>NoData</v>
      </c>
      <c r="AU106" t="str">
        <f t="shared" si="22"/>
        <v>NoData</v>
      </c>
      <c r="AV106" t="s">
        <v>11</v>
      </c>
      <c r="AW106" t="s">
        <v>11</v>
      </c>
      <c r="AX106" t="s">
        <v>11</v>
      </c>
      <c r="AY106" t="s">
        <v>11</v>
      </c>
      <c r="AZ106" t="str">
        <f t="shared" si="13"/>
        <v>NoData</v>
      </c>
      <c r="BA106" t="str">
        <f t="shared" si="14"/>
        <v>NoData</v>
      </c>
      <c r="BB106">
        <f t="shared" si="19"/>
        <v>162</v>
      </c>
      <c r="BC106" t="str">
        <f t="shared" si="20"/>
        <v>NoData</v>
      </c>
      <c r="BD106" t="s">
        <v>11</v>
      </c>
      <c r="BE106" t="s">
        <v>11</v>
      </c>
      <c r="BF106" t="s">
        <v>11</v>
      </c>
      <c r="BG106" t="s">
        <v>11</v>
      </c>
      <c r="BH106" t="s">
        <v>11</v>
      </c>
      <c r="BI106" t="s">
        <v>11</v>
      </c>
      <c r="BJ106">
        <v>152</v>
      </c>
      <c r="BK106" t="s">
        <v>11</v>
      </c>
      <c r="BL106" t="s">
        <v>11</v>
      </c>
      <c r="BM106" t="s">
        <v>11</v>
      </c>
      <c r="BN106" t="s">
        <v>11</v>
      </c>
      <c r="BO106" t="s">
        <v>11</v>
      </c>
      <c r="BP106" t="str">
        <f t="shared" si="15"/>
        <v>NoData</v>
      </c>
      <c r="BQ106" t="str">
        <f t="shared" si="16"/>
        <v>NoData</v>
      </c>
      <c r="BR106" t="s">
        <v>11</v>
      </c>
      <c r="BS106" t="s">
        <v>11</v>
      </c>
      <c r="BT106" t="s">
        <v>11</v>
      </c>
      <c r="BU106" t="s">
        <v>11</v>
      </c>
    </row>
    <row r="107" spans="1:73" x14ac:dyDescent="0.25">
      <c r="A107" s="5">
        <v>29037</v>
      </c>
      <c r="B107">
        <v>3033</v>
      </c>
      <c r="C107" t="s">
        <v>11</v>
      </c>
      <c r="D107" t="s">
        <v>11</v>
      </c>
      <c r="E107" t="s">
        <v>11</v>
      </c>
      <c r="F107">
        <v>1816</v>
      </c>
      <c r="G107" t="s">
        <v>11</v>
      </c>
      <c r="H107">
        <v>1318</v>
      </c>
      <c r="I107" t="s">
        <v>11</v>
      </c>
      <c r="J107">
        <v>1661</v>
      </c>
      <c r="K107" t="s">
        <v>11</v>
      </c>
      <c r="L107">
        <v>87373</v>
      </c>
      <c r="M107">
        <v>59614</v>
      </c>
      <c r="N107">
        <v>902</v>
      </c>
      <c r="O107" t="s">
        <v>11</v>
      </c>
      <c r="P107" t="s">
        <v>11</v>
      </c>
      <c r="Q107" t="s">
        <v>11</v>
      </c>
      <c r="R107" t="s">
        <v>11</v>
      </c>
      <c r="S107" t="s">
        <v>11</v>
      </c>
      <c r="T107" s="34">
        <v>113813</v>
      </c>
      <c r="U107" s="34">
        <v>67509</v>
      </c>
      <c r="V107" s="34">
        <v>6988</v>
      </c>
      <c r="W107" t="s">
        <v>11</v>
      </c>
      <c r="X107">
        <v>7220</v>
      </c>
      <c r="Y107" t="s">
        <v>11</v>
      </c>
      <c r="Z107">
        <v>5406</v>
      </c>
      <c r="AA107">
        <v>4684</v>
      </c>
      <c r="AB107">
        <v>36360</v>
      </c>
      <c r="AC107">
        <v>29242</v>
      </c>
      <c r="AD107">
        <v>4596</v>
      </c>
      <c r="AE107" t="s">
        <v>11</v>
      </c>
      <c r="AF107">
        <v>6722</v>
      </c>
      <c r="AG107" t="s">
        <v>11</v>
      </c>
      <c r="AH107">
        <f t="shared" si="17"/>
        <v>4596</v>
      </c>
      <c r="AI107" t="str">
        <f t="shared" si="18"/>
        <v>NoData</v>
      </c>
      <c r="AJ107">
        <v>29456</v>
      </c>
      <c r="AK107" t="s">
        <v>11</v>
      </c>
      <c r="AL107">
        <v>41190</v>
      </c>
      <c r="AM107">
        <v>26105</v>
      </c>
      <c r="AN107">
        <v>141</v>
      </c>
      <c r="AO107" t="s">
        <v>11</v>
      </c>
      <c r="AP107" t="s">
        <v>11</v>
      </c>
      <c r="AQ107" t="s">
        <v>11</v>
      </c>
      <c r="AR107" t="s">
        <v>11</v>
      </c>
      <c r="AS107" t="s">
        <v>11</v>
      </c>
      <c r="AT107" t="str">
        <f t="shared" si="21"/>
        <v>NoData</v>
      </c>
      <c r="AU107" t="str">
        <f t="shared" si="22"/>
        <v>NoData</v>
      </c>
      <c r="AV107" t="s">
        <v>11</v>
      </c>
      <c r="AW107" t="s">
        <v>11</v>
      </c>
      <c r="AX107" t="s">
        <v>11</v>
      </c>
      <c r="AY107" t="s">
        <v>11</v>
      </c>
      <c r="AZ107" t="str">
        <f t="shared" si="13"/>
        <v>NoData</v>
      </c>
      <c r="BA107" t="str">
        <f t="shared" si="14"/>
        <v>NoData</v>
      </c>
      <c r="BB107">
        <f t="shared" si="19"/>
        <v>141</v>
      </c>
      <c r="BC107" t="str">
        <f t="shared" si="20"/>
        <v>NoData</v>
      </c>
      <c r="BD107" t="s">
        <v>11</v>
      </c>
      <c r="BE107" t="s">
        <v>11</v>
      </c>
      <c r="BF107" t="s">
        <v>11</v>
      </c>
      <c r="BG107" t="s">
        <v>11</v>
      </c>
      <c r="BH107" t="s">
        <v>11</v>
      </c>
      <c r="BI107" t="s">
        <v>11</v>
      </c>
      <c r="BJ107">
        <v>94</v>
      </c>
      <c r="BK107" t="s">
        <v>11</v>
      </c>
      <c r="BL107" t="s">
        <v>11</v>
      </c>
      <c r="BM107" t="s">
        <v>11</v>
      </c>
      <c r="BN107" t="s">
        <v>11</v>
      </c>
      <c r="BO107" t="s">
        <v>11</v>
      </c>
      <c r="BP107" t="str">
        <f t="shared" si="15"/>
        <v>NoData</v>
      </c>
      <c r="BQ107" t="str">
        <f t="shared" si="16"/>
        <v>NoData</v>
      </c>
      <c r="BR107" t="s">
        <v>11</v>
      </c>
      <c r="BS107" t="s">
        <v>11</v>
      </c>
      <c r="BT107" t="s">
        <v>11</v>
      </c>
      <c r="BU107" t="s">
        <v>11</v>
      </c>
    </row>
    <row r="108" spans="1:73" x14ac:dyDescent="0.25">
      <c r="A108" s="5">
        <v>29068</v>
      </c>
      <c r="B108">
        <v>2972</v>
      </c>
      <c r="C108" t="s">
        <v>11</v>
      </c>
      <c r="D108" t="s">
        <v>11</v>
      </c>
      <c r="E108" t="s">
        <v>11</v>
      </c>
      <c r="F108">
        <v>2248</v>
      </c>
      <c r="G108" t="s">
        <v>11</v>
      </c>
      <c r="H108">
        <v>1632</v>
      </c>
      <c r="I108" t="s">
        <v>11</v>
      </c>
      <c r="J108">
        <v>1430</v>
      </c>
      <c r="K108" t="s">
        <v>11</v>
      </c>
      <c r="L108">
        <v>75587</v>
      </c>
      <c r="M108">
        <v>46887</v>
      </c>
      <c r="N108">
        <v>804</v>
      </c>
      <c r="O108" t="s">
        <v>11</v>
      </c>
      <c r="P108" t="s">
        <v>11</v>
      </c>
      <c r="Q108" t="s">
        <v>11</v>
      </c>
      <c r="R108" t="s">
        <v>11</v>
      </c>
      <c r="S108" t="s">
        <v>11</v>
      </c>
      <c r="T108" s="34">
        <v>99968</v>
      </c>
      <c r="U108" s="34">
        <v>51116</v>
      </c>
      <c r="V108" s="34">
        <v>3931</v>
      </c>
      <c r="W108" t="s">
        <v>11</v>
      </c>
      <c r="X108">
        <v>5682</v>
      </c>
      <c r="Y108" t="s">
        <v>11</v>
      </c>
      <c r="Z108">
        <v>3907</v>
      </c>
      <c r="AA108">
        <v>3114</v>
      </c>
      <c r="AB108">
        <v>26316</v>
      </c>
      <c r="AC108">
        <v>18801</v>
      </c>
      <c r="AD108">
        <v>4619</v>
      </c>
      <c r="AE108" t="s">
        <v>11</v>
      </c>
      <c r="AF108">
        <v>6384</v>
      </c>
      <c r="AG108" t="s">
        <v>11</v>
      </c>
      <c r="AH108">
        <f t="shared" si="17"/>
        <v>4619</v>
      </c>
      <c r="AI108" t="str">
        <f t="shared" si="18"/>
        <v>NoData</v>
      </c>
      <c r="AJ108">
        <v>24529</v>
      </c>
      <c r="AK108" t="s">
        <v>11</v>
      </c>
      <c r="AL108">
        <v>34057</v>
      </c>
      <c r="AM108">
        <v>19002</v>
      </c>
      <c r="AN108">
        <v>129</v>
      </c>
      <c r="AO108" t="s">
        <v>11</v>
      </c>
      <c r="AP108" t="s">
        <v>11</v>
      </c>
      <c r="AQ108" t="s">
        <v>11</v>
      </c>
      <c r="AR108" t="s">
        <v>11</v>
      </c>
      <c r="AS108" t="s">
        <v>11</v>
      </c>
      <c r="AT108" t="str">
        <f t="shared" si="21"/>
        <v>NoData</v>
      </c>
      <c r="AU108" t="str">
        <f t="shared" si="22"/>
        <v>NoData</v>
      </c>
      <c r="AV108" t="s">
        <v>11</v>
      </c>
      <c r="AW108" t="s">
        <v>11</v>
      </c>
      <c r="AX108" t="s">
        <v>11</v>
      </c>
      <c r="AY108" t="s">
        <v>11</v>
      </c>
      <c r="AZ108" t="str">
        <f t="shared" si="13"/>
        <v>NoData</v>
      </c>
      <c r="BA108" t="str">
        <f t="shared" si="14"/>
        <v>NoData</v>
      </c>
      <c r="BB108">
        <f t="shared" si="19"/>
        <v>129</v>
      </c>
      <c r="BC108" t="str">
        <f t="shared" si="20"/>
        <v>NoData</v>
      </c>
      <c r="BD108" t="s">
        <v>11</v>
      </c>
      <c r="BE108" t="s">
        <v>11</v>
      </c>
      <c r="BF108" t="s">
        <v>11</v>
      </c>
      <c r="BG108" t="s">
        <v>11</v>
      </c>
      <c r="BH108" t="s">
        <v>11</v>
      </c>
      <c r="BI108" t="s">
        <v>11</v>
      </c>
      <c r="BJ108">
        <v>102</v>
      </c>
      <c r="BK108" t="s">
        <v>11</v>
      </c>
      <c r="BL108" t="s">
        <v>11</v>
      </c>
      <c r="BM108" t="s">
        <v>11</v>
      </c>
      <c r="BN108" t="s">
        <v>11</v>
      </c>
      <c r="BO108" t="s">
        <v>11</v>
      </c>
      <c r="BP108" t="str">
        <f t="shared" si="15"/>
        <v>NoData</v>
      </c>
      <c r="BQ108" t="str">
        <f t="shared" si="16"/>
        <v>NoData</v>
      </c>
      <c r="BR108" t="s">
        <v>11</v>
      </c>
      <c r="BS108" t="s">
        <v>11</v>
      </c>
      <c r="BT108" t="s">
        <v>11</v>
      </c>
      <c r="BU108" t="s">
        <v>11</v>
      </c>
    </row>
    <row r="109" spans="1:73" x14ac:dyDescent="0.25">
      <c r="A109" s="5">
        <v>29099</v>
      </c>
      <c r="B109">
        <v>1561</v>
      </c>
      <c r="C109" t="s">
        <v>11</v>
      </c>
      <c r="D109" t="s">
        <v>11</v>
      </c>
      <c r="E109" t="s">
        <v>11</v>
      </c>
      <c r="F109">
        <v>1855</v>
      </c>
      <c r="G109" t="s">
        <v>11</v>
      </c>
      <c r="H109">
        <v>1347</v>
      </c>
      <c r="I109" t="s">
        <v>11</v>
      </c>
      <c r="J109">
        <v>1654</v>
      </c>
      <c r="K109" t="s">
        <v>11</v>
      </c>
      <c r="L109">
        <v>55611</v>
      </c>
      <c r="M109">
        <v>29746</v>
      </c>
      <c r="N109">
        <v>1166</v>
      </c>
      <c r="O109" t="s">
        <v>11</v>
      </c>
      <c r="P109" t="s">
        <v>11</v>
      </c>
      <c r="Q109" t="s">
        <v>11</v>
      </c>
      <c r="R109" t="s">
        <v>11</v>
      </c>
      <c r="S109" t="s">
        <v>11</v>
      </c>
      <c r="T109" s="34">
        <v>94772</v>
      </c>
      <c r="U109" s="34">
        <v>49450</v>
      </c>
      <c r="V109" s="34">
        <v>2181</v>
      </c>
      <c r="W109" t="s">
        <v>11</v>
      </c>
      <c r="X109">
        <v>2673</v>
      </c>
      <c r="Y109" t="s">
        <v>11</v>
      </c>
      <c r="Z109">
        <v>3559</v>
      </c>
      <c r="AA109">
        <v>2945</v>
      </c>
      <c r="AB109">
        <v>22608</v>
      </c>
      <c r="AC109">
        <v>15740</v>
      </c>
      <c r="AD109">
        <v>3512</v>
      </c>
      <c r="AE109" t="s">
        <v>11</v>
      </c>
      <c r="AF109">
        <v>4576</v>
      </c>
      <c r="AG109" t="s">
        <v>11</v>
      </c>
      <c r="AH109">
        <f t="shared" si="17"/>
        <v>3512</v>
      </c>
      <c r="AI109" t="str">
        <f t="shared" si="18"/>
        <v>NoData</v>
      </c>
      <c r="AJ109">
        <v>23699</v>
      </c>
      <c r="AK109" t="s">
        <v>11</v>
      </c>
      <c r="AL109">
        <v>32890</v>
      </c>
      <c r="AM109">
        <v>18527</v>
      </c>
      <c r="AN109">
        <v>0</v>
      </c>
      <c r="AO109" t="s">
        <v>11</v>
      </c>
      <c r="AP109" t="s">
        <v>11</v>
      </c>
      <c r="AQ109" t="s">
        <v>11</v>
      </c>
      <c r="AR109" t="s">
        <v>11</v>
      </c>
      <c r="AS109" t="s">
        <v>11</v>
      </c>
      <c r="AT109" t="str">
        <f t="shared" si="21"/>
        <v>NoData</v>
      </c>
      <c r="AU109" t="str">
        <f t="shared" si="22"/>
        <v>NoData</v>
      </c>
      <c r="AV109" t="s">
        <v>11</v>
      </c>
      <c r="AW109" t="s">
        <v>11</v>
      </c>
      <c r="AX109" t="s">
        <v>11</v>
      </c>
      <c r="AY109" t="s">
        <v>11</v>
      </c>
      <c r="AZ109" t="str">
        <f t="shared" si="13"/>
        <v>NoData</v>
      </c>
      <c r="BA109" t="str">
        <f t="shared" si="14"/>
        <v>NoData</v>
      </c>
      <c r="BB109">
        <f t="shared" si="19"/>
        <v>0</v>
      </c>
      <c r="BC109" t="str">
        <f t="shared" si="20"/>
        <v>NoData</v>
      </c>
      <c r="BD109" t="s">
        <v>11</v>
      </c>
      <c r="BE109" t="s">
        <v>11</v>
      </c>
      <c r="BF109" t="s">
        <v>11</v>
      </c>
      <c r="BG109" t="s">
        <v>11</v>
      </c>
      <c r="BH109" t="s">
        <v>11</v>
      </c>
      <c r="BI109" t="s">
        <v>11</v>
      </c>
      <c r="BJ109">
        <v>50</v>
      </c>
      <c r="BK109" t="s">
        <v>11</v>
      </c>
      <c r="BL109" t="s">
        <v>11</v>
      </c>
      <c r="BM109" t="s">
        <v>11</v>
      </c>
      <c r="BN109" t="s">
        <v>11</v>
      </c>
      <c r="BO109" t="s">
        <v>11</v>
      </c>
      <c r="BP109" t="str">
        <f t="shared" si="15"/>
        <v>NoData</v>
      </c>
      <c r="BQ109" t="str">
        <f t="shared" si="16"/>
        <v>NoData</v>
      </c>
      <c r="BR109" t="s">
        <v>11</v>
      </c>
      <c r="BS109" t="s">
        <v>11</v>
      </c>
      <c r="BT109" t="s">
        <v>11</v>
      </c>
      <c r="BU109" t="s">
        <v>11</v>
      </c>
    </row>
    <row r="110" spans="1:73" x14ac:dyDescent="0.25">
      <c r="A110" s="5">
        <v>29129</v>
      </c>
      <c r="B110">
        <v>1134</v>
      </c>
      <c r="C110" t="s">
        <v>11</v>
      </c>
      <c r="D110" t="s">
        <v>11</v>
      </c>
      <c r="E110" t="s">
        <v>11</v>
      </c>
      <c r="F110">
        <v>973</v>
      </c>
      <c r="G110" t="s">
        <v>11</v>
      </c>
      <c r="H110">
        <v>706</v>
      </c>
      <c r="I110" t="s">
        <v>11</v>
      </c>
      <c r="J110">
        <v>1385</v>
      </c>
      <c r="K110" t="s">
        <v>11</v>
      </c>
      <c r="L110">
        <v>30631</v>
      </c>
      <c r="M110">
        <v>8413</v>
      </c>
      <c r="N110">
        <v>362</v>
      </c>
      <c r="O110" t="s">
        <v>11</v>
      </c>
      <c r="P110" t="s">
        <v>11</v>
      </c>
      <c r="Q110" t="s">
        <v>11</v>
      </c>
      <c r="R110" t="s">
        <v>11</v>
      </c>
      <c r="S110" t="s">
        <v>11</v>
      </c>
      <c r="T110" s="34">
        <v>57226</v>
      </c>
      <c r="U110" s="34">
        <v>15029</v>
      </c>
      <c r="V110" s="34">
        <v>1739</v>
      </c>
      <c r="W110" t="s">
        <v>11</v>
      </c>
      <c r="X110">
        <v>3484</v>
      </c>
      <c r="Y110" t="s">
        <v>11</v>
      </c>
      <c r="Z110">
        <v>4069</v>
      </c>
      <c r="AA110">
        <v>3569</v>
      </c>
      <c r="AB110">
        <v>21006</v>
      </c>
      <c r="AC110">
        <v>13301</v>
      </c>
      <c r="AD110">
        <v>3352</v>
      </c>
      <c r="AE110" t="s">
        <v>11</v>
      </c>
      <c r="AF110">
        <v>4740</v>
      </c>
      <c r="AG110" t="s">
        <v>11</v>
      </c>
      <c r="AH110">
        <f t="shared" si="17"/>
        <v>3352</v>
      </c>
      <c r="AI110" t="str">
        <f t="shared" si="18"/>
        <v>NoData</v>
      </c>
      <c r="AJ110">
        <v>17032</v>
      </c>
      <c r="AK110" t="s">
        <v>11</v>
      </c>
      <c r="AL110">
        <v>20767</v>
      </c>
      <c r="AM110">
        <v>5044</v>
      </c>
      <c r="AN110">
        <v>0</v>
      </c>
      <c r="AO110" t="s">
        <v>11</v>
      </c>
      <c r="AP110" t="s">
        <v>11</v>
      </c>
      <c r="AQ110" t="s">
        <v>11</v>
      </c>
      <c r="AR110" t="s">
        <v>11</v>
      </c>
      <c r="AS110" t="s">
        <v>11</v>
      </c>
      <c r="AT110" t="str">
        <f t="shared" si="21"/>
        <v>NoData</v>
      </c>
      <c r="AU110" t="str">
        <f t="shared" si="22"/>
        <v>NoData</v>
      </c>
      <c r="AV110" t="s">
        <v>11</v>
      </c>
      <c r="AW110" t="s">
        <v>11</v>
      </c>
      <c r="AX110" t="s">
        <v>11</v>
      </c>
      <c r="AY110" t="s">
        <v>11</v>
      </c>
      <c r="AZ110" t="str">
        <f t="shared" si="13"/>
        <v>NoData</v>
      </c>
      <c r="BA110" t="str">
        <f t="shared" si="14"/>
        <v>NoData</v>
      </c>
      <c r="BB110">
        <f t="shared" si="19"/>
        <v>0</v>
      </c>
      <c r="BC110" t="str">
        <f t="shared" si="20"/>
        <v>NoData</v>
      </c>
      <c r="BD110" t="s">
        <v>11</v>
      </c>
      <c r="BE110" t="s">
        <v>11</v>
      </c>
      <c r="BF110" t="s">
        <v>11</v>
      </c>
      <c r="BG110" t="s">
        <v>11</v>
      </c>
      <c r="BH110" t="s">
        <v>11</v>
      </c>
      <c r="BI110" t="s">
        <v>11</v>
      </c>
      <c r="BJ110">
        <v>40</v>
      </c>
      <c r="BK110" t="s">
        <v>11</v>
      </c>
      <c r="BL110" t="s">
        <v>11</v>
      </c>
      <c r="BM110" t="s">
        <v>11</v>
      </c>
      <c r="BN110" t="s">
        <v>11</v>
      </c>
      <c r="BO110" t="s">
        <v>11</v>
      </c>
      <c r="BP110" t="str">
        <f t="shared" si="15"/>
        <v>NoData</v>
      </c>
      <c r="BQ110" t="str">
        <f t="shared" si="16"/>
        <v>NoData</v>
      </c>
      <c r="BR110" t="s">
        <v>11</v>
      </c>
      <c r="BS110" t="s">
        <v>11</v>
      </c>
      <c r="BT110" t="s">
        <v>11</v>
      </c>
      <c r="BU110" t="s">
        <v>11</v>
      </c>
    </row>
    <row r="111" spans="1:73" x14ac:dyDescent="0.25">
      <c r="A111" s="5">
        <v>29160</v>
      </c>
      <c r="B111">
        <v>827</v>
      </c>
      <c r="C111" t="s">
        <v>11</v>
      </c>
      <c r="D111" t="s">
        <v>11</v>
      </c>
      <c r="E111" t="s">
        <v>11</v>
      </c>
      <c r="F111">
        <v>730</v>
      </c>
      <c r="G111" t="s">
        <v>11</v>
      </c>
      <c r="H111">
        <v>530</v>
      </c>
      <c r="I111" t="s">
        <v>11</v>
      </c>
      <c r="J111">
        <v>1008</v>
      </c>
      <c r="K111" t="s">
        <v>11</v>
      </c>
      <c r="L111">
        <v>21204</v>
      </c>
      <c r="M111">
        <v>3327</v>
      </c>
      <c r="N111">
        <v>321</v>
      </c>
      <c r="O111" t="s">
        <v>11</v>
      </c>
      <c r="P111" t="s">
        <v>11</v>
      </c>
      <c r="Q111" t="s">
        <v>11</v>
      </c>
      <c r="R111" t="s">
        <v>11</v>
      </c>
      <c r="S111" t="s">
        <v>11</v>
      </c>
      <c r="T111" s="34">
        <v>50200</v>
      </c>
      <c r="U111" s="34">
        <v>10993</v>
      </c>
      <c r="V111" s="34">
        <v>1188</v>
      </c>
      <c r="W111" t="s">
        <v>11</v>
      </c>
      <c r="X111">
        <v>2792</v>
      </c>
      <c r="Y111" t="s">
        <v>11</v>
      </c>
      <c r="Z111">
        <v>3335</v>
      </c>
      <c r="AA111">
        <v>2773</v>
      </c>
      <c r="AB111">
        <v>13488</v>
      </c>
      <c r="AC111">
        <v>6210</v>
      </c>
      <c r="AD111">
        <v>2505</v>
      </c>
      <c r="AE111" t="s">
        <v>11</v>
      </c>
      <c r="AF111">
        <v>4251</v>
      </c>
      <c r="AG111" t="s">
        <v>11</v>
      </c>
      <c r="AH111">
        <f t="shared" si="17"/>
        <v>2505</v>
      </c>
      <c r="AI111" t="str">
        <f t="shared" si="18"/>
        <v>NoData</v>
      </c>
      <c r="AJ111">
        <v>13756</v>
      </c>
      <c r="AK111" t="s">
        <v>11</v>
      </c>
      <c r="AL111">
        <v>15393</v>
      </c>
      <c r="AM111">
        <v>-540</v>
      </c>
      <c r="AN111">
        <v>11</v>
      </c>
      <c r="AO111" t="s">
        <v>11</v>
      </c>
      <c r="AP111" t="s">
        <v>11</v>
      </c>
      <c r="AQ111" t="s">
        <v>11</v>
      </c>
      <c r="AR111" t="s">
        <v>11</v>
      </c>
      <c r="AS111" t="s">
        <v>11</v>
      </c>
      <c r="AT111" t="str">
        <f t="shared" si="21"/>
        <v>NoData</v>
      </c>
      <c r="AU111" t="str">
        <f t="shared" si="22"/>
        <v>NoData</v>
      </c>
      <c r="AV111" t="s">
        <v>11</v>
      </c>
      <c r="AW111" t="s">
        <v>11</v>
      </c>
      <c r="AX111" t="s">
        <v>11</v>
      </c>
      <c r="AY111" t="s">
        <v>11</v>
      </c>
      <c r="AZ111" t="str">
        <f t="shared" si="13"/>
        <v>NoData</v>
      </c>
      <c r="BA111" t="str">
        <f t="shared" si="14"/>
        <v>NoData</v>
      </c>
      <c r="BB111">
        <f t="shared" si="19"/>
        <v>11</v>
      </c>
      <c r="BC111" t="str">
        <f t="shared" si="20"/>
        <v>NoData</v>
      </c>
      <c r="BD111" t="s">
        <v>11</v>
      </c>
      <c r="BE111" t="s">
        <v>11</v>
      </c>
      <c r="BF111" t="s">
        <v>11</v>
      </c>
      <c r="BG111" t="s">
        <v>11</v>
      </c>
      <c r="BH111" t="s">
        <v>11</v>
      </c>
      <c r="BI111" t="s">
        <v>11</v>
      </c>
      <c r="BJ111">
        <v>24</v>
      </c>
      <c r="BK111" t="s">
        <v>11</v>
      </c>
      <c r="BL111" t="s">
        <v>11</v>
      </c>
      <c r="BM111" t="s">
        <v>11</v>
      </c>
      <c r="BN111" t="s">
        <v>11</v>
      </c>
      <c r="BO111" t="s">
        <v>11</v>
      </c>
      <c r="BP111" t="str">
        <f t="shared" si="15"/>
        <v>NoData</v>
      </c>
      <c r="BQ111" t="str">
        <f t="shared" si="16"/>
        <v>NoData</v>
      </c>
      <c r="BR111" t="s">
        <v>11</v>
      </c>
      <c r="BS111" t="s">
        <v>11</v>
      </c>
      <c r="BT111" t="s">
        <v>11</v>
      </c>
      <c r="BU111" t="s">
        <v>11</v>
      </c>
    </row>
    <row r="112" spans="1:73" x14ac:dyDescent="0.25">
      <c r="A112" s="5">
        <v>29190</v>
      </c>
      <c r="B112">
        <v>1375</v>
      </c>
      <c r="C112" t="s">
        <v>11</v>
      </c>
      <c r="D112" t="s">
        <v>11</v>
      </c>
      <c r="E112" t="s">
        <v>11</v>
      </c>
      <c r="F112">
        <v>422</v>
      </c>
      <c r="G112" t="s">
        <v>11</v>
      </c>
      <c r="H112">
        <v>307</v>
      </c>
      <c r="I112" t="s">
        <v>11</v>
      </c>
      <c r="J112">
        <v>852</v>
      </c>
      <c r="K112" t="s">
        <v>11</v>
      </c>
      <c r="L112">
        <v>24389</v>
      </c>
      <c r="M112">
        <v>8410</v>
      </c>
      <c r="N112">
        <v>344</v>
      </c>
      <c r="O112" t="s">
        <v>11</v>
      </c>
      <c r="P112" t="s">
        <v>11</v>
      </c>
      <c r="Q112" t="s">
        <v>11</v>
      </c>
      <c r="R112" t="s">
        <v>11</v>
      </c>
      <c r="S112" t="s">
        <v>11</v>
      </c>
      <c r="T112" s="34">
        <v>49740</v>
      </c>
      <c r="U112" s="34">
        <v>11888</v>
      </c>
      <c r="V112" s="34">
        <v>900</v>
      </c>
      <c r="W112" t="s">
        <v>11</v>
      </c>
      <c r="X112">
        <v>2359</v>
      </c>
      <c r="Y112" t="s">
        <v>11</v>
      </c>
      <c r="Z112">
        <v>3014</v>
      </c>
      <c r="AA112">
        <v>2423</v>
      </c>
      <c r="AB112">
        <v>12865</v>
      </c>
      <c r="AC112">
        <v>6038</v>
      </c>
      <c r="AD112">
        <v>1719</v>
      </c>
      <c r="AE112" t="s">
        <v>11</v>
      </c>
      <c r="AF112">
        <v>3123</v>
      </c>
      <c r="AG112" t="s">
        <v>11</v>
      </c>
      <c r="AH112">
        <f t="shared" si="17"/>
        <v>1719</v>
      </c>
      <c r="AI112" t="str">
        <f t="shared" si="18"/>
        <v>NoData</v>
      </c>
      <c r="AJ112">
        <v>9426</v>
      </c>
      <c r="AK112" t="s">
        <v>11</v>
      </c>
      <c r="AL112">
        <v>13633</v>
      </c>
      <c r="AM112">
        <v>-3524</v>
      </c>
      <c r="AN112">
        <v>74</v>
      </c>
      <c r="AO112" t="s">
        <v>11</v>
      </c>
      <c r="AP112" t="s">
        <v>11</v>
      </c>
      <c r="AQ112" t="s">
        <v>11</v>
      </c>
      <c r="AR112" t="s">
        <v>11</v>
      </c>
      <c r="AS112" t="s">
        <v>11</v>
      </c>
      <c r="AT112" t="str">
        <f t="shared" si="21"/>
        <v>NoData</v>
      </c>
      <c r="AU112" t="str">
        <f t="shared" si="22"/>
        <v>NoData</v>
      </c>
      <c r="AV112" t="s">
        <v>11</v>
      </c>
      <c r="AW112" t="s">
        <v>11</v>
      </c>
      <c r="AX112" t="s">
        <v>11</v>
      </c>
      <c r="AY112" t="s">
        <v>11</v>
      </c>
      <c r="AZ112" t="str">
        <f t="shared" si="13"/>
        <v>NoData</v>
      </c>
      <c r="BA112" t="str">
        <f t="shared" si="14"/>
        <v>NoData</v>
      </c>
      <c r="BB112">
        <f t="shared" si="19"/>
        <v>74</v>
      </c>
      <c r="BC112" t="str">
        <f t="shared" si="20"/>
        <v>NoData</v>
      </c>
      <c r="BD112" t="s">
        <v>11</v>
      </c>
      <c r="BE112" t="s">
        <v>11</v>
      </c>
      <c r="BF112" t="s">
        <v>11</v>
      </c>
      <c r="BG112" t="s">
        <v>11</v>
      </c>
      <c r="BH112" t="s">
        <v>11</v>
      </c>
      <c r="BI112" t="s">
        <v>11</v>
      </c>
      <c r="BJ112">
        <v>81</v>
      </c>
      <c r="BK112" t="s">
        <v>11</v>
      </c>
      <c r="BL112" t="s">
        <v>11</v>
      </c>
      <c r="BM112" t="s">
        <v>11</v>
      </c>
      <c r="BN112" t="s">
        <v>11</v>
      </c>
      <c r="BO112" t="s">
        <v>11</v>
      </c>
      <c r="BP112" t="str">
        <f t="shared" si="15"/>
        <v>NoData</v>
      </c>
      <c r="BQ112" t="str">
        <f t="shared" si="16"/>
        <v>NoData</v>
      </c>
      <c r="BR112" t="s">
        <v>11</v>
      </c>
      <c r="BS112" t="s">
        <v>11</v>
      </c>
      <c r="BT112" t="s">
        <v>11</v>
      </c>
      <c r="BU112" t="s">
        <v>11</v>
      </c>
    </row>
    <row r="113" spans="1:73" x14ac:dyDescent="0.25">
      <c r="A113" s="5">
        <v>29221</v>
      </c>
      <c r="B113">
        <v>495</v>
      </c>
      <c r="C113" t="s">
        <v>11</v>
      </c>
      <c r="D113" t="s">
        <v>11</v>
      </c>
      <c r="E113" t="s">
        <v>11</v>
      </c>
      <c r="F113">
        <v>508</v>
      </c>
      <c r="G113" t="s">
        <v>11</v>
      </c>
      <c r="H113">
        <v>348</v>
      </c>
      <c r="I113" t="s">
        <v>11</v>
      </c>
      <c r="J113">
        <v>1365</v>
      </c>
      <c r="K113" t="s">
        <v>11</v>
      </c>
      <c r="L113">
        <v>3392</v>
      </c>
      <c r="M113">
        <v>-8891</v>
      </c>
      <c r="N113">
        <v>465</v>
      </c>
      <c r="O113" t="s">
        <v>11</v>
      </c>
      <c r="P113" t="s">
        <v>11</v>
      </c>
      <c r="Q113" t="s">
        <v>11</v>
      </c>
      <c r="R113" t="s">
        <v>11</v>
      </c>
      <c r="S113" t="s">
        <v>11</v>
      </c>
      <c r="T113" s="34">
        <v>31760</v>
      </c>
      <c r="U113" s="34">
        <v>2148</v>
      </c>
      <c r="V113" s="34">
        <v>1149</v>
      </c>
      <c r="W113" t="s">
        <v>11</v>
      </c>
      <c r="X113">
        <v>1497</v>
      </c>
      <c r="Y113" t="s">
        <v>11</v>
      </c>
      <c r="Z113">
        <v>2087</v>
      </c>
      <c r="AA113">
        <v>1577</v>
      </c>
      <c r="AB113">
        <v>17019</v>
      </c>
      <c r="AC113">
        <v>10889</v>
      </c>
      <c r="AD113">
        <v>1621</v>
      </c>
      <c r="AE113" t="s">
        <v>11</v>
      </c>
      <c r="AF113">
        <v>3319</v>
      </c>
      <c r="AG113" t="s">
        <v>11</v>
      </c>
      <c r="AH113">
        <f t="shared" si="17"/>
        <v>1621</v>
      </c>
      <c r="AI113" t="str">
        <f t="shared" si="18"/>
        <v>NoData</v>
      </c>
      <c r="AJ113">
        <v>9998</v>
      </c>
      <c r="AK113" t="s">
        <v>11</v>
      </c>
      <c r="AL113">
        <v>9933</v>
      </c>
      <c r="AM113">
        <v>-7710</v>
      </c>
      <c r="AN113">
        <v>7</v>
      </c>
      <c r="AO113" t="s">
        <v>11</v>
      </c>
      <c r="AP113" t="s">
        <v>11</v>
      </c>
      <c r="AQ113" t="s">
        <v>11</v>
      </c>
      <c r="AR113" t="s">
        <v>11</v>
      </c>
      <c r="AS113" t="s">
        <v>11</v>
      </c>
      <c r="AT113" t="str">
        <f t="shared" si="21"/>
        <v>NoData</v>
      </c>
      <c r="AU113" t="str">
        <f t="shared" si="22"/>
        <v>NoData</v>
      </c>
      <c r="AV113" t="s">
        <v>11</v>
      </c>
      <c r="AW113" t="s">
        <v>11</v>
      </c>
      <c r="AX113" t="s">
        <v>11</v>
      </c>
      <c r="AY113" t="s">
        <v>11</v>
      </c>
      <c r="AZ113" t="str">
        <f t="shared" si="13"/>
        <v>NoData</v>
      </c>
      <c r="BA113" t="str">
        <f t="shared" si="14"/>
        <v>NoData</v>
      </c>
      <c r="BB113">
        <f t="shared" si="19"/>
        <v>7</v>
      </c>
      <c r="BC113" t="str">
        <f t="shared" si="20"/>
        <v>NoData</v>
      </c>
      <c r="BD113" t="s">
        <v>11</v>
      </c>
      <c r="BE113" t="s">
        <v>11</v>
      </c>
      <c r="BF113" t="s">
        <v>11</v>
      </c>
      <c r="BG113" t="s">
        <v>11</v>
      </c>
      <c r="BH113" t="s">
        <v>11</v>
      </c>
      <c r="BI113" t="s">
        <v>11</v>
      </c>
      <c r="BJ113">
        <v>57</v>
      </c>
      <c r="BK113" t="s">
        <v>11</v>
      </c>
      <c r="BL113" t="s">
        <v>11</v>
      </c>
      <c r="BM113" t="s">
        <v>11</v>
      </c>
      <c r="BN113" t="s">
        <v>11</v>
      </c>
      <c r="BO113" t="s">
        <v>11</v>
      </c>
      <c r="BP113" t="str">
        <f t="shared" si="15"/>
        <v>NoData</v>
      </c>
      <c r="BQ113" t="str">
        <f t="shared" si="16"/>
        <v>NoData</v>
      </c>
      <c r="BR113" t="s">
        <v>11</v>
      </c>
      <c r="BS113" t="s">
        <v>11</v>
      </c>
      <c r="BT113" t="s">
        <v>11</v>
      </c>
      <c r="BU113" t="s">
        <v>11</v>
      </c>
    </row>
    <row r="114" spans="1:73" x14ac:dyDescent="0.25">
      <c r="A114" s="5">
        <v>29252</v>
      </c>
      <c r="B114">
        <v>669</v>
      </c>
      <c r="C114" t="s">
        <v>11</v>
      </c>
      <c r="D114" t="s">
        <v>11</v>
      </c>
      <c r="E114" t="s">
        <v>11</v>
      </c>
      <c r="F114">
        <v>1795</v>
      </c>
      <c r="G114" t="s">
        <v>11</v>
      </c>
      <c r="H114">
        <v>472</v>
      </c>
      <c r="I114" t="s">
        <v>11</v>
      </c>
      <c r="J114">
        <v>1092</v>
      </c>
      <c r="K114" t="s">
        <v>11</v>
      </c>
      <c r="L114">
        <v>16584</v>
      </c>
      <c r="M114">
        <v>5349</v>
      </c>
      <c r="N114">
        <v>587</v>
      </c>
      <c r="O114" t="s">
        <v>11</v>
      </c>
      <c r="P114" t="s">
        <v>11</v>
      </c>
      <c r="Q114" t="s">
        <v>11</v>
      </c>
      <c r="R114" t="s">
        <v>11</v>
      </c>
      <c r="S114" t="s">
        <v>11</v>
      </c>
      <c r="T114" s="34">
        <v>39472</v>
      </c>
      <c r="U114" s="34">
        <v>7361</v>
      </c>
      <c r="V114" s="34">
        <v>2504</v>
      </c>
      <c r="W114" t="s">
        <v>11</v>
      </c>
      <c r="X114">
        <v>3154</v>
      </c>
      <c r="Y114" t="s">
        <v>11</v>
      </c>
      <c r="Z114">
        <v>2717</v>
      </c>
      <c r="AA114">
        <v>2288</v>
      </c>
      <c r="AB114">
        <v>16887</v>
      </c>
      <c r="AC114">
        <v>11133</v>
      </c>
      <c r="AD114">
        <v>1084</v>
      </c>
      <c r="AE114" t="s">
        <v>11</v>
      </c>
      <c r="AF114">
        <v>4036</v>
      </c>
      <c r="AG114" t="s">
        <v>11</v>
      </c>
      <c r="AH114">
        <f t="shared" si="17"/>
        <v>1084</v>
      </c>
      <c r="AI114" t="str">
        <f t="shared" si="18"/>
        <v>NoData</v>
      </c>
      <c r="AJ114">
        <v>7443</v>
      </c>
      <c r="AK114" t="s">
        <v>11</v>
      </c>
      <c r="AL114">
        <v>22843</v>
      </c>
      <c r="AM114">
        <v>7751</v>
      </c>
      <c r="AN114">
        <v>0</v>
      </c>
      <c r="AO114" t="s">
        <v>11</v>
      </c>
      <c r="AP114" t="s">
        <v>11</v>
      </c>
      <c r="AQ114" t="s">
        <v>11</v>
      </c>
      <c r="AR114" t="s">
        <v>11</v>
      </c>
      <c r="AS114" t="s">
        <v>11</v>
      </c>
      <c r="AT114" t="str">
        <f t="shared" si="21"/>
        <v>NoData</v>
      </c>
      <c r="AU114" t="str">
        <f t="shared" si="22"/>
        <v>NoData</v>
      </c>
      <c r="AV114" t="s">
        <v>11</v>
      </c>
      <c r="AW114" t="s">
        <v>11</v>
      </c>
      <c r="AX114" t="s">
        <v>11</v>
      </c>
      <c r="AY114" t="s">
        <v>11</v>
      </c>
      <c r="AZ114" t="str">
        <f t="shared" si="13"/>
        <v>NoData</v>
      </c>
      <c r="BA114" t="str">
        <f t="shared" si="14"/>
        <v>NoData</v>
      </c>
      <c r="BB114">
        <f t="shared" si="19"/>
        <v>0</v>
      </c>
      <c r="BC114" t="str">
        <f t="shared" si="20"/>
        <v>NoData</v>
      </c>
      <c r="BD114" t="s">
        <v>11</v>
      </c>
      <c r="BE114" t="s">
        <v>11</v>
      </c>
      <c r="BF114" t="s">
        <v>11</v>
      </c>
      <c r="BG114" t="s">
        <v>11</v>
      </c>
      <c r="BH114" t="s">
        <v>11</v>
      </c>
      <c r="BI114" t="s">
        <v>11</v>
      </c>
      <c r="BJ114">
        <v>63</v>
      </c>
      <c r="BK114" t="s">
        <v>11</v>
      </c>
      <c r="BL114" t="s">
        <v>11</v>
      </c>
      <c r="BM114" t="s">
        <v>11</v>
      </c>
      <c r="BN114" t="s">
        <v>11</v>
      </c>
      <c r="BO114" t="s">
        <v>11</v>
      </c>
      <c r="BP114" t="str">
        <f t="shared" si="15"/>
        <v>NoData</v>
      </c>
      <c r="BQ114" t="str">
        <f t="shared" si="16"/>
        <v>NoData</v>
      </c>
      <c r="BR114" t="s">
        <v>11</v>
      </c>
      <c r="BS114" t="s">
        <v>11</v>
      </c>
      <c r="BT114" t="s">
        <v>11</v>
      </c>
      <c r="BU114" t="s">
        <v>11</v>
      </c>
    </row>
    <row r="115" spans="1:73" x14ac:dyDescent="0.25">
      <c r="A115" s="5">
        <v>29281</v>
      </c>
      <c r="B115">
        <v>1677</v>
      </c>
      <c r="C115" t="s">
        <v>11</v>
      </c>
      <c r="D115" t="s">
        <v>11</v>
      </c>
      <c r="E115" t="s">
        <v>11</v>
      </c>
      <c r="F115">
        <v>5268</v>
      </c>
      <c r="G115" t="s">
        <v>11</v>
      </c>
      <c r="H115">
        <v>1184</v>
      </c>
      <c r="I115" t="s">
        <v>11</v>
      </c>
      <c r="J115">
        <v>578</v>
      </c>
      <c r="K115" t="s">
        <v>11</v>
      </c>
      <c r="L115">
        <v>45839</v>
      </c>
      <c r="M115">
        <v>29182</v>
      </c>
      <c r="N115">
        <v>306</v>
      </c>
      <c r="O115" t="s">
        <v>11</v>
      </c>
      <c r="P115" t="s">
        <v>11</v>
      </c>
      <c r="Q115" t="s">
        <v>11</v>
      </c>
      <c r="R115" t="s">
        <v>11</v>
      </c>
      <c r="S115" t="s">
        <v>11</v>
      </c>
      <c r="T115" s="34">
        <v>83057</v>
      </c>
      <c r="U115" s="34">
        <v>49028</v>
      </c>
      <c r="V115" s="34">
        <v>5301</v>
      </c>
      <c r="W115" t="s">
        <v>11</v>
      </c>
      <c r="X115">
        <v>4354</v>
      </c>
      <c r="Y115" t="s">
        <v>11</v>
      </c>
      <c r="Z115">
        <v>3043</v>
      </c>
      <c r="AA115">
        <v>2624</v>
      </c>
      <c r="AB115">
        <v>25603</v>
      </c>
      <c r="AC115">
        <v>18208</v>
      </c>
      <c r="AD115">
        <v>2418</v>
      </c>
      <c r="AE115" t="s">
        <v>11</v>
      </c>
      <c r="AF115">
        <v>5101</v>
      </c>
      <c r="AG115" t="s">
        <v>11</v>
      </c>
      <c r="AH115">
        <f t="shared" si="17"/>
        <v>2418</v>
      </c>
      <c r="AI115" t="str">
        <f t="shared" si="18"/>
        <v>NoData</v>
      </c>
      <c r="AJ115">
        <v>15397</v>
      </c>
      <c r="AK115" t="s">
        <v>11</v>
      </c>
      <c r="AL115">
        <v>27510</v>
      </c>
      <c r="AM115">
        <v>11563</v>
      </c>
      <c r="AN115">
        <v>183</v>
      </c>
      <c r="AO115" t="s">
        <v>11</v>
      </c>
      <c r="AP115" t="s">
        <v>11</v>
      </c>
      <c r="AQ115" t="s">
        <v>11</v>
      </c>
      <c r="AR115" t="s">
        <v>11</v>
      </c>
      <c r="AS115" t="s">
        <v>11</v>
      </c>
      <c r="AT115" t="str">
        <f t="shared" si="21"/>
        <v>NoData</v>
      </c>
      <c r="AU115" t="str">
        <f t="shared" si="22"/>
        <v>NoData</v>
      </c>
      <c r="AV115" t="s">
        <v>11</v>
      </c>
      <c r="AW115" t="s">
        <v>11</v>
      </c>
      <c r="AX115" t="s">
        <v>11</v>
      </c>
      <c r="AY115" t="s">
        <v>11</v>
      </c>
      <c r="AZ115" t="str">
        <f t="shared" si="13"/>
        <v>NoData</v>
      </c>
      <c r="BA115" t="str">
        <f t="shared" si="14"/>
        <v>NoData</v>
      </c>
      <c r="BB115">
        <f t="shared" si="19"/>
        <v>183</v>
      </c>
      <c r="BC115" t="str">
        <f t="shared" si="20"/>
        <v>NoData</v>
      </c>
      <c r="BD115" t="s">
        <v>11</v>
      </c>
      <c r="BE115" t="s">
        <v>11</v>
      </c>
      <c r="BF115" t="s">
        <v>11</v>
      </c>
      <c r="BG115" t="s">
        <v>11</v>
      </c>
      <c r="BH115" t="s">
        <v>11</v>
      </c>
      <c r="BI115" t="s">
        <v>11</v>
      </c>
      <c r="BJ115">
        <v>43</v>
      </c>
      <c r="BK115" t="s">
        <v>11</v>
      </c>
      <c r="BL115" t="s">
        <v>11</v>
      </c>
      <c r="BM115" t="s">
        <v>11</v>
      </c>
      <c r="BN115" t="s">
        <v>11</v>
      </c>
      <c r="BO115" t="s">
        <v>11</v>
      </c>
      <c r="BP115" t="str">
        <f t="shared" si="15"/>
        <v>NoData</v>
      </c>
      <c r="BQ115" t="str">
        <f t="shared" si="16"/>
        <v>NoData</v>
      </c>
      <c r="BR115" t="s">
        <v>11</v>
      </c>
      <c r="BS115" t="s">
        <v>11</v>
      </c>
      <c r="BT115" t="s">
        <v>11</v>
      </c>
      <c r="BU115" t="s">
        <v>11</v>
      </c>
    </row>
    <row r="116" spans="1:73" x14ac:dyDescent="0.25">
      <c r="A116" s="5">
        <v>29312</v>
      </c>
      <c r="B116">
        <v>3323</v>
      </c>
      <c r="C116" t="s">
        <v>11</v>
      </c>
      <c r="D116" t="s">
        <v>11</v>
      </c>
      <c r="E116" t="s">
        <v>11</v>
      </c>
      <c r="F116">
        <v>8485</v>
      </c>
      <c r="G116" t="s">
        <v>11</v>
      </c>
      <c r="H116">
        <v>2346</v>
      </c>
      <c r="I116" t="s">
        <v>11</v>
      </c>
      <c r="J116">
        <v>1660</v>
      </c>
      <c r="K116" t="s">
        <v>11</v>
      </c>
      <c r="L116">
        <v>69883</v>
      </c>
      <c r="M116">
        <v>48042</v>
      </c>
      <c r="N116">
        <v>369</v>
      </c>
      <c r="O116" t="s">
        <v>11</v>
      </c>
      <c r="P116" t="s">
        <v>11</v>
      </c>
      <c r="Q116" t="s">
        <v>11</v>
      </c>
      <c r="R116" t="s">
        <v>11</v>
      </c>
      <c r="S116" t="s">
        <v>11</v>
      </c>
      <c r="T116" s="34">
        <v>106534</v>
      </c>
      <c r="U116" s="34">
        <v>64041</v>
      </c>
      <c r="V116" s="34">
        <v>3872</v>
      </c>
      <c r="W116" t="s">
        <v>11</v>
      </c>
      <c r="X116">
        <v>4492</v>
      </c>
      <c r="Y116" t="s">
        <v>11</v>
      </c>
      <c r="Z116">
        <v>4242</v>
      </c>
      <c r="AA116">
        <v>3604</v>
      </c>
      <c r="AB116">
        <v>31284</v>
      </c>
      <c r="AC116">
        <v>23317</v>
      </c>
      <c r="AD116">
        <v>3168</v>
      </c>
      <c r="AE116" t="s">
        <v>11</v>
      </c>
      <c r="AF116">
        <v>6431</v>
      </c>
      <c r="AG116" t="s">
        <v>11</v>
      </c>
      <c r="AH116">
        <f t="shared" si="17"/>
        <v>3168</v>
      </c>
      <c r="AI116" t="str">
        <f t="shared" si="18"/>
        <v>NoData</v>
      </c>
      <c r="AJ116">
        <v>20671</v>
      </c>
      <c r="AK116" t="s">
        <v>11</v>
      </c>
      <c r="AL116">
        <v>31922</v>
      </c>
      <c r="AM116">
        <v>15560</v>
      </c>
      <c r="AN116">
        <v>20</v>
      </c>
      <c r="AO116" t="s">
        <v>11</v>
      </c>
      <c r="AP116" t="s">
        <v>11</v>
      </c>
      <c r="AQ116" t="s">
        <v>11</v>
      </c>
      <c r="AR116" t="s">
        <v>11</v>
      </c>
      <c r="AS116" t="s">
        <v>11</v>
      </c>
      <c r="AT116" t="str">
        <f t="shared" si="21"/>
        <v>NoData</v>
      </c>
      <c r="AU116" t="str">
        <f t="shared" si="22"/>
        <v>NoData</v>
      </c>
      <c r="AV116" t="s">
        <v>11</v>
      </c>
      <c r="AW116" t="s">
        <v>11</v>
      </c>
      <c r="AX116" t="s">
        <v>11</v>
      </c>
      <c r="AY116" t="s">
        <v>11</v>
      </c>
      <c r="AZ116" t="str">
        <f t="shared" si="13"/>
        <v>NoData</v>
      </c>
      <c r="BA116" t="str">
        <f t="shared" si="14"/>
        <v>NoData</v>
      </c>
      <c r="BB116">
        <f t="shared" si="19"/>
        <v>20</v>
      </c>
      <c r="BC116" t="str">
        <f t="shared" si="20"/>
        <v>NoData</v>
      </c>
      <c r="BD116" t="s">
        <v>11</v>
      </c>
      <c r="BE116" t="s">
        <v>11</v>
      </c>
      <c r="BF116" t="s">
        <v>11</v>
      </c>
      <c r="BG116" t="s">
        <v>11</v>
      </c>
      <c r="BH116" t="s">
        <v>11</v>
      </c>
      <c r="BI116" t="s">
        <v>11</v>
      </c>
      <c r="BJ116">
        <v>75</v>
      </c>
      <c r="BK116" t="s">
        <v>11</v>
      </c>
      <c r="BL116" t="s">
        <v>11</v>
      </c>
      <c r="BM116" t="s">
        <v>11</v>
      </c>
      <c r="BN116" t="s">
        <v>11</v>
      </c>
      <c r="BO116" t="s">
        <v>11</v>
      </c>
      <c r="BP116" t="str">
        <f t="shared" si="15"/>
        <v>NoData</v>
      </c>
      <c r="BQ116" t="str">
        <f t="shared" si="16"/>
        <v>NoData</v>
      </c>
      <c r="BR116" t="s">
        <v>11</v>
      </c>
      <c r="BS116" t="s">
        <v>11</v>
      </c>
      <c r="BT116" t="s">
        <v>11</v>
      </c>
      <c r="BU116" t="s">
        <v>11</v>
      </c>
    </row>
    <row r="117" spans="1:73" x14ac:dyDescent="0.25">
      <c r="A117" s="5">
        <v>29342</v>
      </c>
      <c r="B117">
        <v>3138</v>
      </c>
      <c r="C117" t="s">
        <v>11</v>
      </c>
      <c r="D117" t="s">
        <v>11</v>
      </c>
      <c r="E117" t="s">
        <v>11</v>
      </c>
      <c r="F117">
        <v>5330</v>
      </c>
      <c r="G117" t="s">
        <v>11</v>
      </c>
      <c r="H117">
        <v>2214</v>
      </c>
      <c r="I117" t="s">
        <v>11</v>
      </c>
      <c r="J117">
        <v>2367</v>
      </c>
      <c r="K117" t="s">
        <v>11</v>
      </c>
      <c r="L117">
        <v>52140</v>
      </c>
      <c r="M117">
        <v>29069</v>
      </c>
      <c r="N117">
        <v>544</v>
      </c>
      <c r="O117" t="s">
        <v>11</v>
      </c>
      <c r="P117" t="s">
        <v>11</v>
      </c>
      <c r="Q117" t="s">
        <v>11</v>
      </c>
      <c r="R117" t="s">
        <v>11</v>
      </c>
      <c r="S117" t="s">
        <v>11</v>
      </c>
      <c r="T117" s="34">
        <v>85784</v>
      </c>
      <c r="U117" s="34">
        <v>39676</v>
      </c>
      <c r="V117" s="34">
        <v>3332</v>
      </c>
      <c r="W117" t="s">
        <v>11</v>
      </c>
      <c r="X117">
        <v>4549</v>
      </c>
      <c r="Y117" t="s">
        <v>11</v>
      </c>
      <c r="Z117">
        <v>3116</v>
      </c>
      <c r="AA117">
        <v>2451</v>
      </c>
      <c r="AB117">
        <v>25113</v>
      </c>
      <c r="AC117">
        <v>16776</v>
      </c>
      <c r="AD117">
        <v>3282</v>
      </c>
      <c r="AE117" t="s">
        <v>11</v>
      </c>
      <c r="AF117">
        <v>5503</v>
      </c>
      <c r="AG117" t="s">
        <v>11</v>
      </c>
      <c r="AH117">
        <f t="shared" si="17"/>
        <v>3282</v>
      </c>
      <c r="AI117" t="str">
        <f t="shared" si="18"/>
        <v>NoData</v>
      </c>
      <c r="AJ117">
        <v>24028</v>
      </c>
      <c r="AK117" t="s">
        <v>11</v>
      </c>
      <c r="AL117">
        <v>28775</v>
      </c>
      <c r="AM117">
        <v>11788</v>
      </c>
      <c r="AN117">
        <v>157</v>
      </c>
      <c r="AO117" t="s">
        <v>11</v>
      </c>
      <c r="AP117" t="s">
        <v>11</v>
      </c>
      <c r="AQ117" t="s">
        <v>11</v>
      </c>
      <c r="AR117" t="s">
        <v>11</v>
      </c>
      <c r="AS117" t="s">
        <v>11</v>
      </c>
      <c r="AT117" t="str">
        <f t="shared" si="21"/>
        <v>NoData</v>
      </c>
      <c r="AU117" t="str">
        <f t="shared" si="22"/>
        <v>NoData</v>
      </c>
      <c r="AV117" t="s">
        <v>11</v>
      </c>
      <c r="AW117" t="s">
        <v>11</v>
      </c>
      <c r="AX117" t="s">
        <v>11</v>
      </c>
      <c r="AY117" t="s">
        <v>11</v>
      </c>
      <c r="AZ117" t="str">
        <f t="shared" si="13"/>
        <v>NoData</v>
      </c>
      <c r="BA117" t="str">
        <f t="shared" si="14"/>
        <v>NoData</v>
      </c>
      <c r="BB117">
        <f t="shared" si="19"/>
        <v>157</v>
      </c>
      <c r="BC117" t="str">
        <f t="shared" si="20"/>
        <v>NoData</v>
      </c>
      <c r="BD117" t="s">
        <v>11</v>
      </c>
      <c r="BE117" t="s">
        <v>11</v>
      </c>
      <c r="BF117" t="s">
        <v>11</v>
      </c>
      <c r="BG117" t="s">
        <v>11</v>
      </c>
      <c r="BH117" t="s">
        <v>11</v>
      </c>
      <c r="BI117" t="s">
        <v>11</v>
      </c>
      <c r="BJ117">
        <v>63</v>
      </c>
      <c r="BK117" t="s">
        <v>11</v>
      </c>
      <c r="BL117" t="s">
        <v>11</v>
      </c>
      <c r="BM117" t="s">
        <v>11</v>
      </c>
      <c r="BN117" t="s">
        <v>11</v>
      </c>
      <c r="BO117" t="s">
        <v>11</v>
      </c>
      <c r="BP117" t="str">
        <f t="shared" si="15"/>
        <v>NoData</v>
      </c>
      <c r="BQ117" t="str">
        <f t="shared" si="16"/>
        <v>NoData</v>
      </c>
      <c r="BR117" t="s">
        <v>11</v>
      </c>
      <c r="BS117" t="s">
        <v>11</v>
      </c>
      <c r="BT117" t="s">
        <v>11</v>
      </c>
      <c r="BU117" t="s">
        <v>11</v>
      </c>
    </row>
    <row r="118" spans="1:73" x14ac:dyDescent="0.25">
      <c r="A118" s="5">
        <v>29373</v>
      </c>
      <c r="B118">
        <v>3391</v>
      </c>
      <c r="C118" t="s">
        <v>11</v>
      </c>
      <c r="D118" t="s">
        <v>11</v>
      </c>
      <c r="E118" t="s">
        <v>11</v>
      </c>
      <c r="F118">
        <v>9321</v>
      </c>
      <c r="G118" t="s">
        <v>11</v>
      </c>
      <c r="H118">
        <v>2393</v>
      </c>
      <c r="I118" t="s">
        <v>11</v>
      </c>
      <c r="J118">
        <v>1489</v>
      </c>
      <c r="K118" t="s">
        <v>11</v>
      </c>
      <c r="L118">
        <v>74034</v>
      </c>
      <c r="M118">
        <v>51197</v>
      </c>
      <c r="N118">
        <v>1175</v>
      </c>
      <c r="O118" t="s">
        <v>11</v>
      </c>
      <c r="P118" t="s">
        <v>11</v>
      </c>
      <c r="Q118" t="s">
        <v>11</v>
      </c>
      <c r="R118" t="s">
        <v>11</v>
      </c>
      <c r="S118" t="s">
        <v>11</v>
      </c>
      <c r="T118" s="34">
        <v>98858</v>
      </c>
      <c r="U118" s="34">
        <v>56038</v>
      </c>
      <c r="V118" s="34">
        <v>6234</v>
      </c>
      <c r="W118" t="s">
        <v>11</v>
      </c>
      <c r="X118">
        <v>6055</v>
      </c>
      <c r="Y118" t="s">
        <v>11</v>
      </c>
      <c r="Z118">
        <v>3585</v>
      </c>
      <c r="AA118">
        <v>2937</v>
      </c>
      <c r="AB118">
        <v>33333</v>
      </c>
      <c r="AC118">
        <v>24723</v>
      </c>
      <c r="AD118">
        <v>3893</v>
      </c>
      <c r="AE118" t="s">
        <v>11</v>
      </c>
      <c r="AF118">
        <v>5896</v>
      </c>
      <c r="AG118" t="s">
        <v>11</v>
      </c>
      <c r="AH118">
        <f t="shared" si="17"/>
        <v>3893</v>
      </c>
      <c r="AI118" t="str">
        <f t="shared" si="18"/>
        <v>NoData</v>
      </c>
      <c r="AJ118">
        <v>27454</v>
      </c>
      <c r="AK118" t="s">
        <v>11</v>
      </c>
      <c r="AL118">
        <v>35300</v>
      </c>
      <c r="AM118">
        <v>19295</v>
      </c>
      <c r="AN118">
        <v>93</v>
      </c>
      <c r="AO118" t="s">
        <v>11</v>
      </c>
      <c r="AP118" t="s">
        <v>11</v>
      </c>
      <c r="AQ118" t="s">
        <v>11</v>
      </c>
      <c r="AR118" t="s">
        <v>11</v>
      </c>
      <c r="AS118" t="s">
        <v>11</v>
      </c>
      <c r="AT118" t="str">
        <f t="shared" si="21"/>
        <v>NoData</v>
      </c>
      <c r="AU118" t="str">
        <f t="shared" si="22"/>
        <v>NoData</v>
      </c>
      <c r="AV118" t="s">
        <v>11</v>
      </c>
      <c r="AW118" t="s">
        <v>11</v>
      </c>
      <c r="AX118" t="s">
        <v>11</v>
      </c>
      <c r="AY118" t="s">
        <v>11</v>
      </c>
      <c r="AZ118" t="str">
        <f t="shared" si="13"/>
        <v>NoData</v>
      </c>
      <c r="BA118" t="str">
        <f t="shared" si="14"/>
        <v>NoData</v>
      </c>
      <c r="BB118">
        <f t="shared" si="19"/>
        <v>93</v>
      </c>
      <c r="BC118" t="str">
        <f t="shared" si="20"/>
        <v>NoData</v>
      </c>
      <c r="BD118" t="s">
        <v>11</v>
      </c>
      <c r="BE118" t="s">
        <v>11</v>
      </c>
      <c r="BF118" t="s">
        <v>11</v>
      </c>
      <c r="BG118" t="s">
        <v>11</v>
      </c>
      <c r="BH118" t="s">
        <v>11</v>
      </c>
      <c r="BI118" t="s">
        <v>11</v>
      </c>
      <c r="BJ118">
        <v>99</v>
      </c>
      <c r="BK118" t="s">
        <v>11</v>
      </c>
      <c r="BL118" t="s">
        <v>11</v>
      </c>
      <c r="BM118" t="s">
        <v>11</v>
      </c>
      <c r="BN118" t="s">
        <v>11</v>
      </c>
      <c r="BO118" t="s">
        <v>11</v>
      </c>
      <c r="BP118" t="str">
        <f t="shared" si="15"/>
        <v>NoData</v>
      </c>
      <c r="BQ118" t="str">
        <f t="shared" si="16"/>
        <v>NoData</v>
      </c>
      <c r="BR118" t="s">
        <v>11</v>
      </c>
      <c r="BS118" t="s">
        <v>11</v>
      </c>
      <c r="BT118" t="s">
        <v>11</v>
      </c>
      <c r="BU118" t="s">
        <v>11</v>
      </c>
    </row>
    <row r="119" spans="1:73" x14ac:dyDescent="0.25">
      <c r="A119" s="5">
        <v>29403</v>
      </c>
      <c r="B119">
        <v>4295</v>
      </c>
      <c r="C119" t="s">
        <v>11</v>
      </c>
      <c r="D119" t="s">
        <v>11</v>
      </c>
      <c r="E119" t="s">
        <v>11</v>
      </c>
      <c r="F119">
        <v>11193</v>
      </c>
      <c r="G119" t="s">
        <v>11</v>
      </c>
      <c r="H119">
        <v>3031</v>
      </c>
      <c r="I119" t="s">
        <v>11</v>
      </c>
      <c r="J119">
        <v>2052</v>
      </c>
      <c r="K119" t="s">
        <v>11</v>
      </c>
      <c r="L119">
        <v>91876</v>
      </c>
      <c r="M119">
        <v>66359</v>
      </c>
      <c r="N119">
        <v>1364</v>
      </c>
      <c r="O119" t="s">
        <v>11</v>
      </c>
      <c r="P119" t="s">
        <v>11</v>
      </c>
      <c r="Q119" t="s">
        <v>11</v>
      </c>
      <c r="R119" t="s">
        <v>11</v>
      </c>
      <c r="S119" t="s">
        <v>11</v>
      </c>
      <c r="T119" s="34">
        <v>116352</v>
      </c>
      <c r="U119" s="34">
        <v>71310</v>
      </c>
      <c r="V119" s="34">
        <v>6896</v>
      </c>
      <c r="W119" t="s">
        <v>11</v>
      </c>
      <c r="X119">
        <v>7192</v>
      </c>
      <c r="Y119" t="s">
        <v>11</v>
      </c>
      <c r="Z119">
        <v>4924</v>
      </c>
      <c r="AA119">
        <v>3971</v>
      </c>
      <c r="AB119">
        <v>39453</v>
      </c>
      <c r="AC119">
        <v>20869</v>
      </c>
      <c r="AD119">
        <v>4837</v>
      </c>
      <c r="AE119" t="s">
        <v>11</v>
      </c>
      <c r="AF119">
        <v>8573</v>
      </c>
      <c r="AG119" t="s">
        <v>11</v>
      </c>
      <c r="AH119">
        <f t="shared" si="17"/>
        <v>4837</v>
      </c>
      <c r="AI119" t="str">
        <f t="shared" si="18"/>
        <v>NoData</v>
      </c>
      <c r="AJ119">
        <v>32986</v>
      </c>
      <c r="AK119" t="s">
        <v>11</v>
      </c>
      <c r="AL119">
        <v>47054</v>
      </c>
      <c r="AM119">
        <v>32269</v>
      </c>
      <c r="AN119">
        <v>200</v>
      </c>
      <c r="AO119" t="s">
        <v>11</v>
      </c>
      <c r="AP119" t="s">
        <v>11</v>
      </c>
      <c r="AQ119" t="s">
        <v>11</v>
      </c>
      <c r="AR119" t="s">
        <v>11</v>
      </c>
      <c r="AS119" t="s">
        <v>11</v>
      </c>
      <c r="AT119" t="str">
        <f t="shared" si="21"/>
        <v>NoData</v>
      </c>
      <c r="AU119" t="str">
        <f t="shared" si="22"/>
        <v>NoData</v>
      </c>
      <c r="AV119" t="s">
        <v>11</v>
      </c>
      <c r="AW119" t="s">
        <v>11</v>
      </c>
      <c r="AX119" t="s">
        <v>11</v>
      </c>
      <c r="AY119" t="s">
        <v>11</v>
      </c>
      <c r="AZ119" t="str">
        <f t="shared" si="13"/>
        <v>NoData</v>
      </c>
      <c r="BA119" t="str">
        <f t="shared" si="14"/>
        <v>NoData</v>
      </c>
      <c r="BB119">
        <f t="shared" si="19"/>
        <v>200</v>
      </c>
      <c r="BC119" t="str">
        <f t="shared" si="20"/>
        <v>NoData</v>
      </c>
      <c r="BD119" t="s">
        <v>11</v>
      </c>
      <c r="BE119" t="s">
        <v>11</v>
      </c>
      <c r="BF119" t="s">
        <v>11</v>
      </c>
      <c r="BG119" t="s">
        <v>11</v>
      </c>
      <c r="BH119" t="s">
        <v>11</v>
      </c>
      <c r="BI119" t="s">
        <v>11</v>
      </c>
      <c r="BJ119">
        <v>188</v>
      </c>
      <c r="BK119" t="s">
        <v>11</v>
      </c>
      <c r="BL119" t="s">
        <v>11</v>
      </c>
      <c r="BM119" t="s">
        <v>11</v>
      </c>
      <c r="BN119" t="s">
        <v>11</v>
      </c>
      <c r="BO119" t="s">
        <v>11</v>
      </c>
      <c r="BP119" t="str">
        <f t="shared" si="15"/>
        <v>NoData</v>
      </c>
      <c r="BQ119" t="str">
        <f t="shared" si="16"/>
        <v>NoData</v>
      </c>
      <c r="BR119" t="s">
        <v>11</v>
      </c>
      <c r="BS119" t="s">
        <v>11</v>
      </c>
      <c r="BT119" t="s">
        <v>11</v>
      </c>
      <c r="BU119" t="s">
        <v>11</v>
      </c>
    </row>
    <row r="120" spans="1:73" x14ac:dyDescent="0.25">
      <c r="A120" s="5">
        <v>29434</v>
      </c>
      <c r="B120">
        <v>4061</v>
      </c>
      <c r="C120" t="s">
        <v>11</v>
      </c>
      <c r="D120" t="s">
        <v>11</v>
      </c>
      <c r="E120" t="s">
        <v>11</v>
      </c>
      <c r="F120">
        <v>10701</v>
      </c>
      <c r="G120" t="s">
        <v>11</v>
      </c>
      <c r="H120">
        <v>2865</v>
      </c>
      <c r="I120" t="s">
        <v>11</v>
      </c>
      <c r="J120">
        <v>2250</v>
      </c>
      <c r="K120" t="s">
        <v>11</v>
      </c>
      <c r="L120">
        <v>85893</v>
      </c>
      <c r="M120">
        <v>58308</v>
      </c>
      <c r="N120">
        <v>1407</v>
      </c>
      <c r="O120" t="s">
        <v>11</v>
      </c>
      <c r="P120" t="s">
        <v>11</v>
      </c>
      <c r="Q120" t="s">
        <v>11</v>
      </c>
      <c r="R120" t="s">
        <v>11</v>
      </c>
      <c r="S120" t="s">
        <v>11</v>
      </c>
      <c r="T120" s="34">
        <v>107387</v>
      </c>
      <c r="U120" s="34">
        <v>58913</v>
      </c>
      <c r="V120" s="34">
        <v>5687</v>
      </c>
      <c r="W120" t="s">
        <v>11</v>
      </c>
      <c r="X120">
        <v>5848</v>
      </c>
      <c r="Y120" t="s">
        <v>11</v>
      </c>
      <c r="Z120">
        <v>4523</v>
      </c>
      <c r="AA120">
        <v>3548</v>
      </c>
      <c r="AB120">
        <v>34256</v>
      </c>
      <c r="AC120">
        <v>25055</v>
      </c>
      <c r="AD120">
        <v>4664</v>
      </c>
      <c r="AE120" t="s">
        <v>11</v>
      </c>
      <c r="AF120">
        <v>7747</v>
      </c>
      <c r="AG120" t="s">
        <v>11</v>
      </c>
      <c r="AH120">
        <f t="shared" si="17"/>
        <v>4664</v>
      </c>
      <c r="AI120" t="str">
        <f t="shared" si="18"/>
        <v>NoData</v>
      </c>
      <c r="AJ120">
        <v>31196</v>
      </c>
      <c r="AK120" t="s">
        <v>11</v>
      </c>
      <c r="AL120">
        <v>45119</v>
      </c>
      <c r="AM120">
        <v>28737</v>
      </c>
      <c r="AN120">
        <v>193</v>
      </c>
      <c r="AO120" t="s">
        <v>11</v>
      </c>
      <c r="AP120" t="s">
        <v>11</v>
      </c>
      <c r="AQ120" t="s">
        <v>11</v>
      </c>
      <c r="AR120" t="s">
        <v>11</v>
      </c>
      <c r="AS120" t="s">
        <v>11</v>
      </c>
      <c r="AT120" t="str">
        <f t="shared" si="21"/>
        <v>NoData</v>
      </c>
      <c r="AU120" t="str">
        <f t="shared" si="22"/>
        <v>NoData</v>
      </c>
      <c r="AV120" t="s">
        <v>11</v>
      </c>
      <c r="AW120" t="s">
        <v>11</v>
      </c>
      <c r="AX120" t="s">
        <v>11</v>
      </c>
      <c r="AY120" t="s">
        <v>11</v>
      </c>
      <c r="AZ120" t="str">
        <f t="shared" si="13"/>
        <v>NoData</v>
      </c>
      <c r="BA120" t="str">
        <f t="shared" si="14"/>
        <v>NoData</v>
      </c>
      <c r="BB120">
        <f t="shared" si="19"/>
        <v>193</v>
      </c>
      <c r="BC120" t="str">
        <f t="shared" si="20"/>
        <v>NoData</v>
      </c>
      <c r="BD120" t="s">
        <v>11</v>
      </c>
      <c r="BE120" t="s">
        <v>11</v>
      </c>
      <c r="BF120" t="s">
        <v>11</v>
      </c>
      <c r="BG120" t="s">
        <v>11</v>
      </c>
      <c r="BH120" t="s">
        <v>11</v>
      </c>
      <c r="BI120" t="s">
        <v>11</v>
      </c>
      <c r="BJ120">
        <v>178</v>
      </c>
      <c r="BK120" t="s">
        <v>11</v>
      </c>
      <c r="BL120" t="s">
        <v>11</v>
      </c>
      <c r="BM120" t="s">
        <v>11</v>
      </c>
      <c r="BN120" t="s">
        <v>11</v>
      </c>
      <c r="BO120" t="s">
        <v>11</v>
      </c>
      <c r="BP120" t="str">
        <f t="shared" si="15"/>
        <v>NoData</v>
      </c>
      <c r="BQ120" t="str">
        <f t="shared" si="16"/>
        <v>NoData</v>
      </c>
      <c r="BR120" t="s">
        <v>11</v>
      </c>
      <c r="BS120" t="s">
        <v>11</v>
      </c>
      <c r="BT120" t="s">
        <v>11</v>
      </c>
      <c r="BU120" t="s">
        <v>11</v>
      </c>
    </row>
    <row r="121" spans="1:73" x14ac:dyDescent="0.25">
      <c r="A121" s="5">
        <v>29465</v>
      </c>
      <c r="B121">
        <v>2664</v>
      </c>
      <c r="C121" t="s">
        <v>11</v>
      </c>
      <c r="D121" t="s">
        <v>11</v>
      </c>
      <c r="E121" t="s">
        <v>11</v>
      </c>
      <c r="F121">
        <v>6899</v>
      </c>
      <c r="G121" t="s">
        <v>11</v>
      </c>
      <c r="H121">
        <v>1880</v>
      </c>
      <c r="I121" t="s">
        <v>11</v>
      </c>
      <c r="J121">
        <v>2587</v>
      </c>
      <c r="K121" t="s">
        <v>11</v>
      </c>
      <c r="L121">
        <v>69686</v>
      </c>
      <c r="M121">
        <v>43034</v>
      </c>
      <c r="N121">
        <v>1135</v>
      </c>
      <c r="O121" t="s">
        <v>11</v>
      </c>
      <c r="P121" t="s">
        <v>11</v>
      </c>
      <c r="Q121" t="s">
        <v>11</v>
      </c>
      <c r="R121" t="s">
        <v>11</v>
      </c>
      <c r="S121" t="s">
        <v>11</v>
      </c>
      <c r="T121" s="34">
        <v>89734</v>
      </c>
      <c r="U121" s="34">
        <v>42524</v>
      </c>
      <c r="V121" s="34">
        <v>3876</v>
      </c>
      <c r="W121" t="s">
        <v>11</v>
      </c>
      <c r="X121">
        <v>3769</v>
      </c>
      <c r="Y121" t="s">
        <v>11</v>
      </c>
      <c r="Z121">
        <v>4213</v>
      </c>
      <c r="AA121">
        <v>3286</v>
      </c>
      <c r="AB121">
        <v>25096</v>
      </c>
      <c r="AC121">
        <v>17012</v>
      </c>
      <c r="AD121">
        <v>3622</v>
      </c>
      <c r="AE121" t="s">
        <v>11</v>
      </c>
      <c r="AF121">
        <v>5629</v>
      </c>
      <c r="AG121" t="s">
        <v>11</v>
      </c>
      <c r="AH121">
        <f t="shared" si="17"/>
        <v>3622</v>
      </c>
      <c r="AI121" t="str">
        <f t="shared" si="18"/>
        <v>NoData</v>
      </c>
      <c r="AJ121">
        <v>22510</v>
      </c>
      <c r="AK121" t="s">
        <v>11</v>
      </c>
      <c r="AL121">
        <v>34588</v>
      </c>
      <c r="AM121">
        <v>19599</v>
      </c>
      <c r="AN121">
        <v>73</v>
      </c>
      <c r="AO121" t="s">
        <v>11</v>
      </c>
      <c r="AP121" t="s">
        <v>11</v>
      </c>
      <c r="AQ121" t="s">
        <v>11</v>
      </c>
      <c r="AR121" t="s">
        <v>11</v>
      </c>
      <c r="AS121" t="s">
        <v>11</v>
      </c>
      <c r="AT121" t="str">
        <f t="shared" si="21"/>
        <v>NoData</v>
      </c>
      <c r="AU121" t="str">
        <f t="shared" si="22"/>
        <v>NoData</v>
      </c>
      <c r="AV121" t="s">
        <v>11</v>
      </c>
      <c r="AW121" t="s">
        <v>11</v>
      </c>
      <c r="AX121" t="s">
        <v>11</v>
      </c>
      <c r="AY121" t="s">
        <v>11</v>
      </c>
      <c r="AZ121" t="str">
        <f t="shared" si="13"/>
        <v>NoData</v>
      </c>
      <c r="BA121" t="str">
        <f t="shared" si="14"/>
        <v>NoData</v>
      </c>
      <c r="BB121">
        <f t="shared" si="19"/>
        <v>73</v>
      </c>
      <c r="BC121" t="str">
        <f t="shared" si="20"/>
        <v>NoData</v>
      </c>
      <c r="BD121" t="s">
        <v>11</v>
      </c>
      <c r="BE121" t="s">
        <v>11</v>
      </c>
      <c r="BF121" t="s">
        <v>11</v>
      </c>
      <c r="BG121" t="s">
        <v>11</v>
      </c>
      <c r="BH121" t="s">
        <v>11</v>
      </c>
      <c r="BI121" t="s">
        <v>11</v>
      </c>
      <c r="BJ121">
        <v>179</v>
      </c>
      <c r="BK121" t="s">
        <v>11</v>
      </c>
      <c r="BL121" t="s">
        <v>11</v>
      </c>
      <c r="BM121" t="s">
        <v>11</v>
      </c>
      <c r="BN121" t="s">
        <v>11</v>
      </c>
      <c r="BO121" t="s">
        <v>11</v>
      </c>
      <c r="BP121" t="str">
        <f t="shared" si="15"/>
        <v>NoData</v>
      </c>
      <c r="BQ121" t="str">
        <f t="shared" si="16"/>
        <v>NoData</v>
      </c>
      <c r="BR121" t="s">
        <v>11</v>
      </c>
      <c r="BS121" t="s">
        <v>11</v>
      </c>
      <c r="BT121" t="s">
        <v>11</v>
      </c>
      <c r="BU121" t="s">
        <v>11</v>
      </c>
    </row>
    <row r="122" spans="1:73" x14ac:dyDescent="0.25">
      <c r="A122" s="5">
        <v>29495</v>
      </c>
      <c r="B122">
        <v>1451</v>
      </c>
      <c r="C122" t="s">
        <v>11</v>
      </c>
      <c r="D122" t="s">
        <v>11</v>
      </c>
      <c r="E122" t="s">
        <v>11</v>
      </c>
      <c r="F122">
        <v>2950</v>
      </c>
      <c r="G122" t="s">
        <v>11</v>
      </c>
      <c r="H122">
        <v>1025</v>
      </c>
      <c r="I122" t="s">
        <v>11</v>
      </c>
      <c r="J122">
        <v>1870</v>
      </c>
      <c r="K122" t="s">
        <v>11</v>
      </c>
      <c r="L122">
        <v>38420</v>
      </c>
      <c r="M122">
        <v>14495</v>
      </c>
      <c r="N122">
        <v>1079</v>
      </c>
      <c r="O122" t="s">
        <v>11</v>
      </c>
      <c r="P122" t="s">
        <v>11</v>
      </c>
      <c r="Q122" t="s">
        <v>11</v>
      </c>
      <c r="R122" t="s">
        <v>11</v>
      </c>
      <c r="S122" t="s">
        <v>11</v>
      </c>
      <c r="T122" s="34">
        <v>58337</v>
      </c>
      <c r="U122" s="34">
        <v>12789</v>
      </c>
      <c r="V122" s="34">
        <v>1606</v>
      </c>
      <c r="W122" t="s">
        <v>11</v>
      </c>
      <c r="X122">
        <v>2774</v>
      </c>
      <c r="Y122" t="s">
        <v>11</v>
      </c>
      <c r="Z122">
        <v>4359</v>
      </c>
      <c r="AA122">
        <v>3213</v>
      </c>
      <c r="AB122">
        <v>19323</v>
      </c>
      <c r="AC122">
        <v>11328</v>
      </c>
      <c r="AD122">
        <v>3060</v>
      </c>
      <c r="AE122" t="s">
        <v>11</v>
      </c>
      <c r="AF122">
        <v>3678</v>
      </c>
      <c r="AG122" t="s">
        <v>11</v>
      </c>
      <c r="AH122">
        <f t="shared" si="17"/>
        <v>3060</v>
      </c>
      <c r="AI122" t="str">
        <f t="shared" si="18"/>
        <v>NoData</v>
      </c>
      <c r="AJ122">
        <v>16924</v>
      </c>
      <c r="AK122" t="s">
        <v>11</v>
      </c>
      <c r="AL122">
        <v>21397</v>
      </c>
      <c r="AM122">
        <v>4759</v>
      </c>
      <c r="AN122">
        <v>20</v>
      </c>
      <c r="AO122" t="s">
        <v>11</v>
      </c>
      <c r="AP122" t="s">
        <v>11</v>
      </c>
      <c r="AQ122" t="s">
        <v>11</v>
      </c>
      <c r="AR122" t="s">
        <v>11</v>
      </c>
      <c r="AS122" t="s">
        <v>11</v>
      </c>
      <c r="AT122" t="str">
        <f t="shared" si="21"/>
        <v>NoData</v>
      </c>
      <c r="AU122" t="str">
        <f t="shared" si="22"/>
        <v>NoData</v>
      </c>
      <c r="AV122" t="s">
        <v>11</v>
      </c>
      <c r="AW122" t="s">
        <v>11</v>
      </c>
      <c r="AX122" t="s">
        <v>11</v>
      </c>
      <c r="AY122" t="s">
        <v>11</v>
      </c>
      <c r="AZ122" t="str">
        <f t="shared" si="13"/>
        <v>NoData</v>
      </c>
      <c r="BA122" t="str">
        <f t="shared" si="14"/>
        <v>NoData</v>
      </c>
      <c r="BB122">
        <f t="shared" si="19"/>
        <v>20</v>
      </c>
      <c r="BC122" t="str">
        <f t="shared" si="20"/>
        <v>NoData</v>
      </c>
      <c r="BD122" t="s">
        <v>11</v>
      </c>
      <c r="BE122" t="s">
        <v>11</v>
      </c>
      <c r="BF122" t="s">
        <v>11</v>
      </c>
      <c r="BG122" t="s">
        <v>11</v>
      </c>
      <c r="BH122" t="s">
        <v>11</v>
      </c>
      <c r="BI122" t="s">
        <v>11</v>
      </c>
      <c r="BJ122">
        <v>91</v>
      </c>
      <c r="BK122" t="s">
        <v>11</v>
      </c>
      <c r="BL122" t="s">
        <v>11</v>
      </c>
      <c r="BM122" t="s">
        <v>11</v>
      </c>
      <c r="BN122" t="s">
        <v>11</v>
      </c>
      <c r="BO122" t="s">
        <v>11</v>
      </c>
      <c r="BP122" t="str">
        <f t="shared" si="15"/>
        <v>NoData</v>
      </c>
      <c r="BQ122" t="str">
        <f t="shared" si="16"/>
        <v>NoData</v>
      </c>
      <c r="BR122" t="s">
        <v>11</v>
      </c>
      <c r="BS122" t="s">
        <v>11</v>
      </c>
      <c r="BT122" t="s">
        <v>11</v>
      </c>
      <c r="BU122" t="s">
        <v>11</v>
      </c>
    </row>
    <row r="123" spans="1:73" x14ac:dyDescent="0.25">
      <c r="A123" s="5">
        <v>29526</v>
      </c>
      <c r="B123">
        <v>940</v>
      </c>
      <c r="C123" t="s">
        <v>11</v>
      </c>
      <c r="D123" t="s">
        <v>11</v>
      </c>
      <c r="E123" t="s">
        <v>11</v>
      </c>
      <c r="F123">
        <v>1138</v>
      </c>
      <c r="G123" t="s">
        <v>11</v>
      </c>
      <c r="H123">
        <v>663</v>
      </c>
      <c r="I123" t="s">
        <v>11</v>
      </c>
      <c r="J123">
        <v>758</v>
      </c>
      <c r="K123" t="s">
        <v>11</v>
      </c>
      <c r="L123">
        <v>20886</v>
      </c>
      <c r="M123">
        <v>2966</v>
      </c>
      <c r="N123">
        <v>1023</v>
      </c>
      <c r="O123" t="s">
        <v>11</v>
      </c>
      <c r="P123" t="s">
        <v>11</v>
      </c>
      <c r="Q123" t="s">
        <v>11</v>
      </c>
      <c r="R123" t="s">
        <v>11</v>
      </c>
      <c r="S123" t="s">
        <v>11</v>
      </c>
      <c r="T123" s="34">
        <v>46188</v>
      </c>
      <c r="U123" s="34">
        <v>7308</v>
      </c>
      <c r="V123" s="34">
        <v>827</v>
      </c>
      <c r="W123" t="s">
        <v>11</v>
      </c>
      <c r="X123">
        <v>1963</v>
      </c>
      <c r="Y123" t="s">
        <v>11</v>
      </c>
      <c r="Z123">
        <v>4051</v>
      </c>
      <c r="AA123">
        <v>2916</v>
      </c>
      <c r="AB123">
        <v>12414</v>
      </c>
      <c r="AC123">
        <v>4358</v>
      </c>
      <c r="AD123">
        <v>1961</v>
      </c>
      <c r="AE123" t="s">
        <v>11</v>
      </c>
      <c r="AF123">
        <v>3781</v>
      </c>
      <c r="AG123" t="s">
        <v>11</v>
      </c>
      <c r="AH123">
        <f t="shared" si="17"/>
        <v>1961</v>
      </c>
      <c r="AI123" t="str">
        <f t="shared" si="18"/>
        <v>NoData</v>
      </c>
      <c r="AJ123">
        <v>13642</v>
      </c>
      <c r="AK123" t="s">
        <v>11</v>
      </c>
      <c r="AL123">
        <v>19207</v>
      </c>
      <c r="AM123">
        <v>3958</v>
      </c>
      <c r="AN123">
        <v>86</v>
      </c>
      <c r="AO123" t="s">
        <v>11</v>
      </c>
      <c r="AP123" t="s">
        <v>11</v>
      </c>
      <c r="AQ123" t="s">
        <v>11</v>
      </c>
      <c r="AR123" t="s">
        <v>11</v>
      </c>
      <c r="AS123" t="s">
        <v>11</v>
      </c>
      <c r="AT123" t="str">
        <f t="shared" si="21"/>
        <v>NoData</v>
      </c>
      <c r="AU123" t="str">
        <f t="shared" si="22"/>
        <v>NoData</v>
      </c>
      <c r="AV123" t="s">
        <v>11</v>
      </c>
      <c r="AW123" t="s">
        <v>11</v>
      </c>
      <c r="AX123" t="s">
        <v>11</v>
      </c>
      <c r="AY123" t="s">
        <v>11</v>
      </c>
      <c r="AZ123" t="str">
        <f t="shared" si="13"/>
        <v>NoData</v>
      </c>
      <c r="BA123" t="str">
        <f t="shared" si="14"/>
        <v>NoData</v>
      </c>
      <c r="BB123">
        <f t="shared" si="19"/>
        <v>86</v>
      </c>
      <c r="BC123" t="str">
        <f t="shared" si="20"/>
        <v>NoData</v>
      </c>
      <c r="BD123" t="s">
        <v>11</v>
      </c>
      <c r="BE123" t="s">
        <v>11</v>
      </c>
      <c r="BF123" t="s">
        <v>11</v>
      </c>
      <c r="BG123" t="s">
        <v>11</v>
      </c>
      <c r="BH123" t="s">
        <v>11</v>
      </c>
      <c r="BI123" t="s">
        <v>11</v>
      </c>
      <c r="BJ123">
        <v>22</v>
      </c>
      <c r="BK123" t="s">
        <v>11</v>
      </c>
      <c r="BL123" t="s">
        <v>11</v>
      </c>
      <c r="BM123" t="s">
        <v>11</v>
      </c>
      <c r="BN123" t="s">
        <v>11</v>
      </c>
      <c r="BO123" t="s">
        <v>11</v>
      </c>
      <c r="BP123" t="str">
        <f t="shared" si="15"/>
        <v>NoData</v>
      </c>
      <c r="BQ123" t="str">
        <f t="shared" si="16"/>
        <v>NoData</v>
      </c>
      <c r="BR123" t="s">
        <v>11</v>
      </c>
      <c r="BS123" t="s">
        <v>11</v>
      </c>
      <c r="BT123" t="s">
        <v>11</v>
      </c>
      <c r="BU123" t="s">
        <v>11</v>
      </c>
    </row>
    <row r="124" spans="1:73" x14ac:dyDescent="0.25">
      <c r="A124" s="5">
        <v>29556</v>
      </c>
      <c r="B124">
        <v>654</v>
      </c>
      <c r="C124" t="s">
        <v>11</v>
      </c>
      <c r="D124" t="s">
        <v>11</v>
      </c>
      <c r="E124" t="s">
        <v>11</v>
      </c>
      <c r="F124">
        <v>888</v>
      </c>
      <c r="G124" t="s">
        <v>11</v>
      </c>
      <c r="H124">
        <v>461</v>
      </c>
      <c r="I124" t="s">
        <v>11</v>
      </c>
      <c r="J124">
        <v>778</v>
      </c>
      <c r="K124" t="s">
        <v>11</v>
      </c>
      <c r="L124">
        <v>25756</v>
      </c>
      <c r="M124">
        <v>9591</v>
      </c>
      <c r="N124">
        <v>1317</v>
      </c>
      <c r="O124" t="s">
        <v>11</v>
      </c>
      <c r="P124" t="s">
        <v>11</v>
      </c>
      <c r="Q124" t="s">
        <v>11</v>
      </c>
      <c r="R124" t="s">
        <v>11</v>
      </c>
      <c r="S124" t="s">
        <v>11</v>
      </c>
      <c r="T124" s="34">
        <v>42992</v>
      </c>
      <c r="U124" s="34">
        <v>7168</v>
      </c>
      <c r="V124" s="34">
        <v>1148</v>
      </c>
      <c r="W124" t="s">
        <v>11</v>
      </c>
      <c r="X124">
        <v>2029</v>
      </c>
      <c r="Y124" t="s">
        <v>11</v>
      </c>
      <c r="Z124">
        <v>2195</v>
      </c>
      <c r="AA124">
        <v>1248</v>
      </c>
      <c r="AB124">
        <v>13106</v>
      </c>
      <c r="AC124">
        <v>5837</v>
      </c>
      <c r="AD124">
        <v>1912</v>
      </c>
      <c r="AE124" t="s">
        <v>11</v>
      </c>
      <c r="AF124">
        <v>3045</v>
      </c>
      <c r="AG124" t="s">
        <v>11</v>
      </c>
      <c r="AH124">
        <f t="shared" si="17"/>
        <v>1912</v>
      </c>
      <c r="AI124" t="str">
        <f t="shared" si="18"/>
        <v>NoData</v>
      </c>
      <c r="AJ124">
        <v>8101</v>
      </c>
      <c r="AK124" t="s">
        <v>11</v>
      </c>
      <c r="AL124">
        <v>17518</v>
      </c>
      <c r="AM124">
        <v>902</v>
      </c>
      <c r="AN124">
        <v>188</v>
      </c>
      <c r="AO124" t="s">
        <v>11</v>
      </c>
      <c r="AP124" t="s">
        <v>11</v>
      </c>
      <c r="AQ124" t="s">
        <v>11</v>
      </c>
      <c r="AR124" t="s">
        <v>11</v>
      </c>
      <c r="AS124" t="s">
        <v>11</v>
      </c>
      <c r="AT124" t="str">
        <f t="shared" si="21"/>
        <v>NoData</v>
      </c>
      <c r="AU124" t="str">
        <f t="shared" si="22"/>
        <v>NoData</v>
      </c>
      <c r="AV124" t="s">
        <v>11</v>
      </c>
      <c r="AW124" t="s">
        <v>11</v>
      </c>
      <c r="AX124" t="s">
        <v>11</v>
      </c>
      <c r="AY124" t="s">
        <v>11</v>
      </c>
      <c r="AZ124" t="str">
        <f t="shared" si="13"/>
        <v>NoData</v>
      </c>
      <c r="BA124" t="str">
        <f t="shared" si="14"/>
        <v>NoData</v>
      </c>
      <c r="BB124">
        <f t="shared" si="19"/>
        <v>188</v>
      </c>
      <c r="BC124" t="str">
        <f t="shared" si="20"/>
        <v>NoData</v>
      </c>
      <c r="BD124" t="s">
        <v>11</v>
      </c>
      <c r="BE124" t="s">
        <v>11</v>
      </c>
      <c r="BF124" t="s">
        <v>11</v>
      </c>
      <c r="BG124" t="s">
        <v>11</v>
      </c>
      <c r="BH124" t="s">
        <v>11</v>
      </c>
      <c r="BI124" t="s">
        <v>11</v>
      </c>
      <c r="BJ124">
        <v>61</v>
      </c>
      <c r="BK124" t="s">
        <v>11</v>
      </c>
      <c r="BL124" t="s">
        <v>11</v>
      </c>
      <c r="BM124" t="s">
        <v>11</v>
      </c>
      <c r="BN124" t="s">
        <v>11</v>
      </c>
      <c r="BO124" t="s">
        <v>11</v>
      </c>
      <c r="BP124" t="str">
        <f t="shared" si="15"/>
        <v>NoData</v>
      </c>
      <c r="BQ124" t="str">
        <f t="shared" si="16"/>
        <v>NoData</v>
      </c>
      <c r="BR124" t="s">
        <v>11</v>
      </c>
      <c r="BS124" t="s">
        <v>11</v>
      </c>
      <c r="BT124" t="s">
        <v>11</v>
      </c>
      <c r="BU124" t="s">
        <v>11</v>
      </c>
    </row>
    <row r="125" spans="1:73" x14ac:dyDescent="0.25">
      <c r="A125" s="5">
        <v>29587</v>
      </c>
      <c r="B125">
        <v>1260</v>
      </c>
      <c r="C125" t="s">
        <v>11</v>
      </c>
      <c r="D125" t="s">
        <v>11</v>
      </c>
      <c r="E125" t="s">
        <v>11</v>
      </c>
      <c r="F125">
        <v>725</v>
      </c>
      <c r="G125" t="s">
        <v>11</v>
      </c>
      <c r="H125">
        <v>267</v>
      </c>
      <c r="I125" t="s">
        <v>11</v>
      </c>
      <c r="J125">
        <v>765</v>
      </c>
      <c r="K125" t="s">
        <v>11</v>
      </c>
      <c r="L125">
        <v>2507</v>
      </c>
      <c r="M125">
        <v>-10582</v>
      </c>
      <c r="N125">
        <v>757</v>
      </c>
      <c r="O125" t="s">
        <v>11</v>
      </c>
      <c r="P125" t="s">
        <v>11</v>
      </c>
      <c r="Q125" t="s">
        <v>11</v>
      </c>
      <c r="R125" t="s">
        <v>11</v>
      </c>
      <c r="S125" t="s">
        <v>11</v>
      </c>
      <c r="T125" s="34">
        <v>41360</v>
      </c>
      <c r="U125" s="34">
        <v>9763</v>
      </c>
      <c r="V125" s="34">
        <v>1821</v>
      </c>
      <c r="W125" t="s">
        <v>11</v>
      </c>
      <c r="X125">
        <v>2217</v>
      </c>
      <c r="Y125" t="s">
        <v>11</v>
      </c>
      <c r="Z125">
        <v>2980</v>
      </c>
      <c r="AA125">
        <v>2249</v>
      </c>
      <c r="AB125">
        <v>17248</v>
      </c>
      <c r="AC125">
        <v>10572</v>
      </c>
      <c r="AD125">
        <v>1540</v>
      </c>
      <c r="AE125" t="s">
        <v>11</v>
      </c>
      <c r="AF125">
        <v>3468</v>
      </c>
      <c r="AG125" t="s">
        <v>11</v>
      </c>
      <c r="AH125">
        <f t="shared" si="17"/>
        <v>1540</v>
      </c>
      <c r="AI125" t="str">
        <f t="shared" si="18"/>
        <v>NoData</v>
      </c>
      <c r="AJ125">
        <v>11825</v>
      </c>
      <c r="AK125" t="s">
        <v>11</v>
      </c>
      <c r="AL125">
        <v>15830</v>
      </c>
      <c r="AM125">
        <v>-944</v>
      </c>
      <c r="AN125">
        <v>58</v>
      </c>
      <c r="AO125" t="s">
        <v>11</v>
      </c>
      <c r="AP125" t="s">
        <v>11</v>
      </c>
      <c r="AQ125" t="s">
        <v>11</v>
      </c>
      <c r="AR125" t="s">
        <v>11</v>
      </c>
      <c r="AS125" t="s">
        <v>11</v>
      </c>
      <c r="AT125" t="str">
        <f t="shared" ref="AT125:AT188" si="23">AP125</f>
        <v>NoData</v>
      </c>
      <c r="AU125" t="str">
        <f t="shared" ref="AU125:AU188" si="24">AQ125</f>
        <v>NoData</v>
      </c>
      <c r="AV125" t="s">
        <v>11</v>
      </c>
      <c r="AW125" t="s">
        <v>11</v>
      </c>
      <c r="AX125" t="s">
        <v>11</v>
      </c>
      <c r="AY125" t="s">
        <v>11</v>
      </c>
      <c r="AZ125" t="str">
        <f t="shared" ref="AZ125:AZ188" si="25">AT125</f>
        <v>NoData</v>
      </c>
      <c r="BA125" t="str">
        <f t="shared" ref="BA125:BA188" si="26">AU125</f>
        <v>NoData</v>
      </c>
      <c r="BB125">
        <f t="shared" si="19"/>
        <v>58</v>
      </c>
      <c r="BC125" t="str">
        <f t="shared" si="20"/>
        <v>NoData</v>
      </c>
      <c r="BD125" t="s">
        <v>11</v>
      </c>
      <c r="BE125" t="s">
        <v>11</v>
      </c>
      <c r="BF125" t="s">
        <v>11</v>
      </c>
      <c r="BG125" t="s">
        <v>11</v>
      </c>
      <c r="BH125" t="s">
        <v>11</v>
      </c>
      <c r="BI125" t="s">
        <v>11</v>
      </c>
      <c r="BJ125">
        <v>25</v>
      </c>
      <c r="BK125" t="s">
        <v>11</v>
      </c>
      <c r="BL125" t="s">
        <v>11</v>
      </c>
      <c r="BM125" t="s">
        <v>11</v>
      </c>
      <c r="BN125" t="s">
        <v>11</v>
      </c>
      <c r="BO125" t="s">
        <v>11</v>
      </c>
      <c r="BP125" t="str">
        <f t="shared" si="15"/>
        <v>NoData</v>
      </c>
      <c r="BQ125" t="str">
        <f t="shared" si="16"/>
        <v>NoData</v>
      </c>
      <c r="BR125" t="s">
        <v>11</v>
      </c>
      <c r="BS125" t="s">
        <v>11</v>
      </c>
      <c r="BT125" t="s">
        <v>11</v>
      </c>
      <c r="BU125" t="s">
        <v>11</v>
      </c>
    </row>
    <row r="126" spans="1:73" x14ac:dyDescent="0.25">
      <c r="A126" s="5">
        <v>29618</v>
      </c>
      <c r="B126">
        <v>1287</v>
      </c>
      <c r="C126" t="s">
        <v>11</v>
      </c>
      <c r="D126" t="s">
        <v>11</v>
      </c>
      <c r="E126" t="s">
        <v>11</v>
      </c>
      <c r="F126">
        <v>899</v>
      </c>
      <c r="G126" t="s">
        <v>11</v>
      </c>
      <c r="H126">
        <v>332</v>
      </c>
      <c r="I126" t="s">
        <v>11</v>
      </c>
      <c r="J126">
        <v>1071</v>
      </c>
      <c r="K126" t="s">
        <v>11</v>
      </c>
      <c r="L126">
        <v>40805</v>
      </c>
      <c r="M126">
        <v>28132</v>
      </c>
      <c r="N126">
        <v>264</v>
      </c>
      <c r="O126" t="s">
        <v>11</v>
      </c>
      <c r="P126" t="s">
        <v>11</v>
      </c>
      <c r="Q126" t="s">
        <v>11</v>
      </c>
      <c r="R126" t="s">
        <v>11</v>
      </c>
      <c r="S126" t="s">
        <v>11</v>
      </c>
      <c r="T126" s="34">
        <v>67941</v>
      </c>
      <c r="U126" s="34">
        <v>36569</v>
      </c>
      <c r="V126" s="34">
        <v>3437</v>
      </c>
      <c r="W126" t="s">
        <v>11</v>
      </c>
      <c r="X126">
        <v>3646</v>
      </c>
      <c r="Y126" t="s">
        <v>11</v>
      </c>
      <c r="Z126">
        <v>3304</v>
      </c>
      <c r="AA126">
        <v>2530</v>
      </c>
      <c r="AB126">
        <v>24349</v>
      </c>
      <c r="AC126">
        <v>17355</v>
      </c>
      <c r="AD126">
        <v>1429</v>
      </c>
      <c r="AE126" t="s">
        <v>11</v>
      </c>
      <c r="AF126">
        <v>4708</v>
      </c>
      <c r="AG126" t="s">
        <v>11</v>
      </c>
      <c r="AH126">
        <f t="shared" si="17"/>
        <v>1429</v>
      </c>
      <c r="AI126" t="str">
        <f t="shared" si="18"/>
        <v>NoData</v>
      </c>
      <c r="AJ126">
        <v>10507</v>
      </c>
      <c r="AK126" t="s">
        <v>11</v>
      </c>
      <c r="AL126">
        <v>28870</v>
      </c>
      <c r="AM126">
        <v>15626</v>
      </c>
      <c r="AN126">
        <v>63</v>
      </c>
      <c r="AO126" t="s">
        <v>11</v>
      </c>
      <c r="AP126" t="s">
        <v>11</v>
      </c>
      <c r="AQ126" t="s">
        <v>11</v>
      </c>
      <c r="AR126" t="s">
        <v>11</v>
      </c>
      <c r="AS126" t="s">
        <v>11</v>
      </c>
      <c r="AT126" t="str">
        <f t="shared" si="23"/>
        <v>NoData</v>
      </c>
      <c r="AU126" t="str">
        <f t="shared" si="24"/>
        <v>NoData</v>
      </c>
      <c r="AV126" t="s">
        <v>11</v>
      </c>
      <c r="AW126" t="s">
        <v>11</v>
      </c>
      <c r="AX126" t="s">
        <v>11</v>
      </c>
      <c r="AY126" t="s">
        <v>11</v>
      </c>
      <c r="AZ126" t="str">
        <f t="shared" si="25"/>
        <v>NoData</v>
      </c>
      <c r="BA126" t="str">
        <f t="shared" si="26"/>
        <v>NoData</v>
      </c>
      <c r="BB126">
        <f t="shared" si="19"/>
        <v>63</v>
      </c>
      <c r="BC126" t="str">
        <f t="shared" si="20"/>
        <v>NoData</v>
      </c>
      <c r="BD126" t="s">
        <v>11</v>
      </c>
      <c r="BE126" t="s">
        <v>11</v>
      </c>
      <c r="BF126" t="s">
        <v>11</v>
      </c>
      <c r="BG126" t="s">
        <v>11</v>
      </c>
      <c r="BH126" t="s">
        <v>11</v>
      </c>
      <c r="BI126" t="s">
        <v>11</v>
      </c>
      <c r="BJ126">
        <v>28</v>
      </c>
      <c r="BK126" t="s">
        <v>11</v>
      </c>
      <c r="BL126" t="s">
        <v>11</v>
      </c>
      <c r="BM126" t="s">
        <v>11</v>
      </c>
      <c r="BN126" t="s">
        <v>11</v>
      </c>
      <c r="BO126" t="s">
        <v>11</v>
      </c>
      <c r="BP126" t="str">
        <f t="shared" si="15"/>
        <v>NoData</v>
      </c>
      <c r="BQ126" t="str">
        <f t="shared" si="16"/>
        <v>NoData</v>
      </c>
      <c r="BR126" t="s">
        <v>11</v>
      </c>
      <c r="BS126" t="s">
        <v>11</v>
      </c>
      <c r="BT126" t="s">
        <v>11</v>
      </c>
      <c r="BU126" t="s">
        <v>11</v>
      </c>
    </row>
    <row r="127" spans="1:73" x14ac:dyDescent="0.25">
      <c r="A127" s="5">
        <v>29646</v>
      </c>
      <c r="B127">
        <v>2608</v>
      </c>
      <c r="C127" t="s">
        <v>11</v>
      </c>
      <c r="D127" t="s">
        <v>11</v>
      </c>
      <c r="E127" t="s">
        <v>11</v>
      </c>
      <c r="F127">
        <v>1941</v>
      </c>
      <c r="G127" t="s">
        <v>11</v>
      </c>
      <c r="H127">
        <v>716</v>
      </c>
      <c r="I127" t="s">
        <v>11</v>
      </c>
      <c r="J127">
        <v>2215</v>
      </c>
      <c r="K127" t="s">
        <v>11</v>
      </c>
      <c r="L127">
        <v>55572</v>
      </c>
      <c r="M127">
        <v>39014</v>
      </c>
      <c r="N127">
        <v>480</v>
      </c>
      <c r="O127" t="s">
        <v>11</v>
      </c>
      <c r="P127" t="s">
        <v>11</v>
      </c>
      <c r="Q127" t="s">
        <v>11</v>
      </c>
      <c r="R127" t="s">
        <v>11</v>
      </c>
      <c r="S127" t="s">
        <v>11</v>
      </c>
      <c r="T127" s="34">
        <v>72301</v>
      </c>
      <c r="U127" s="34">
        <v>35854</v>
      </c>
      <c r="V127" s="34">
        <v>5289</v>
      </c>
      <c r="W127" t="s">
        <v>11</v>
      </c>
      <c r="X127">
        <v>3366</v>
      </c>
      <c r="Y127" t="s">
        <v>11</v>
      </c>
      <c r="Z127">
        <v>3340</v>
      </c>
      <c r="AA127">
        <v>2803</v>
      </c>
      <c r="AB127">
        <v>25014</v>
      </c>
      <c r="AC127">
        <v>17168</v>
      </c>
      <c r="AD127">
        <v>2359</v>
      </c>
      <c r="AE127" t="s">
        <v>11</v>
      </c>
      <c r="AF127">
        <v>4489</v>
      </c>
      <c r="AG127" t="s">
        <v>11</v>
      </c>
      <c r="AH127">
        <f t="shared" si="17"/>
        <v>2359</v>
      </c>
      <c r="AI127" t="str">
        <f t="shared" si="18"/>
        <v>NoData</v>
      </c>
      <c r="AJ127">
        <v>14892</v>
      </c>
      <c r="AK127" t="s">
        <v>11</v>
      </c>
      <c r="AL127">
        <v>38515</v>
      </c>
      <c r="AM127">
        <v>23619</v>
      </c>
      <c r="AN127">
        <v>46</v>
      </c>
      <c r="AO127" t="s">
        <v>11</v>
      </c>
      <c r="AP127" t="s">
        <v>11</v>
      </c>
      <c r="AQ127" t="s">
        <v>11</v>
      </c>
      <c r="AR127" t="s">
        <v>11</v>
      </c>
      <c r="AS127" t="s">
        <v>11</v>
      </c>
      <c r="AT127" t="str">
        <f t="shared" si="23"/>
        <v>NoData</v>
      </c>
      <c r="AU127" t="str">
        <f t="shared" si="24"/>
        <v>NoData</v>
      </c>
      <c r="AV127" t="s">
        <v>11</v>
      </c>
      <c r="AW127" t="s">
        <v>11</v>
      </c>
      <c r="AX127" t="s">
        <v>11</v>
      </c>
      <c r="AY127" t="s">
        <v>11</v>
      </c>
      <c r="AZ127" t="str">
        <f t="shared" si="25"/>
        <v>NoData</v>
      </c>
      <c r="BA127" t="str">
        <f t="shared" si="26"/>
        <v>NoData</v>
      </c>
      <c r="BB127">
        <f t="shared" si="19"/>
        <v>46</v>
      </c>
      <c r="BC127" t="str">
        <f t="shared" si="20"/>
        <v>NoData</v>
      </c>
      <c r="BD127" t="s">
        <v>11</v>
      </c>
      <c r="BE127" t="s">
        <v>11</v>
      </c>
      <c r="BF127" t="s">
        <v>11</v>
      </c>
      <c r="BG127" t="s">
        <v>11</v>
      </c>
      <c r="BH127" t="s">
        <v>11</v>
      </c>
      <c r="BI127" t="s">
        <v>11</v>
      </c>
      <c r="BJ127">
        <v>73</v>
      </c>
      <c r="BK127" t="s">
        <v>11</v>
      </c>
      <c r="BL127" t="s">
        <v>11</v>
      </c>
      <c r="BM127" t="s">
        <v>11</v>
      </c>
      <c r="BN127" t="s">
        <v>11</v>
      </c>
      <c r="BO127" t="s">
        <v>11</v>
      </c>
      <c r="BP127" t="str">
        <f t="shared" si="15"/>
        <v>NoData</v>
      </c>
      <c r="BQ127" t="str">
        <f t="shared" si="16"/>
        <v>NoData</v>
      </c>
      <c r="BR127" t="s">
        <v>11</v>
      </c>
      <c r="BS127" t="s">
        <v>11</v>
      </c>
      <c r="BT127" t="s">
        <v>11</v>
      </c>
      <c r="BU127" t="s">
        <v>11</v>
      </c>
    </row>
    <row r="128" spans="1:73" x14ac:dyDescent="0.25">
      <c r="A128" s="5">
        <v>29677</v>
      </c>
      <c r="B128">
        <v>3152</v>
      </c>
      <c r="C128" t="s">
        <v>11</v>
      </c>
      <c r="D128" t="s">
        <v>11</v>
      </c>
      <c r="E128" t="s">
        <v>11</v>
      </c>
      <c r="F128">
        <v>5784</v>
      </c>
      <c r="G128" t="s">
        <v>11</v>
      </c>
      <c r="H128">
        <v>2133</v>
      </c>
      <c r="I128" t="s">
        <v>11</v>
      </c>
      <c r="J128">
        <v>2049</v>
      </c>
      <c r="K128" t="s">
        <v>11</v>
      </c>
      <c r="L128">
        <v>67764</v>
      </c>
      <c r="M128">
        <v>47708</v>
      </c>
      <c r="N128">
        <v>1435</v>
      </c>
      <c r="O128" t="s">
        <v>11</v>
      </c>
      <c r="P128" t="s">
        <v>11</v>
      </c>
      <c r="Q128" t="s">
        <v>11</v>
      </c>
      <c r="R128" t="s">
        <v>11</v>
      </c>
      <c r="S128" t="s">
        <v>11</v>
      </c>
      <c r="T128" s="34">
        <v>103935</v>
      </c>
      <c r="U128" s="34">
        <v>64501</v>
      </c>
      <c r="V128" s="34">
        <v>4391</v>
      </c>
      <c r="W128" t="s">
        <v>11</v>
      </c>
      <c r="X128">
        <v>3976</v>
      </c>
      <c r="Y128" t="s">
        <v>11</v>
      </c>
      <c r="Z128">
        <v>5848</v>
      </c>
      <c r="AA128">
        <v>5140</v>
      </c>
      <c r="AB128">
        <v>29774</v>
      </c>
      <c r="AC128">
        <v>21398</v>
      </c>
      <c r="AD128">
        <v>3515</v>
      </c>
      <c r="AE128" t="s">
        <v>11</v>
      </c>
      <c r="AF128">
        <v>6230</v>
      </c>
      <c r="AG128" t="s">
        <v>11</v>
      </c>
      <c r="AH128">
        <f t="shared" si="17"/>
        <v>3515</v>
      </c>
      <c r="AI128" t="str">
        <f t="shared" si="18"/>
        <v>NoData</v>
      </c>
      <c r="AJ128">
        <v>20564</v>
      </c>
      <c r="AK128" t="s">
        <v>11</v>
      </c>
      <c r="AL128">
        <v>51568</v>
      </c>
      <c r="AM128">
        <v>37211</v>
      </c>
      <c r="AN128">
        <v>98</v>
      </c>
      <c r="AO128" t="s">
        <v>11</v>
      </c>
      <c r="AP128" t="s">
        <v>11</v>
      </c>
      <c r="AQ128" t="s">
        <v>11</v>
      </c>
      <c r="AR128" t="s">
        <v>11</v>
      </c>
      <c r="AS128" t="s">
        <v>11</v>
      </c>
      <c r="AT128" t="str">
        <f t="shared" si="23"/>
        <v>NoData</v>
      </c>
      <c r="AU128" t="str">
        <f t="shared" si="24"/>
        <v>NoData</v>
      </c>
      <c r="AV128" t="s">
        <v>11</v>
      </c>
      <c r="AW128" t="s">
        <v>11</v>
      </c>
      <c r="AX128" t="s">
        <v>11</v>
      </c>
      <c r="AY128" t="s">
        <v>11</v>
      </c>
      <c r="AZ128" t="str">
        <f t="shared" si="25"/>
        <v>NoData</v>
      </c>
      <c r="BA128" t="str">
        <f t="shared" si="26"/>
        <v>NoData</v>
      </c>
      <c r="BB128">
        <f t="shared" si="19"/>
        <v>98</v>
      </c>
      <c r="BC128" t="str">
        <f t="shared" si="20"/>
        <v>NoData</v>
      </c>
      <c r="BD128" t="s">
        <v>11</v>
      </c>
      <c r="BE128" t="s">
        <v>11</v>
      </c>
      <c r="BF128" t="s">
        <v>11</v>
      </c>
      <c r="BG128" t="s">
        <v>11</v>
      </c>
      <c r="BH128" t="s">
        <v>11</v>
      </c>
      <c r="BI128" t="s">
        <v>11</v>
      </c>
      <c r="BJ128">
        <v>66</v>
      </c>
      <c r="BK128" t="s">
        <v>11</v>
      </c>
      <c r="BL128" t="s">
        <v>11</v>
      </c>
      <c r="BM128" t="s">
        <v>11</v>
      </c>
      <c r="BN128" t="s">
        <v>11</v>
      </c>
      <c r="BO128" t="s">
        <v>11</v>
      </c>
      <c r="BP128" t="str">
        <f t="shared" si="15"/>
        <v>NoData</v>
      </c>
      <c r="BQ128" t="str">
        <f t="shared" si="16"/>
        <v>NoData</v>
      </c>
      <c r="BR128" t="s">
        <v>11</v>
      </c>
      <c r="BS128" t="s">
        <v>11</v>
      </c>
      <c r="BT128" t="s">
        <v>11</v>
      </c>
      <c r="BU128" t="s">
        <v>11</v>
      </c>
    </row>
    <row r="129" spans="1:73" x14ac:dyDescent="0.25">
      <c r="A129" s="5">
        <v>29707</v>
      </c>
      <c r="B129">
        <v>3440</v>
      </c>
      <c r="C129" t="s">
        <v>11</v>
      </c>
      <c r="D129" t="s">
        <v>11</v>
      </c>
      <c r="E129" t="s">
        <v>11</v>
      </c>
      <c r="F129">
        <v>4588</v>
      </c>
      <c r="G129" t="s">
        <v>11</v>
      </c>
      <c r="H129">
        <v>1691</v>
      </c>
      <c r="I129" t="s">
        <v>11</v>
      </c>
      <c r="J129">
        <v>2472</v>
      </c>
      <c r="K129" t="s">
        <v>11</v>
      </c>
      <c r="L129">
        <v>63831</v>
      </c>
      <c r="M129">
        <v>41703</v>
      </c>
      <c r="N129">
        <v>2139</v>
      </c>
      <c r="O129" t="s">
        <v>11</v>
      </c>
      <c r="P129" t="s">
        <v>11</v>
      </c>
      <c r="Q129" t="s">
        <v>11</v>
      </c>
      <c r="R129" t="s">
        <v>11</v>
      </c>
      <c r="S129" t="s">
        <v>11</v>
      </c>
      <c r="T129" s="34">
        <v>105066</v>
      </c>
      <c r="U129" s="34">
        <v>60093</v>
      </c>
      <c r="V129" s="34">
        <v>3058</v>
      </c>
      <c r="W129" t="s">
        <v>11</v>
      </c>
      <c r="X129">
        <v>4758</v>
      </c>
      <c r="Y129" t="s">
        <v>11</v>
      </c>
      <c r="Z129">
        <v>4993</v>
      </c>
      <c r="AA129">
        <v>4215</v>
      </c>
      <c r="AB129">
        <v>31428</v>
      </c>
      <c r="AC129">
        <v>22931</v>
      </c>
      <c r="AD129">
        <v>3248</v>
      </c>
      <c r="AE129" t="s">
        <v>11</v>
      </c>
      <c r="AF129">
        <v>5454</v>
      </c>
      <c r="AG129" t="s">
        <v>11</v>
      </c>
      <c r="AH129">
        <f t="shared" si="17"/>
        <v>3248</v>
      </c>
      <c r="AI129" t="str">
        <f t="shared" si="18"/>
        <v>NoData</v>
      </c>
      <c r="AJ129">
        <v>23670</v>
      </c>
      <c r="AK129" t="s">
        <v>11</v>
      </c>
      <c r="AL129">
        <v>42104</v>
      </c>
      <c r="AM129">
        <v>28239</v>
      </c>
      <c r="AN129">
        <v>118</v>
      </c>
      <c r="AO129" t="s">
        <v>11</v>
      </c>
      <c r="AP129" t="s">
        <v>11</v>
      </c>
      <c r="AQ129" t="s">
        <v>11</v>
      </c>
      <c r="AR129" t="s">
        <v>11</v>
      </c>
      <c r="AS129" t="s">
        <v>11</v>
      </c>
      <c r="AT129" t="str">
        <f t="shared" si="23"/>
        <v>NoData</v>
      </c>
      <c r="AU129" t="str">
        <f t="shared" si="24"/>
        <v>NoData</v>
      </c>
      <c r="AV129" t="s">
        <v>11</v>
      </c>
      <c r="AW129" t="s">
        <v>11</v>
      </c>
      <c r="AX129" t="s">
        <v>11</v>
      </c>
      <c r="AY129" t="s">
        <v>11</v>
      </c>
      <c r="AZ129" t="str">
        <f t="shared" si="25"/>
        <v>NoData</v>
      </c>
      <c r="BA129" t="str">
        <f t="shared" si="26"/>
        <v>NoData</v>
      </c>
      <c r="BB129">
        <f t="shared" si="19"/>
        <v>118</v>
      </c>
      <c r="BC129" t="str">
        <f t="shared" si="20"/>
        <v>NoData</v>
      </c>
      <c r="BD129" t="s">
        <v>11</v>
      </c>
      <c r="BE129" t="s">
        <v>11</v>
      </c>
      <c r="BF129" t="s">
        <v>11</v>
      </c>
      <c r="BG129" t="s">
        <v>11</v>
      </c>
      <c r="BH129" t="s">
        <v>11</v>
      </c>
      <c r="BI129" t="s">
        <v>11</v>
      </c>
      <c r="BJ129">
        <v>80</v>
      </c>
      <c r="BK129" t="s">
        <v>11</v>
      </c>
      <c r="BL129" t="s">
        <v>11</v>
      </c>
      <c r="BM129" t="s">
        <v>11</v>
      </c>
      <c r="BN129" t="s">
        <v>11</v>
      </c>
      <c r="BO129" t="s">
        <v>11</v>
      </c>
      <c r="BP129" t="str">
        <f t="shared" si="15"/>
        <v>NoData</v>
      </c>
      <c r="BQ129" t="str">
        <f t="shared" si="16"/>
        <v>NoData</v>
      </c>
      <c r="BR129" t="s">
        <v>11</v>
      </c>
      <c r="BS129" t="s">
        <v>11</v>
      </c>
      <c r="BT129" t="s">
        <v>11</v>
      </c>
      <c r="BU129" t="s">
        <v>11</v>
      </c>
    </row>
    <row r="130" spans="1:73" x14ac:dyDescent="0.25">
      <c r="A130" s="5">
        <v>29738</v>
      </c>
      <c r="B130">
        <v>4152</v>
      </c>
      <c r="C130" t="s">
        <v>11</v>
      </c>
      <c r="D130" t="s">
        <v>11</v>
      </c>
      <c r="E130" t="s">
        <v>11</v>
      </c>
      <c r="F130">
        <v>5350</v>
      </c>
      <c r="G130" t="s">
        <v>11</v>
      </c>
      <c r="H130">
        <v>1972</v>
      </c>
      <c r="I130" t="s">
        <v>11</v>
      </c>
      <c r="J130">
        <v>3092</v>
      </c>
      <c r="K130" t="s">
        <v>11</v>
      </c>
      <c r="L130">
        <v>86838</v>
      </c>
      <c r="M130">
        <v>65619</v>
      </c>
      <c r="N130">
        <v>1985</v>
      </c>
      <c r="O130" t="s">
        <v>11</v>
      </c>
      <c r="P130" t="s">
        <v>11</v>
      </c>
      <c r="Q130" t="s">
        <v>11</v>
      </c>
      <c r="R130" t="s">
        <v>11</v>
      </c>
      <c r="S130" t="s">
        <v>11</v>
      </c>
      <c r="T130" s="34">
        <v>120855</v>
      </c>
      <c r="U130" s="34">
        <v>77466</v>
      </c>
      <c r="V130" s="34">
        <v>6027</v>
      </c>
      <c r="W130" t="s">
        <v>11</v>
      </c>
      <c r="X130">
        <v>7135</v>
      </c>
      <c r="Y130" t="s">
        <v>11</v>
      </c>
      <c r="Z130">
        <v>5523</v>
      </c>
      <c r="AA130">
        <v>4775</v>
      </c>
      <c r="AB130">
        <v>36247</v>
      </c>
      <c r="AC130">
        <v>28755</v>
      </c>
      <c r="AD130">
        <v>4349</v>
      </c>
      <c r="AE130" t="s">
        <v>11</v>
      </c>
      <c r="AF130">
        <v>6782</v>
      </c>
      <c r="AG130" t="s">
        <v>11</v>
      </c>
      <c r="AH130">
        <f t="shared" si="17"/>
        <v>4349</v>
      </c>
      <c r="AI130" t="str">
        <f t="shared" si="18"/>
        <v>NoData</v>
      </c>
      <c r="AJ130">
        <v>29457</v>
      </c>
      <c r="AK130" t="s">
        <v>11</v>
      </c>
      <c r="AL130">
        <v>52945</v>
      </c>
      <c r="AM130">
        <v>41948</v>
      </c>
      <c r="AN130">
        <v>118</v>
      </c>
      <c r="AO130" t="s">
        <v>11</v>
      </c>
      <c r="AP130" t="s">
        <v>11</v>
      </c>
      <c r="AQ130" t="s">
        <v>11</v>
      </c>
      <c r="AR130" t="s">
        <v>11</v>
      </c>
      <c r="AS130" t="s">
        <v>11</v>
      </c>
      <c r="AT130" t="str">
        <f t="shared" si="23"/>
        <v>NoData</v>
      </c>
      <c r="AU130" t="str">
        <f t="shared" si="24"/>
        <v>NoData</v>
      </c>
      <c r="AV130" t="s">
        <v>11</v>
      </c>
      <c r="AW130" t="s">
        <v>11</v>
      </c>
      <c r="AX130" t="s">
        <v>11</v>
      </c>
      <c r="AY130" t="s">
        <v>11</v>
      </c>
      <c r="AZ130" t="str">
        <f t="shared" si="25"/>
        <v>NoData</v>
      </c>
      <c r="BA130" t="str">
        <f t="shared" si="26"/>
        <v>NoData</v>
      </c>
      <c r="BB130">
        <f t="shared" si="19"/>
        <v>118</v>
      </c>
      <c r="BC130" t="str">
        <f t="shared" si="20"/>
        <v>NoData</v>
      </c>
      <c r="BD130" t="s">
        <v>11</v>
      </c>
      <c r="BE130" t="s">
        <v>11</v>
      </c>
      <c r="BF130" t="s">
        <v>11</v>
      </c>
      <c r="BG130" t="s">
        <v>11</v>
      </c>
      <c r="BH130" t="s">
        <v>11</v>
      </c>
      <c r="BI130" t="s">
        <v>11</v>
      </c>
      <c r="BJ130">
        <v>92</v>
      </c>
      <c r="BK130" t="s">
        <v>11</v>
      </c>
      <c r="BL130" t="s">
        <v>11</v>
      </c>
      <c r="BM130" t="s">
        <v>11</v>
      </c>
      <c r="BN130" t="s">
        <v>11</v>
      </c>
      <c r="BO130" t="s">
        <v>11</v>
      </c>
      <c r="BP130" t="str">
        <f t="shared" si="15"/>
        <v>NoData</v>
      </c>
      <c r="BQ130" t="str">
        <f t="shared" si="16"/>
        <v>NoData</v>
      </c>
      <c r="BR130" t="s">
        <v>11</v>
      </c>
      <c r="BS130" t="s">
        <v>11</v>
      </c>
      <c r="BT130" t="s">
        <v>11</v>
      </c>
      <c r="BU130" t="s">
        <v>11</v>
      </c>
    </row>
    <row r="131" spans="1:73" x14ac:dyDescent="0.25">
      <c r="A131" s="5">
        <v>29768</v>
      </c>
      <c r="B131">
        <v>3822</v>
      </c>
      <c r="C131" t="s">
        <v>11</v>
      </c>
      <c r="D131" t="s">
        <v>11</v>
      </c>
      <c r="E131" t="s">
        <v>11</v>
      </c>
      <c r="F131">
        <v>7817</v>
      </c>
      <c r="G131" t="s">
        <v>11</v>
      </c>
      <c r="H131">
        <v>2883</v>
      </c>
      <c r="I131" t="s">
        <v>11</v>
      </c>
      <c r="J131">
        <v>3288</v>
      </c>
      <c r="K131" t="s">
        <v>11</v>
      </c>
      <c r="L131">
        <v>91340</v>
      </c>
      <c r="M131">
        <v>67456</v>
      </c>
      <c r="N131">
        <v>1519</v>
      </c>
      <c r="O131" t="s">
        <v>11</v>
      </c>
      <c r="P131" t="s">
        <v>11</v>
      </c>
      <c r="Q131" t="s">
        <v>11</v>
      </c>
      <c r="R131" t="s">
        <v>11</v>
      </c>
      <c r="S131" t="s">
        <v>11</v>
      </c>
      <c r="T131" s="34">
        <v>130197</v>
      </c>
      <c r="U131" s="34">
        <v>85299</v>
      </c>
      <c r="V131" s="34">
        <v>6948</v>
      </c>
      <c r="W131" t="s">
        <v>11</v>
      </c>
      <c r="X131">
        <v>8530</v>
      </c>
      <c r="Y131" t="s">
        <v>11</v>
      </c>
      <c r="Z131">
        <v>5236</v>
      </c>
      <c r="AA131">
        <v>4444</v>
      </c>
      <c r="AB131">
        <v>41073</v>
      </c>
      <c r="AC131">
        <v>33880</v>
      </c>
      <c r="AD131">
        <v>5247</v>
      </c>
      <c r="AE131" t="s">
        <v>11</v>
      </c>
      <c r="AF131">
        <v>8586</v>
      </c>
      <c r="AG131" t="s">
        <v>11</v>
      </c>
      <c r="AH131">
        <f t="shared" si="17"/>
        <v>5247</v>
      </c>
      <c r="AI131" t="str">
        <f t="shared" si="18"/>
        <v>NoData</v>
      </c>
      <c r="AJ131">
        <v>32973</v>
      </c>
      <c r="AK131" t="s">
        <v>11</v>
      </c>
      <c r="AL131">
        <v>58475</v>
      </c>
      <c r="AM131">
        <v>48087</v>
      </c>
      <c r="AN131">
        <v>259</v>
      </c>
      <c r="AO131" t="s">
        <v>11</v>
      </c>
      <c r="AP131" t="s">
        <v>11</v>
      </c>
      <c r="AQ131" t="s">
        <v>11</v>
      </c>
      <c r="AR131" t="s">
        <v>11</v>
      </c>
      <c r="AS131" t="s">
        <v>11</v>
      </c>
      <c r="AT131" t="str">
        <f t="shared" si="23"/>
        <v>NoData</v>
      </c>
      <c r="AU131" t="str">
        <f t="shared" si="24"/>
        <v>NoData</v>
      </c>
      <c r="AV131" t="s">
        <v>11</v>
      </c>
      <c r="AW131" t="s">
        <v>11</v>
      </c>
      <c r="AX131" t="s">
        <v>11</v>
      </c>
      <c r="AY131" t="s">
        <v>11</v>
      </c>
      <c r="AZ131" t="str">
        <f t="shared" si="25"/>
        <v>NoData</v>
      </c>
      <c r="BA131" t="str">
        <f t="shared" si="26"/>
        <v>NoData</v>
      </c>
      <c r="BB131">
        <f t="shared" si="19"/>
        <v>259</v>
      </c>
      <c r="BC131" t="str">
        <f t="shared" si="20"/>
        <v>NoData</v>
      </c>
      <c r="BD131" t="s">
        <v>11</v>
      </c>
      <c r="BE131" t="s">
        <v>11</v>
      </c>
      <c r="BF131" t="s">
        <v>11</v>
      </c>
      <c r="BG131" t="s">
        <v>11</v>
      </c>
      <c r="BH131" t="s">
        <v>11</v>
      </c>
      <c r="BI131" t="s">
        <v>11</v>
      </c>
      <c r="BJ131">
        <v>153</v>
      </c>
      <c r="BK131" t="s">
        <v>11</v>
      </c>
      <c r="BL131" t="s">
        <v>11</v>
      </c>
      <c r="BM131" t="s">
        <v>11</v>
      </c>
      <c r="BN131" t="s">
        <v>11</v>
      </c>
      <c r="BO131" t="s">
        <v>11</v>
      </c>
      <c r="BP131" t="str">
        <f t="shared" si="15"/>
        <v>NoData</v>
      </c>
      <c r="BQ131" t="str">
        <f t="shared" si="16"/>
        <v>NoData</v>
      </c>
      <c r="BR131" t="s">
        <v>11</v>
      </c>
      <c r="BS131" t="s">
        <v>11</v>
      </c>
      <c r="BT131" t="s">
        <v>11</v>
      </c>
      <c r="BU131" t="s">
        <v>11</v>
      </c>
    </row>
    <row r="132" spans="1:73" x14ac:dyDescent="0.25">
      <c r="A132" s="5">
        <v>29799</v>
      </c>
      <c r="B132">
        <v>6103</v>
      </c>
      <c r="C132" t="s">
        <v>11</v>
      </c>
      <c r="D132" t="s">
        <v>11</v>
      </c>
      <c r="E132" t="s">
        <v>11</v>
      </c>
      <c r="F132">
        <v>8431</v>
      </c>
      <c r="G132" t="s">
        <v>11</v>
      </c>
      <c r="H132">
        <v>3109</v>
      </c>
      <c r="I132" t="s">
        <v>11</v>
      </c>
      <c r="J132">
        <v>2889</v>
      </c>
      <c r="K132" t="s">
        <v>11</v>
      </c>
      <c r="L132">
        <v>83287</v>
      </c>
      <c r="M132">
        <v>57697</v>
      </c>
      <c r="N132">
        <v>839</v>
      </c>
      <c r="O132" t="s">
        <v>11</v>
      </c>
      <c r="P132" t="s">
        <v>11</v>
      </c>
      <c r="Q132" t="s">
        <v>11</v>
      </c>
      <c r="R132" t="s">
        <v>11</v>
      </c>
      <c r="S132" t="s">
        <v>11</v>
      </c>
      <c r="T132" s="34">
        <v>126488</v>
      </c>
      <c r="U132" s="34">
        <v>61016</v>
      </c>
      <c r="V132" s="34">
        <v>5932</v>
      </c>
      <c r="W132" t="s">
        <v>11</v>
      </c>
      <c r="X132">
        <v>6198</v>
      </c>
      <c r="Y132" t="s">
        <v>11</v>
      </c>
      <c r="Z132">
        <v>5582</v>
      </c>
      <c r="AA132">
        <v>4634</v>
      </c>
      <c r="AB132">
        <v>33033</v>
      </c>
      <c r="AC132">
        <v>24906</v>
      </c>
      <c r="AD132">
        <v>4642</v>
      </c>
      <c r="AE132" t="s">
        <v>11</v>
      </c>
      <c r="AF132">
        <v>7036</v>
      </c>
      <c r="AG132" t="s">
        <v>11</v>
      </c>
      <c r="AH132">
        <f t="shared" si="17"/>
        <v>4642</v>
      </c>
      <c r="AI132" t="str">
        <f t="shared" si="18"/>
        <v>NoData</v>
      </c>
      <c r="AJ132">
        <v>31376</v>
      </c>
      <c r="AK132" t="s">
        <v>11</v>
      </c>
      <c r="AL132">
        <v>58022</v>
      </c>
      <c r="AM132">
        <v>46853</v>
      </c>
      <c r="AN132">
        <v>95</v>
      </c>
      <c r="AO132" t="s">
        <v>11</v>
      </c>
      <c r="AP132" t="s">
        <v>11</v>
      </c>
      <c r="AQ132" t="s">
        <v>11</v>
      </c>
      <c r="AR132" t="s">
        <v>11</v>
      </c>
      <c r="AS132" t="s">
        <v>11</v>
      </c>
      <c r="AT132" t="str">
        <f t="shared" si="23"/>
        <v>NoData</v>
      </c>
      <c r="AU132" t="str">
        <f t="shared" si="24"/>
        <v>NoData</v>
      </c>
      <c r="AV132" t="s">
        <v>11</v>
      </c>
      <c r="AW132" t="s">
        <v>11</v>
      </c>
      <c r="AX132" t="s">
        <v>11</v>
      </c>
      <c r="AY132" t="s">
        <v>11</v>
      </c>
      <c r="AZ132" t="str">
        <f t="shared" si="25"/>
        <v>NoData</v>
      </c>
      <c r="BA132" t="str">
        <f t="shared" si="26"/>
        <v>NoData</v>
      </c>
      <c r="BB132">
        <f t="shared" si="19"/>
        <v>95</v>
      </c>
      <c r="BC132" t="str">
        <f t="shared" si="20"/>
        <v>NoData</v>
      </c>
      <c r="BD132" t="s">
        <v>11</v>
      </c>
      <c r="BE132" t="s">
        <v>11</v>
      </c>
      <c r="BF132" t="s">
        <v>11</v>
      </c>
      <c r="BG132" t="s">
        <v>11</v>
      </c>
      <c r="BH132" t="s">
        <v>11</v>
      </c>
      <c r="BI132" t="s">
        <v>11</v>
      </c>
      <c r="BJ132">
        <v>83</v>
      </c>
      <c r="BK132" t="s">
        <v>11</v>
      </c>
      <c r="BL132" t="s">
        <v>11</v>
      </c>
      <c r="BM132" t="s">
        <v>11</v>
      </c>
      <c r="BN132" t="s">
        <v>11</v>
      </c>
      <c r="BO132" t="s">
        <v>11</v>
      </c>
      <c r="BP132" t="str">
        <f t="shared" si="15"/>
        <v>NoData</v>
      </c>
      <c r="BQ132" t="str">
        <f t="shared" si="16"/>
        <v>NoData</v>
      </c>
      <c r="BR132" t="s">
        <v>11</v>
      </c>
      <c r="BS132" t="s">
        <v>11</v>
      </c>
      <c r="BT132" t="s">
        <v>11</v>
      </c>
      <c r="BU132" t="s">
        <v>11</v>
      </c>
    </row>
    <row r="133" spans="1:73" x14ac:dyDescent="0.25">
      <c r="A133" s="5">
        <v>29830</v>
      </c>
      <c r="B133">
        <v>3006</v>
      </c>
      <c r="C133" t="s">
        <v>11</v>
      </c>
      <c r="D133" t="s">
        <v>11</v>
      </c>
      <c r="E133" t="s">
        <v>11</v>
      </c>
      <c r="F133">
        <v>7563</v>
      </c>
      <c r="G133" t="s">
        <v>11</v>
      </c>
      <c r="H133">
        <v>2789</v>
      </c>
      <c r="I133" t="s">
        <v>11</v>
      </c>
      <c r="J133">
        <v>2443</v>
      </c>
      <c r="K133" t="s">
        <v>11</v>
      </c>
      <c r="L133">
        <v>54269</v>
      </c>
      <c r="M133">
        <v>29269</v>
      </c>
      <c r="N133">
        <v>1982</v>
      </c>
      <c r="O133" t="s">
        <v>11</v>
      </c>
      <c r="P133" t="s">
        <v>11</v>
      </c>
      <c r="Q133" t="s">
        <v>11</v>
      </c>
      <c r="R133" t="s">
        <v>11</v>
      </c>
      <c r="S133" t="s">
        <v>11</v>
      </c>
      <c r="T133" s="34">
        <v>102666</v>
      </c>
      <c r="U133" s="34">
        <v>54209</v>
      </c>
      <c r="V133" s="34">
        <v>2953</v>
      </c>
      <c r="W133" t="s">
        <v>11</v>
      </c>
      <c r="X133">
        <v>3124</v>
      </c>
      <c r="Y133" t="s">
        <v>11</v>
      </c>
      <c r="Z133">
        <v>4399</v>
      </c>
      <c r="AA133">
        <v>3623</v>
      </c>
      <c r="AB133">
        <v>26439</v>
      </c>
      <c r="AC133">
        <v>19017</v>
      </c>
      <c r="AD133">
        <v>4335</v>
      </c>
      <c r="AE133" t="s">
        <v>11</v>
      </c>
      <c r="AF133">
        <v>6494</v>
      </c>
      <c r="AG133" t="s">
        <v>11</v>
      </c>
      <c r="AH133">
        <f t="shared" si="17"/>
        <v>4335</v>
      </c>
      <c r="AI133" t="str">
        <f t="shared" si="18"/>
        <v>NoData</v>
      </c>
      <c r="AJ133">
        <v>27048</v>
      </c>
      <c r="AK133" t="s">
        <v>11</v>
      </c>
      <c r="AL133">
        <v>42316</v>
      </c>
      <c r="AM133">
        <v>30582</v>
      </c>
      <c r="AN133">
        <v>6</v>
      </c>
      <c r="AO133" t="s">
        <v>11</v>
      </c>
      <c r="AP133" t="s">
        <v>11</v>
      </c>
      <c r="AQ133" t="s">
        <v>11</v>
      </c>
      <c r="AR133" t="s">
        <v>11</v>
      </c>
      <c r="AS133" t="s">
        <v>11</v>
      </c>
      <c r="AT133" t="str">
        <f t="shared" si="23"/>
        <v>NoData</v>
      </c>
      <c r="AU133" t="str">
        <f t="shared" si="24"/>
        <v>NoData</v>
      </c>
      <c r="AV133" t="s">
        <v>11</v>
      </c>
      <c r="AW133" t="s">
        <v>11</v>
      </c>
      <c r="AX133" t="s">
        <v>11</v>
      </c>
      <c r="AY133" t="s">
        <v>11</v>
      </c>
      <c r="AZ133" t="str">
        <f t="shared" si="25"/>
        <v>NoData</v>
      </c>
      <c r="BA133" t="str">
        <f t="shared" si="26"/>
        <v>NoData</v>
      </c>
      <c r="BB133">
        <f t="shared" si="19"/>
        <v>6</v>
      </c>
      <c r="BC133" t="str">
        <f t="shared" si="20"/>
        <v>NoData</v>
      </c>
      <c r="BD133" t="s">
        <v>11</v>
      </c>
      <c r="BE133" t="s">
        <v>11</v>
      </c>
      <c r="BF133" t="s">
        <v>11</v>
      </c>
      <c r="BG133" t="s">
        <v>11</v>
      </c>
      <c r="BH133" t="s">
        <v>11</v>
      </c>
      <c r="BI133" t="s">
        <v>11</v>
      </c>
      <c r="BJ133">
        <v>69</v>
      </c>
      <c r="BK133" t="s">
        <v>11</v>
      </c>
      <c r="BL133" t="s">
        <v>11</v>
      </c>
      <c r="BM133" t="s">
        <v>11</v>
      </c>
      <c r="BN133" t="s">
        <v>11</v>
      </c>
      <c r="BO133" t="s">
        <v>11</v>
      </c>
      <c r="BP133" t="str">
        <f t="shared" ref="BP133:BP196" si="27">BF133</f>
        <v>NoData</v>
      </c>
      <c r="BQ133" t="str">
        <f t="shared" ref="BQ133:BQ196" si="28">BG133</f>
        <v>NoData</v>
      </c>
      <c r="BR133" t="s">
        <v>11</v>
      </c>
      <c r="BS133" t="s">
        <v>11</v>
      </c>
      <c r="BT133" t="s">
        <v>11</v>
      </c>
      <c r="BU133" t="s">
        <v>11</v>
      </c>
    </row>
    <row r="134" spans="1:73" x14ac:dyDescent="0.25">
      <c r="A134" s="5">
        <v>29860</v>
      </c>
      <c r="B134">
        <v>1003</v>
      </c>
      <c r="C134" t="s">
        <v>11</v>
      </c>
      <c r="D134" t="s">
        <v>11</v>
      </c>
      <c r="E134" t="s">
        <v>11</v>
      </c>
      <c r="F134">
        <v>4315</v>
      </c>
      <c r="G134" t="s">
        <v>11</v>
      </c>
      <c r="H134">
        <v>1591</v>
      </c>
      <c r="I134" t="s">
        <v>11</v>
      </c>
      <c r="J134">
        <v>1958</v>
      </c>
      <c r="K134" t="s">
        <v>11</v>
      </c>
      <c r="L134">
        <v>28072</v>
      </c>
      <c r="M134">
        <v>7013</v>
      </c>
      <c r="N134">
        <v>1249</v>
      </c>
      <c r="O134" t="s">
        <v>11</v>
      </c>
      <c r="P134" t="s">
        <v>11</v>
      </c>
      <c r="Q134" t="s">
        <v>11</v>
      </c>
      <c r="R134" t="s">
        <v>11</v>
      </c>
      <c r="S134" t="s">
        <v>11</v>
      </c>
      <c r="T134" s="34">
        <v>55524</v>
      </c>
      <c r="U134" s="34">
        <v>10701</v>
      </c>
      <c r="V134" s="34">
        <v>1681</v>
      </c>
      <c r="W134" t="s">
        <v>11</v>
      </c>
      <c r="X134">
        <v>2370</v>
      </c>
      <c r="Y134" t="s">
        <v>11</v>
      </c>
      <c r="Z134">
        <v>3869</v>
      </c>
      <c r="AA134">
        <v>3126</v>
      </c>
      <c r="AB134">
        <v>19542</v>
      </c>
      <c r="AC134">
        <v>11858</v>
      </c>
      <c r="AD134">
        <v>2524</v>
      </c>
      <c r="AE134" t="s">
        <v>11</v>
      </c>
      <c r="AF134">
        <v>4405</v>
      </c>
      <c r="AG134" t="s">
        <v>11</v>
      </c>
      <c r="AH134">
        <f t="shared" ref="AH134:AH197" si="29">AD134</f>
        <v>2524</v>
      </c>
      <c r="AI134" t="str">
        <f t="shared" ref="AI134:AI197" si="30">AE134</f>
        <v>NoData</v>
      </c>
      <c r="AJ134">
        <v>16256</v>
      </c>
      <c r="AK134" t="s">
        <v>11</v>
      </c>
      <c r="AL134">
        <v>22260</v>
      </c>
      <c r="AM134">
        <v>10212</v>
      </c>
      <c r="AN134">
        <v>10</v>
      </c>
      <c r="AO134" t="s">
        <v>11</v>
      </c>
      <c r="AP134" t="s">
        <v>11</v>
      </c>
      <c r="AQ134" t="s">
        <v>11</v>
      </c>
      <c r="AR134" t="s">
        <v>11</v>
      </c>
      <c r="AS134" t="s">
        <v>11</v>
      </c>
      <c r="AT134" t="str">
        <f t="shared" si="23"/>
        <v>NoData</v>
      </c>
      <c r="AU134" t="str">
        <f t="shared" si="24"/>
        <v>NoData</v>
      </c>
      <c r="AV134" t="s">
        <v>11</v>
      </c>
      <c r="AW134" t="s">
        <v>11</v>
      </c>
      <c r="AX134" t="s">
        <v>11</v>
      </c>
      <c r="AY134" t="s">
        <v>11</v>
      </c>
      <c r="AZ134" t="str">
        <f t="shared" si="25"/>
        <v>NoData</v>
      </c>
      <c r="BA134" t="str">
        <f t="shared" si="26"/>
        <v>NoData</v>
      </c>
      <c r="BB134">
        <f t="shared" ref="BB134:BB197" si="31">AN134</f>
        <v>10</v>
      </c>
      <c r="BC134" t="str">
        <f t="shared" ref="BC134:BC197" si="32">AO134</f>
        <v>NoData</v>
      </c>
      <c r="BD134" t="s">
        <v>11</v>
      </c>
      <c r="BE134" t="s">
        <v>11</v>
      </c>
      <c r="BF134" t="s">
        <v>11</v>
      </c>
      <c r="BG134" t="s">
        <v>11</v>
      </c>
      <c r="BH134" t="s">
        <v>11</v>
      </c>
      <c r="BI134" t="s">
        <v>11</v>
      </c>
      <c r="BJ134">
        <v>28</v>
      </c>
      <c r="BK134" t="s">
        <v>11</v>
      </c>
      <c r="BL134" t="s">
        <v>11</v>
      </c>
      <c r="BM134" t="s">
        <v>11</v>
      </c>
      <c r="BN134" t="s">
        <v>11</v>
      </c>
      <c r="BO134" t="s">
        <v>11</v>
      </c>
      <c r="BP134" t="str">
        <f t="shared" si="27"/>
        <v>NoData</v>
      </c>
      <c r="BQ134" t="str">
        <f t="shared" si="28"/>
        <v>NoData</v>
      </c>
      <c r="BR134" t="s">
        <v>11</v>
      </c>
      <c r="BS134" t="s">
        <v>11</v>
      </c>
      <c r="BT134" t="s">
        <v>11</v>
      </c>
      <c r="BU134" t="s">
        <v>11</v>
      </c>
    </row>
    <row r="135" spans="1:73" x14ac:dyDescent="0.25">
      <c r="A135" s="5">
        <v>29891</v>
      </c>
      <c r="B135">
        <v>904</v>
      </c>
      <c r="C135" t="s">
        <v>11</v>
      </c>
      <c r="D135" t="s">
        <v>11</v>
      </c>
      <c r="E135" t="s">
        <v>11</v>
      </c>
      <c r="F135">
        <v>3831</v>
      </c>
      <c r="G135" t="s">
        <v>11</v>
      </c>
      <c r="H135">
        <v>1412</v>
      </c>
      <c r="I135" t="s">
        <v>11</v>
      </c>
      <c r="J135">
        <v>738</v>
      </c>
      <c r="K135" t="s">
        <v>11</v>
      </c>
      <c r="L135">
        <v>16978</v>
      </c>
      <c r="M135">
        <v>1765</v>
      </c>
      <c r="N135">
        <v>831</v>
      </c>
      <c r="O135" t="s">
        <v>11</v>
      </c>
      <c r="P135" t="s">
        <v>11</v>
      </c>
      <c r="Q135" t="s">
        <v>11</v>
      </c>
      <c r="R135" t="s">
        <v>11</v>
      </c>
      <c r="S135" t="s">
        <v>11</v>
      </c>
      <c r="T135" s="34">
        <v>41094</v>
      </c>
      <c r="U135" s="34">
        <v>2624</v>
      </c>
      <c r="V135" s="34">
        <v>704</v>
      </c>
      <c r="W135" t="s">
        <v>11</v>
      </c>
      <c r="X135">
        <v>2816</v>
      </c>
      <c r="Y135" t="s">
        <v>11</v>
      </c>
      <c r="Z135">
        <v>3598</v>
      </c>
      <c r="AA135">
        <v>2786</v>
      </c>
      <c r="AB135">
        <v>14272</v>
      </c>
      <c r="AC135">
        <v>7293</v>
      </c>
      <c r="AD135">
        <v>1883</v>
      </c>
      <c r="AE135" t="s">
        <v>11</v>
      </c>
      <c r="AF135">
        <v>4311</v>
      </c>
      <c r="AG135" t="s">
        <v>11</v>
      </c>
      <c r="AH135">
        <f t="shared" si="29"/>
        <v>1883</v>
      </c>
      <c r="AI135" t="str">
        <f t="shared" si="30"/>
        <v>NoData</v>
      </c>
      <c r="AJ135">
        <v>12157</v>
      </c>
      <c r="AK135" t="s">
        <v>11</v>
      </c>
      <c r="AL135">
        <v>18189</v>
      </c>
      <c r="AM135">
        <v>6715</v>
      </c>
      <c r="AN135">
        <v>8</v>
      </c>
      <c r="AO135" t="s">
        <v>11</v>
      </c>
      <c r="AP135" t="s">
        <v>11</v>
      </c>
      <c r="AQ135" t="s">
        <v>11</v>
      </c>
      <c r="AR135" t="s">
        <v>11</v>
      </c>
      <c r="AS135" t="s">
        <v>11</v>
      </c>
      <c r="AT135" t="str">
        <f t="shared" si="23"/>
        <v>NoData</v>
      </c>
      <c r="AU135" t="str">
        <f t="shared" si="24"/>
        <v>NoData</v>
      </c>
      <c r="AV135" t="s">
        <v>11</v>
      </c>
      <c r="AW135" t="s">
        <v>11</v>
      </c>
      <c r="AX135" t="s">
        <v>11</v>
      </c>
      <c r="AY135" t="s">
        <v>11</v>
      </c>
      <c r="AZ135" t="str">
        <f t="shared" si="25"/>
        <v>NoData</v>
      </c>
      <c r="BA135" t="str">
        <f t="shared" si="26"/>
        <v>NoData</v>
      </c>
      <c r="BB135">
        <f t="shared" si="31"/>
        <v>8</v>
      </c>
      <c r="BC135" t="str">
        <f t="shared" si="32"/>
        <v>NoData</v>
      </c>
      <c r="BD135" t="s">
        <v>11</v>
      </c>
      <c r="BE135" t="s">
        <v>11</v>
      </c>
      <c r="BF135" t="s">
        <v>11</v>
      </c>
      <c r="BG135" t="s">
        <v>11</v>
      </c>
      <c r="BH135" t="s">
        <v>11</v>
      </c>
      <c r="BI135" t="s">
        <v>11</v>
      </c>
      <c r="BJ135">
        <v>1</v>
      </c>
      <c r="BK135" t="s">
        <v>11</v>
      </c>
      <c r="BL135" t="s">
        <v>11</v>
      </c>
      <c r="BM135" t="s">
        <v>11</v>
      </c>
      <c r="BN135" t="s">
        <v>11</v>
      </c>
      <c r="BO135" t="s">
        <v>11</v>
      </c>
      <c r="BP135" t="str">
        <f t="shared" si="27"/>
        <v>NoData</v>
      </c>
      <c r="BQ135" t="str">
        <f t="shared" si="28"/>
        <v>NoData</v>
      </c>
      <c r="BR135" t="s">
        <v>11</v>
      </c>
      <c r="BS135" t="s">
        <v>11</v>
      </c>
      <c r="BT135" t="s">
        <v>11</v>
      </c>
      <c r="BU135" t="s">
        <v>11</v>
      </c>
    </row>
    <row r="136" spans="1:73" x14ac:dyDescent="0.25">
      <c r="A136" s="5">
        <v>29921</v>
      </c>
      <c r="B136">
        <v>276</v>
      </c>
      <c r="C136" t="s">
        <v>11</v>
      </c>
      <c r="D136" t="s">
        <v>11</v>
      </c>
      <c r="E136" t="s">
        <v>11</v>
      </c>
      <c r="F136">
        <v>632</v>
      </c>
      <c r="G136" t="s">
        <v>11</v>
      </c>
      <c r="H136">
        <v>233</v>
      </c>
      <c r="I136" t="s">
        <v>11</v>
      </c>
      <c r="J136">
        <v>1322</v>
      </c>
      <c r="K136" t="s">
        <v>11</v>
      </c>
      <c r="L136">
        <v>16838</v>
      </c>
      <c r="M136">
        <v>4244</v>
      </c>
      <c r="N136">
        <v>566</v>
      </c>
      <c r="O136" t="s">
        <v>11</v>
      </c>
      <c r="P136" t="s">
        <v>11</v>
      </c>
      <c r="Q136" t="s">
        <v>11</v>
      </c>
      <c r="R136" t="s">
        <v>11</v>
      </c>
      <c r="S136" t="s">
        <v>11</v>
      </c>
      <c r="T136" s="34">
        <v>40126</v>
      </c>
      <c r="U136" s="34">
        <v>5739</v>
      </c>
      <c r="V136" s="34">
        <v>1526</v>
      </c>
      <c r="W136" t="s">
        <v>11</v>
      </c>
      <c r="X136">
        <v>2604</v>
      </c>
      <c r="Y136" t="s">
        <v>11</v>
      </c>
      <c r="Z136">
        <v>1917</v>
      </c>
      <c r="AA136">
        <v>1497</v>
      </c>
      <c r="AB136">
        <v>16038</v>
      </c>
      <c r="AC136">
        <v>9534</v>
      </c>
      <c r="AD136">
        <v>1676</v>
      </c>
      <c r="AE136" t="s">
        <v>11</v>
      </c>
      <c r="AF136">
        <v>3910</v>
      </c>
      <c r="AG136" t="s">
        <v>11</v>
      </c>
      <c r="AH136">
        <f t="shared" si="29"/>
        <v>1676</v>
      </c>
      <c r="AI136" t="str">
        <f t="shared" si="30"/>
        <v>NoData</v>
      </c>
      <c r="AJ136">
        <v>10564</v>
      </c>
      <c r="AK136" t="s">
        <v>11</v>
      </c>
      <c r="AL136">
        <v>12140</v>
      </c>
      <c r="AM136">
        <v>-50</v>
      </c>
      <c r="AN136">
        <v>0</v>
      </c>
      <c r="AO136" t="s">
        <v>11</v>
      </c>
      <c r="AP136" t="s">
        <v>11</v>
      </c>
      <c r="AQ136" t="s">
        <v>11</v>
      </c>
      <c r="AR136" t="s">
        <v>11</v>
      </c>
      <c r="AS136" t="s">
        <v>11</v>
      </c>
      <c r="AT136" t="str">
        <f t="shared" si="23"/>
        <v>NoData</v>
      </c>
      <c r="AU136" t="str">
        <f t="shared" si="24"/>
        <v>NoData</v>
      </c>
      <c r="AV136" t="s">
        <v>11</v>
      </c>
      <c r="AW136" t="s">
        <v>11</v>
      </c>
      <c r="AX136" t="s">
        <v>11</v>
      </c>
      <c r="AY136" t="s">
        <v>11</v>
      </c>
      <c r="AZ136" t="str">
        <f t="shared" si="25"/>
        <v>NoData</v>
      </c>
      <c r="BA136" t="str">
        <f t="shared" si="26"/>
        <v>NoData</v>
      </c>
      <c r="BB136">
        <f t="shared" si="31"/>
        <v>0</v>
      </c>
      <c r="BC136" t="str">
        <f t="shared" si="32"/>
        <v>NoData</v>
      </c>
      <c r="BD136" t="s">
        <v>11</v>
      </c>
      <c r="BE136" t="s">
        <v>11</v>
      </c>
      <c r="BF136" t="s">
        <v>11</v>
      </c>
      <c r="BG136" t="s">
        <v>11</v>
      </c>
      <c r="BH136" t="s">
        <v>11</v>
      </c>
      <c r="BI136" t="s">
        <v>11</v>
      </c>
      <c r="BJ136">
        <v>72</v>
      </c>
      <c r="BK136" t="s">
        <v>11</v>
      </c>
      <c r="BL136" t="s">
        <v>11</v>
      </c>
      <c r="BM136" t="s">
        <v>11</v>
      </c>
      <c r="BN136" t="s">
        <v>11</v>
      </c>
      <c r="BO136" t="s">
        <v>11</v>
      </c>
      <c r="BP136" t="str">
        <f t="shared" si="27"/>
        <v>NoData</v>
      </c>
      <c r="BQ136" t="str">
        <f t="shared" si="28"/>
        <v>NoData</v>
      </c>
      <c r="BR136" t="s">
        <v>11</v>
      </c>
      <c r="BS136" t="s">
        <v>11</v>
      </c>
      <c r="BT136" t="s">
        <v>11</v>
      </c>
      <c r="BU136" t="s">
        <v>11</v>
      </c>
    </row>
    <row r="137" spans="1:73" x14ac:dyDescent="0.25">
      <c r="A137" s="5">
        <v>29952</v>
      </c>
      <c r="B137">
        <v>496</v>
      </c>
      <c r="C137" t="s">
        <v>11</v>
      </c>
      <c r="D137" t="s">
        <v>11</v>
      </c>
      <c r="E137" t="s">
        <v>11</v>
      </c>
      <c r="F137">
        <v>732</v>
      </c>
      <c r="G137" t="s">
        <v>11</v>
      </c>
      <c r="H137">
        <v>289</v>
      </c>
      <c r="I137" t="s">
        <v>11</v>
      </c>
      <c r="J137">
        <v>1549</v>
      </c>
      <c r="K137" t="s">
        <v>11</v>
      </c>
      <c r="L137">
        <v>9164</v>
      </c>
      <c r="M137">
        <v>-2524</v>
      </c>
      <c r="N137">
        <v>234</v>
      </c>
      <c r="O137" t="s">
        <v>11</v>
      </c>
      <c r="P137" t="s">
        <v>11</v>
      </c>
      <c r="Q137" t="s">
        <v>11</v>
      </c>
      <c r="R137" t="s">
        <v>11</v>
      </c>
      <c r="S137" t="s">
        <v>11</v>
      </c>
      <c r="T137" s="34">
        <v>37468</v>
      </c>
      <c r="U137" s="34">
        <v>8668</v>
      </c>
      <c r="V137" s="34">
        <v>1640</v>
      </c>
      <c r="W137" t="s">
        <v>11</v>
      </c>
      <c r="X137">
        <v>2610</v>
      </c>
      <c r="Y137" t="s">
        <v>11</v>
      </c>
      <c r="Z137">
        <v>2702</v>
      </c>
      <c r="AA137">
        <v>2241</v>
      </c>
      <c r="AB137">
        <v>17308</v>
      </c>
      <c r="AC137">
        <v>11310</v>
      </c>
      <c r="AD137">
        <v>1314</v>
      </c>
      <c r="AE137" t="s">
        <v>11</v>
      </c>
      <c r="AF137">
        <v>2680</v>
      </c>
      <c r="AG137" t="s">
        <v>11</v>
      </c>
      <c r="AH137">
        <f t="shared" si="29"/>
        <v>1314</v>
      </c>
      <c r="AI137" t="str">
        <f t="shared" si="30"/>
        <v>NoData</v>
      </c>
      <c r="AJ137">
        <v>8503</v>
      </c>
      <c r="AK137" t="s">
        <v>11</v>
      </c>
      <c r="AL137">
        <v>15627</v>
      </c>
      <c r="AM137">
        <v>3075</v>
      </c>
      <c r="AN137">
        <v>0</v>
      </c>
      <c r="AO137" t="s">
        <v>11</v>
      </c>
      <c r="AP137" t="s">
        <v>11</v>
      </c>
      <c r="AQ137" t="s">
        <v>11</v>
      </c>
      <c r="AR137" t="s">
        <v>11</v>
      </c>
      <c r="AS137" t="s">
        <v>11</v>
      </c>
      <c r="AT137" t="str">
        <f t="shared" si="23"/>
        <v>NoData</v>
      </c>
      <c r="AU137" t="str">
        <f t="shared" si="24"/>
        <v>NoData</v>
      </c>
      <c r="AV137" t="s">
        <v>11</v>
      </c>
      <c r="AW137" t="s">
        <v>11</v>
      </c>
      <c r="AX137" t="s">
        <v>11</v>
      </c>
      <c r="AY137" t="s">
        <v>11</v>
      </c>
      <c r="AZ137" t="str">
        <f t="shared" si="25"/>
        <v>NoData</v>
      </c>
      <c r="BA137" t="str">
        <f t="shared" si="26"/>
        <v>NoData</v>
      </c>
      <c r="BB137">
        <f t="shared" si="31"/>
        <v>0</v>
      </c>
      <c r="BC137" t="str">
        <f t="shared" si="32"/>
        <v>NoData</v>
      </c>
      <c r="BD137" t="s">
        <v>11</v>
      </c>
      <c r="BE137" t="s">
        <v>11</v>
      </c>
      <c r="BF137" t="s">
        <v>11</v>
      </c>
      <c r="BG137" t="s">
        <v>11</v>
      </c>
      <c r="BH137" t="s">
        <v>11</v>
      </c>
      <c r="BI137" t="s">
        <v>11</v>
      </c>
      <c r="BJ137">
        <v>86</v>
      </c>
      <c r="BK137" t="s">
        <v>11</v>
      </c>
      <c r="BL137" t="s">
        <v>11</v>
      </c>
      <c r="BM137" t="s">
        <v>11</v>
      </c>
      <c r="BN137" t="s">
        <v>11</v>
      </c>
      <c r="BO137" t="s">
        <v>11</v>
      </c>
      <c r="BP137" t="str">
        <f t="shared" si="27"/>
        <v>NoData</v>
      </c>
      <c r="BQ137" t="str">
        <f t="shared" si="28"/>
        <v>NoData</v>
      </c>
      <c r="BR137" t="s">
        <v>11</v>
      </c>
      <c r="BS137" t="s">
        <v>11</v>
      </c>
      <c r="BT137" t="s">
        <v>11</v>
      </c>
      <c r="BU137" t="s">
        <v>11</v>
      </c>
    </row>
    <row r="138" spans="1:73" x14ac:dyDescent="0.25">
      <c r="A138" s="5">
        <v>29983</v>
      </c>
      <c r="B138">
        <v>948</v>
      </c>
      <c r="C138" t="s">
        <v>11</v>
      </c>
      <c r="D138" t="s">
        <v>11</v>
      </c>
      <c r="E138" t="s">
        <v>11</v>
      </c>
      <c r="F138">
        <v>1497</v>
      </c>
      <c r="G138" t="s">
        <v>11</v>
      </c>
      <c r="H138">
        <v>590</v>
      </c>
      <c r="I138" t="s">
        <v>11</v>
      </c>
      <c r="J138">
        <v>1463</v>
      </c>
      <c r="K138" t="s">
        <v>11</v>
      </c>
      <c r="L138">
        <v>33803</v>
      </c>
      <c r="M138">
        <v>21708</v>
      </c>
      <c r="N138">
        <v>414</v>
      </c>
      <c r="O138" t="s">
        <v>11</v>
      </c>
      <c r="P138" t="s">
        <v>11</v>
      </c>
      <c r="Q138" t="s">
        <v>11</v>
      </c>
      <c r="R138" t="s">
        <v>11</v>
      </c>
      <c r="S138" t="s">
        <v>11</v>
      </c>
      <c r="T138" s="34">
        <v>61907</v>
      </c>
      <c r="U138" s="34">
        <v>32499</v>
      </c>
      <c r="V138" s="34">
        <v>3699</v>
      </c>
      <c r="W138" t="s">
        <v>11</v>
      </c>
      <c r="X138">
        <v>4258</v>
      </c>
      <c r="Y138" t="s">
        <v>11</v>
      </c>
      <c r="Z138">
        <v>3748</v>
      </c>
      <c r="AA138">
        <v>3220</v>
      </c>
      <c r="AB138">
        <v>22446</v>
      </c>
      <c r="AC138">
        <v>16107</v>
      </c>
      <c r="AD138">
        <v>1448</v>
      </c>
      <c r="AE138" t="s">
        <v>11</v>
      </c>
      <c r="AF138">
        <v>4943</v>
      </c>
      <c r="AG138" t="s">
        <v>11</v>
      </c>
      <c r="AH138">
        <f t="shared" si="29"/>
        <v>1448</v>
      </c>
      <c r="AI138" t="str">
        <f t="shared" si="30"/>
        <v>NoData</v>
      </c>
      <c r="AJ138">
        <v>11332</v>
      </c>
      <c r="AK138" t="s">
        <v>11</v>
      </c>
      <c r="AL138">
        <v>27293</v>
      </c>
      <c r="AM138">
        <v>15878</v>
      </c>
      <c r="AN138">
        <v>225</v>
      </c>
      <c r="AO138" t="s">
        <v>11</v>
      </c>
      <c r="AP138" t="s">
        <v>11</v>
      </c>
      <c r="AQ138" t="s">
        <v>11</v>
      </c>
      <c r="AR138" t="s">
        <v>11</v>
      </c>
      <c r="AS138" t="s">
        <v>11</v>
      </c>
      <c r="AT138" t="str">
        <f t="shared" si="23"/>
        <v>NoData</v>
      </c>
      <c r="AU138" t="str">
        <f t="shared" si="24"/>
        <v>NoData</v>
      </c>
      <c r="AV138" t="s">
        <v>11</v>
      </c>
      <c r="AW138" t="s">
        <v>11</v>
      </c>
      <c r="AX138" t="s">
        <v>11</v>
      </c>
      <c r="AY138" t="s">
        <v>11</v>
      </c>
      <c r="AZ138" t="str">
        <f t="shared" si="25"/>
        <v>NoData</v>
      </c>
      <c r="BA138" t="str">
        <f t="shared" si="26"/>
        <v>NoData</v>
      </c>
      <c r="BB138">
        <f t="shared" si="31"/>
        <v>225</v>
      </c>
      <c r="BC138" t="str">
        <f t="shared" si="32"/>
        <v>NoData</v>
      </c>
      <c r="BD138" t="s">
        <v>11</v>
      </c>
      <c r="BE138" t="s">
        <v>11</v>
      </c>
      <c r="BF138" t="s">
        <v>11</v>
      </c>
      <c r="BG138" t="s">
        <v>11</v>
      </c>
      <c r="BH138" t="s">
        <v>11</v>
      </c>
      <c r="BI138" t="s">
        <v>11</v>
      </c>
      <c r="BJ138">
        <v>58</v>
      </c>
      <c r="BK138" t="s">
        <v>11</v>
      </c>
      <c r="BL138" t="s">
        <v>11</v>
      </c>
      <c r="BM138" t="s">
        <v>11</v>
      </c>
      <c r="BN138" t="s">
        <v>11</v>
      </c>
      <c r="BO138" t="s">
        <v>11</v>
      </c>
      <c r="BP138" t="str">
        <f t="shared" si="27"/>
        <v>NoData</v>
      </c>
      <c r="BQ138" t="str">
        <f t="shared" si="28"/>
        <v>NoData</v>
      </c>
      <c r="BR138" t="s">
        <v>11</v>
      </c>
      <c r="BS138" t="s">
        <v>11</v>
      </c>
      <c r="BT138" t="s">
        <v>11</v>
      </c>
      <c r="BU138" t="s">
        <v>11</v>
      </c>
    </row>
    <row r="139" spans="1:73" x14ac:dyDescent="0.25">
      <c r="A139" s="5">
        <v>30011</v>
      </c>
      <c r="B139">
        <v>2533</v>
      </c>
      <c r="C139" t="s">
        <v>11</v>
      </c>
      <c r="D139" t="s">
        <v>11</v>
      </c>
      <c r="E139" t="s">
        <v>11</v>
      </c>
      <c r="F139">
        <v>4424</v>
      </c>
      <c r="G139" t="s">
        <v>11</v>
      </c>
      <c r="H139">
        <v>1744</v>
      </c>
      <c r="I139" t="s">
        <v>11</v>
      </c>
      <c r="J139">
        <v>2053</v>
      </c>
      <c r="K139" t="s">
        <v>11</v>
      </c>
      <c r="L139">
        <v>51638</v>
      </c>
      <c r="M139">
        <v>34207</v>
      </c>
      <c r="N139">
        <v>336</v>
      </c>
      <c r="O139" t="s">
        <v>11</v>
      </c>
      <c r="P139" t="s">
        <v>11</v>
      </c>
      <c r="Q139" t="s">
        <v>11</v>
      </c>
      <c r="R139" t="s">
        <v>11</v>
      </c>
      <c r="S139" t="s">
        <v>11</v>
      </c>
      <c r="T139" s="34">
        <v>76878</v>
      </c>
      <c r="U139" s="34">
        <v>39279</v>
      </c>
      <c r="V139" s="34">
        <v>3292</v>
      </c>
      <c r="W139" t="s">
        <v>11</v>
      </c>
      <c r="X139">
        <v>3806</v>
      </c>
      <c r="Y139" t="s">
        <v>11</v>
      </c>
      <c r="Z139">
        <v>3149</v>
      </c>
      <c r="AA139">
        <v>2609</v>
      </c>
      <c r="AB139">
        <v>21956</v>
      </c>
      <c r="AC139">
        <v>15004</v>
      </c>
      <c r="AD139">
        <v>1891</v>
      </c>
      <c r="AE139" t="s">
        <v>11</v>
      </c>
      <c r="AF139">
        <v>3582</v>
      </c>
      <c r="AG139" t="s">
        <v>11</v>
      </c>
      <c r="AH139">
        <f t="shared" si="29"/>
        <v>1891</v>
      </c>
      <c r="AI139" t="str">
        <f t="shared" si="30"/>
        <v>NoData</v>
      </c>
      <c r="AJ139">
        <v>10642</v>
      </c>
      <c r="AK139" t="s">
        <v>11</v>
      </c>
      <c r="AL139">
        <v>30045</v>
      </c>
      <c r="AM139">
        <v>17825</v>
      </c>
      <c r="AN139">
        <v>17</v>
      </c>
      <c r="AO139" t="s">
        <v>11</v>
      </c>
      <c r="AP139" t="s">
        <v>11</v>
      </c>
      <c r="AQ139" t="s">
        <v>11</v>
      </c>
      <c r="AR139" t="s">
        <v>11</v>
      </c>
      <c r="AS139" t="s">
        <v>11</v>
      </c>
      <c r="AT139" t="str">
        <f t="shared" si="23"/>
        <v>NoData</v>
      </c>
      <c r="AU139" t="str">
        <f t="shared" si="24"/>
        <v>NoData</v>
      </c>
      <c r="AV139" t="s">
        <v>11</v>
      </c>
      <c r="AW139" t="s">
        <v>11</v>
      </c>
      <c r="AX139" t="s">
        <v>11</v>
      </c>
      <c r="AY139" t="s">
        <v>11</v>
      </c>
      <c r="AZ139" t="str">
        <f t="shared" si="25"/>
        <v>NoData</v>
      </c>
      <c r="BA139" t="str">
        <f t="shared" si="26"/>
        <v>NoData</v>
      </c>
      <c r="BB139">
        <f t="shared" si="31"/>
        <v>17</v>
      </c>
      <c r="BC139" t="str">
        <f t="shared" si="32"/>
        <v>NoData</v>
      </c>
      <c r="BD139" t="s">
        <v>11</v>
      </c>
      <c r="BE139" t="s">
        <v>11</v>
      </c>
      <c r="BF139" t="s">
        <v>11</v>
      </c>
      <c r="BG139" t="s">
        <v>11</v>
      </c>
      <c r="BH139" t="s">
        <v>11</v>
      </c>
      <c r="BI139" t="s">
        <v>11</v>
      </c>
      <c r="BJ139">
        <v>60</v>
      </c>
      <c r="BK139" t="s">
        <v>11</v>
      </c>
      <c r="BL139" t="s">
        <v>11</v>
      </c>
      <c r="BM139" t="s">
        <v>11</v>
      </c>
      <c r="BN139" t="s">
        <v>11</v>
      </c>
      <c r="BO139" t="s">
        <v>11</v>
      </c>
      <c r="BP139" t="str">
        <f t="shared" si="27"/>
        <v>NoData</v>
      </c>
      <c r="BQ139" t="str">
        <f t="shared" si="28"/>
        <v>NoData</v>
      </c>
      <c r="BR139" t="s">
        <v>11</v>
      </c>
      <c r="BS139" t="s">
        <v>11</v>
      </c>
      <c r="BT139" t="s">
        <v>11</v>
      </c>
      <c r="BU139" t="s">
        <v>11</v>
      </c>
    </row>
    <row r="140" spans="1:73" x14ac:dyDescent="0.25">
      <c r="A140" s="5">
        <v>30042</v>
      </c>
      <c r="B140">
        <v>3252</v>
      </c>
      <c r="C140" t="s">
        <v>11</v>
      </c>
      <c r="D140" t="s">
        <v>11</v>
      </c>
      <c r="E140" t="s">
        <v>11</v>
      </c>
      <c r="F140">
        <v>5714</v>
      </c>
      <c r="G140" t="s">
        <v>11</v>
      </c>
      <c r="H140">
        <v>2252</v>
      </c>
      <c r="I140" t="s">
        <v>11</v>
      </c>
      <c r="J140">
        <v>2250</v>
      </c>
      <c r="K140" t="s">
        <v>11</v>
      </c>
      <c r="L140">
        <v>59886</v>
      </c>
      <c r="M140">
        <v>40378</v>
      </c>
      <c r="N140">
        <v>558</v>
      </c>
      <c r="O140" t="s">
        <v>11</v>
      </c>
      <c r="P140" t="s">
        <v>11</v>
      </c>
      <c r="Q140" t="s">
        <v>11</v>
      </c>
      <c r="R140" t="s">
        <v>11</v>
      </c>
      <c r="S140" t="s">
        <v>11</v>
      </c>
      <c r="T140" s="34">
        <v>108279</v>
      </c>
      <c r="U140" s="34">
        <v>65870</v>
      </c>
      <c r="V140" s="34">
        <v>4796</v>
      </c>
      <c r="W140" t="s">
        <v>11</v>
      </c>
      <c r="X140">
        <v>5333</v>
      </c>
      <c r="Y140" t="s">
        <v>11</v>
      </c>
      <c r="Z140">
        <v>4904</v>
      </c>
      <c r="AA140">
        <v>4287</v>
      </c>
      <c r="AB140">
        <v>29547</v>
      </c>
      <c r="AC140">
        <v>22844</v>
      </c>
      <c r="AD140">
        <v>2507</v>
      </c>
      <c r="AE140" t="s">
        <v>11</v>
      </c>
      <c r="AF140">
        <v>4940</v>
      </c>
      <c r="AG140" t="s">
        <v>11</v>
      </c>
      <c r="AH140">
        <f t="shared" si="29"/>
        <v>2507</v>
      </c>
      <c r="AI140" t="str">
        <f t="shared" si="30"/>
        <v>NoData</v>
      </c>
      <c r="AJ140">
        <v>18922</v>
      </c>
      <c r="AK140" t="s">
        <v>11</v>
      </c>
      <c r="AL140">
        <v>43362</v>
      </c>
      <c r="AM140">
        <v>31060</v>
      </c>
      <c r="AN140">
        <v>129</v>
      </c>
      <c r="AO140" t="s">
        <v>11</v>
      </c>
      <c r="AP140" t="s">
        <v>11</v>
      </c>
      <c r="AQ140" t="s">
        <v>11</v>
      </c>
      <c r="AR140" t="s">
        <v>11</v>
      </c>
      <c r="AS140" t="s">
        <v>11</v>
      </c>
      <c r="AT140" t="str">
        <f t="shared" si="23"/>
        <v>NoData</v>
      </c>
      <c r="AU140" t="str">
        <f t="shared" si="24"/>
        <v>NoData</v>
      </c>
      <c r="AV140" t="s">
        <v>11</v>
      </c>
      <c r="AW140" t="s">
        <v>11</v>
      </c>
      <c r="AX140" t="s">
        <v>11</v>
      </c>
      <c r="AY140" t="s">
        <v>11</v>
      </c>
      <c r="AZ140" t="str">
        <f t="shared" si="25"/>
        <v>NoData</v>
      </c>
      <c r="BA140" t="str">
        <f t="shared" si="26"/>
        <v>NoData</v>
      </c>
      <c r="BB140">
        <f t="shared" si="31"/>
        <v>129</v>
      </c>
      <c r="BC140" t="str">
        <f t="shared" si="32"/>
        <v>NoData</v>
      </c>
      <c r="BD140" t="s">
        <v>11</v>
      </c>
      <c r="BE140" t="s">
        <v>11</v>
      </c>
      <c r="BF140" t="s">
        <v>11</v>
      </c>
      <c r="BG140" t="s">
        <v>11</v>
      </c>
      <c r="BH140" t="s">
        <v>11</v>
      </c>
      <c r="BI140" t="s">
        <v>11</v>
      </c>
      <c r="BJ140">
        <v>100</v>
      </c>
      <c r="BK140" t="s">
        <v>11</v>
      </c>
      <c r="BL140" t="s">
        <v>11</v>
      </c>
      <c r="BM140" t="s">
        <v>11</v>
      </c>
      <c r="BN140" t="s">
        <v>11</v>
      </c>
      <c r="BO140" t="s">
        <v>11</v>
      </c>
      <c r="BP140" t="str">
        <f t="shared" si="27"/>
        <v>NoData</v>
      </c>
      <c r="BQ140" t="str">
        <f t="shared" si="28"/>
        <v>NoData</v>
      </c>
      <c r="BR140" t="s">
        <v>11</v>
      </c>
      <c r="BS140" t="s">
        <v>11</v>
      </c>
      <c r="BT140" t="s">
        <v>11</v>
      </c>
      <c r="BU140" t="s">
        <v>11</v>
      </c>
    </row>
    <row r="141" spans="1:73" x14ac:dyDescent="0.25">
      <c r="A141" s="5">
        <v>30072</v>
      </c>
      <c r="B141">
        <v>3899</v>
      </c>
      <c r="C141" t="s">
        <v>11</v>
      </c>
      <c r="D141" t="s">
        <v>11</v>
      </c>
      <c r="E141" t="s">
        <v>11</v>
      </c>
      <c r="F141">
        <v>6869</v>
      </c>
      <c r="G141" t="s">
        <v>11</v>
      </c>
      <c r="H141">
        <v>2707</v>
      </c>
      <c r="I141" t="s">
        <v>11</v>
      </c>
      <c r="J141">
        <v>1892</v>
      </c>
      <c r="K141" t="s">
        <v>11</v>
      </c>
      <c r="L141">
        <v>63073</v>
      </c>
      <c r="M141">
        <v>41497</v>
      </c>
      <c r="N141">
        <v>760</v>
      </c>
      <c r="O141" t="s">
        <v>11</v>
      </c>
      <c r="P141" t="s">
        <v>11</v>
      </c>
      <c r="Q141" t="s">
        <v>11</v>
      </c>
      <c r="R141" t="s">
        <v>11</v>
      </c>
      <c r="S141" t="s">
        <v>11</v>
      </c>
      <c r="T141" s="34">
        <v>100147</v>
      </c>
      <c r="U141" s="34">
        <v>54409</v>
      </c>
      <c r="V141" s="34">
        <v>4632</v>
      </c>
      <c r="W141" t="s">
        <v>11</v>
      </c>
      <c r="X141">
        <v>3661</v>
      </c>
      <c r="Y141" t="s">
        <v>11</v>
      </c>
      <c r="Z141">
        <v>5428</v>
      </c>
      <c r="AA141">
        <v>4664</v>
      </c>
      <c r="AB141">
        <v>23569</v>
      </c>
      <c r="AC141">
        <v>17329</v>
      </c>
      <c r="AD141">
        <v>3443</v>
      </c>
      <c r="AE141" t="s">
        <v>11</v>
      </c>
      <c r="AF141">
        <v>6174</v>
      </c>
      <c r="AG141" t="s">
        <v>11</v>
      </c>
      <c r="AH141">
        <f t="shared" si="29"/>
        <v>3443</v>
      </c>
      <c r="AI141" t="str">
        <f t="shared" si="30"/>
        <v>NoData</v>
      </c>
      <c r="AJ141">
        <v>23770</v>
      </c>
      <c r="AK141" t="s">
        <v>11</v>
      </c>
      <c r="AL141">
        <v>44698</v>
      </c>
      <c r="AM141">
        <v>31403</v>
      </c>
      <c r="AN141">
        <v>94</v>
      </c>
      <c r="AO141" t="s">
        <v>11</v>
      </c>
      <c r="AP141" t="s">
        <v>11</v>
      </c>
      <c r="AQ141" t="s">
        <v>11</v>
      </c>
      <c r="AR141" t="s">
        <v>11</v>
      </c>
      <c r="AS141" t="s">
        <v>11</v>
      </c>
      <c r="AT141" t="str">
        <f t="shared" si="23"/>
        <v>NoData</v>
      </c>
      <c r="AU141" t="str">
        <f t="shared" si="24"/>
        <v>NoData</v>
      </c>
      <c r="AV141" t="s">
        <v>11</v>
      </c>
      <c r="AW141" t="s">
        <v>11</v>
      </c>
      <c r="AX141" t="s">
        <v>11</v>
      </c>
      <c r="AY141" t="s">
        <v>11</v>
      </c>
      <c r="AZ141" t="str">
        <f t="shared" si="25"/>
        <v>NoData</v>
      </c>
      <c r="BA141" t="str">
        <f t="shared" si="26"/>
        <v>NoData</v>
      </c>
      <c r="BB141">
        <f t="shared" si="31"/>
        <v>94</v>
      </c>
      <c r="BC141" t="str">
        <f t="shared" si="32"/>
        <v>NoData</v>
      </c>
      <c r="BD141" t="s">
        <v>11</v>
      </c>
      <c r="BE141" t="s">
        <v>11</v>
      </c>
      <c r="BF141" t="s">
        <v>11</v>
      </c>
      <c r="BG141" t="s">
        <v>11</v>
      </c>
      <c r="BH141" t="s">
        <v>11</v>
      </c>
      <c r="BI141" t="s">
        <v>11</v>
      </c>
      <c r="BJ141">
        <v>132</v>
      </c>
      <c r="BK141" t="s">
        <v>11</v>
      </c>
      <c r="BL141" t="s">
        <v>11</v>
      </c>
      <c r="BM141" t="s">
        <v>11</v>
      </c>
      <c r="BN141" t="s">
        <v>11</v>
      </c>
      <c r="BO141" t="s">
        <v>11</v>
      </c>
      <c r="BP141" t="str">
        <f t="shared" si="27"/>
        <v>NoData</v>
      </c>
      <c r="BQ141" t="str">
        <f t="shared" si="28"/>
        <v>NoData</v>
      </c>
      <c r="BR141" t="s">
        <v>11</v>
      </c>
      <c r="BS141" t="s">
        <v>11</v>
      </c>
      <c r="BT141" t="s">
        <v>11</v>
      </c>
      <c r="BU141" t="s">
        <v>11</v>
      </c>
    </row>
    <row r="142" spans="1:73" x14ac:dyDescent="0.25">
      <c r="A142" s="5">
        <v>30103</v>
      </c>
      <c r="B142">
        <v>4380</v>
      </c>
      <c r="C142" t="s">
        <v>11</v>
      </c>
      <c r="D142" t="s">
        <v>11</v>
      </c>
      <c r="E142" t="s">
        <v>11</v>
      </c>
      <c r="F142">
        <v>7679</v>
      </c>
      <c r="G142" t="s">
        <v>11</v>
      </c>
      <c r="H142">
        <v>3027</v>
      </c>
      <c r="I142" t="s">
        <v>11</v>
      </c>
      <c r="J142">
        <v>3099</v>
      </c>
      <c r="K142" t="s">
        <v>11</v>
      </c>
      <c r="L142">
        <v>82573</v>
      </c>
      <c r="M142">
        <v>59841</v>
      </c>
      <c r="N142">
        <v>852</v>
      </c>
      <c r="O142" t="s">
        <v>11</v>
      </c>
      <c r="P142" t="s">
        <v>11</v>
      </c>
      <c r="Q142" t="s">
        <v>11</v>
      </c>
      <c r="R142" t="s">
        <v>11</v>
      </c>
      <c r="S142" t="s">
        <v>11</v>
      </c>
      <c r="T142" s="34">
        <v>106871</v>
      </c>
      <c r="U142" s="34">
        <v>63759</v>
      </c>
      <c r="V142" s="34">
        <v>3616</v>
      </c>
      <c r="W142" t="s">
        <v>11</v>
      </c>
      <c r="X142">
        <v>6529</v>
      </c>
      <c r="Y142" t="s">
        <v>11</v>
      </c>
      <c r="Z142">
        <v>5368</v>
      </c>
      <c r="AA142">
        <v>4661</v>
      </c>
      <c r="AB142">
        <v>28611</v>
      </c>
      <c r="AC142">
        <v>23397</v>
      </c>
      <c r="AD142">
        <v>3902</v>
      </c>
      <c r="AE142" t="s">
        <v>11</v>
      </c>
      <c r="AF142">
        <v>5383</v>
      </c>
      <c r="AG142" t="s">
        <v>11</v>
      </c>
      <c r="AH142">
        <f t="shared" si="29"/>
        <v>3902</v>
      </c>
      <c r="AI142" t="str">
        <f t="shared" si="30"/>
        <v>NoData</v>
      </c>
      <c r="AJ142">
        <v>24825</v>
      </c>
      <c r="AK142" t="s">
        <v>11</v>
      </c>
      <c r="AL142">
        <v>49028</v>
      </c>
      <c r="AM142">
        <v>37196</v>
      </c>
      <c r="AN142">
        <v>139</v>
      </c>
      <c r="AO142" t="s">
        <v>11</v>
      </c>
      <c r="AP142" t="s">
        <v>11</v>
      </c>
      <c r="AQ142" t="s">
        <v>11</v>
      </c>
      <c r="AR142" t="s">
        <v>11</v>
      </c>
      <c r="AS142" t="s">
        <v>11</v>
      </c>
      <c r="AT142" t="str">
        <f t="shared" si="23"/>
        <v>NoData</v>
      </c>
      <c r="AU142" t="str">
        <f t="shared" si="24"/>
        <v>NoData</v>
      </c>
      <c r="AV142" t="s">
        <v>11</v>
      </c>
      <c r="AW142" t="s">
        <v>11</v>
      </c>
      <c r="AX142" t="s">
        <v>11</v>
      </c>
      <c r="AY142" t="s">
        <v>11</v>
      </c>
      <c r="AZ142" t="str">
        <f t="shared" si="25"/>
        <v>NoData</v>
      </c>
      <c r="BA142" t="str">
        <f t="shared" si="26"/>
        <v>NoData</v>
      </c>
      <c r="BB142">
        <f t="shared" si="31"/>
        <v>139</v>
      </c>
      <c r="BC142" t="str">
        <f t="shared" si="32"/>
        <v>NoData</v>
      </c>
      <c r="BD142" t="s">
        <v>11</v>
      </c>
      <c r="BE142" t="s">
        <v>11</v>
      </c>
      <c r="BF142" t="s">
        <v>11</v>
      </c>
      <c r="BG142" t="s">
        <v>11</v>
      </c>
      <c r="BH142" t="s">
        <v>11</v>
      </c>
      <c r="BI142" t="s">
        <v>11</v>
      </c>
      <c r="BJ142">
        <v>164</v>
      </c>
      <c r="BK142" t="s">
        <v>11</v>
      </c>
      <c r="BL142" t="s">
        <v>11</v>
      </c>
      <c r="BM142" t="s">
        <v>11</v>
      </c>
      <c r="BN142" t="s">
        <v>11</v>
      </c>
      <c r="BO142" t="s">
        <v>11</v>
      </c>
      <c r="BP142" t="str">
        <f t="shared" si="27"/>
        <v>NoData</v>
      </c>
      <c r="BQ142" t="str">
        <f t="shared" si="28"/>
        <v>NoData</v>
      </c>
      <c r="BR142" t="s">
        <v>11</v>
      </c>
      <c r="BS142" t="s">
        <v>11</v>
      </c>
      <c r="BT142" t="s">
        <v>11</v>
      </c>
      <c r="BU142" t="s">
        <v>11</v>
      </c>
    </row>
    <row r="143" spans="1:73" x14ac:dyDescent="0.25">
      <c r="A143" s="5">
        <v>30133</v>
      </c>
      <c r="B143">
        <v>4206</v>
      </c>
      <c r="C143" t="s">
        <v>11</v>
      </c>
      <c r="D143" t="s">
        <v>11</v>
      </c>
      <c r="E143" t="s">
        <v>11</v>
      </c>
      <c r="F143">
        <v>7294</v>
      </c>
      <c r="G143" t="s">
        <v>11</v>
      </c>
      <c r="H143">
        <v>2875</v>
      </c>
      <c r="I143" t="s">
        <v>11</v>
      </c>
      <c r="J143">
        <v>3055</v>
      </c>
      <c r="K143" t="s">
        <v>11</v>
      </c>
      <c r="L143">
        <v>92788</v>
      </c>
      <c r="M143">
        <v>67830</v>
      </c>
      <c r="N143">
        <v>918</v>
      </c>
      <c r="O143" t="s">
        <v>11</v>
      </c>
      <c r="P143" t="s">
        <v>11</v>
      </c>
      <c r="Q143" t="s">
        <v>11</v>
      </c>
      <c r="R143" t="s">
        <v>11</v>
      </c>
      <c r="S143" t="s">
        <v>11</v>
      </c>
      <c r="T143" s="34">
        <v>122025</v>
      </c>
      <c r="U143" s="34">
        <v>77456</v>
      </c>
      <c r="V143" s="34">
        <v>6126</v>
      </c>
      <c r="W143" t="s">
        <v>11</v>
      </c>
      <c r="X143">
        <v>6600</v>
      </c>
      <c r="Y143" t="s">
        <v>11</v>
      </c>
      <c r="Z143">
        <v>4750</v>
      </c>
      <c r="AA143">
        <v>3849</v>
      </c>
      <c r="AB143">
        <v>36602</v>
      </c>
      <c r="AC143">
        <v>30877</v>
      </c>
      <c r="AD143">
        <v>4043</v>
      </c>
      <c r="AE143" t="s">
        <v>11</v>
      </c>
      <c r="AF143">
        <v>6887</v>
      </c>
      <c r="AG143" t="s">
        <v>11</v>
      </c>
      <c r="AH143">
        <f t="shared" si="29"/>
        <v>4043</v>
      </c>
      <c r="AI143" t="str">
        <f t="shared" si="30"/>
        <v>NoData</v>
      </c>
      <c r="AJ143">
        <v>28707</v>
      </c>
      <c r="AK143" t="s">
        <v>11</v>
      </c>
      <c r="AL143">
        <v>54392</v>
      </c>
      <c r="AM143">
        <v>42517</v>
      </c>
      <c r="AN143">
        <v>230</v>
      </c>
      <c r="AO143" t="s">
        <v>11</v>
      </c>
      <c r="AP143" t="s">
        <v>11</v>
      </c>
      <c r="AQ143" t="s">
        <v>11</v>
      </c>
      <c r="AR143" t="s">
        <v>11</v>
      </c>
      <c r="AS143" t="s">
        <v>11</v>
      </c>
      <c r="AT143" t="str">
        <f t="shared" si="23"/>
        <v>NoData</v>
      </c>
      <c r="AU143" t="str">
        <f t="shared" si="24"/>
        <v>NoData</v>
      </c>
      <c r="AV143" t="s">
        <v>11</v>
      </c>
      <c r="AW143" t="s">
        <v>11</v>
      </c>
      <c r="AX143" t="s">
        <v>11</v>
      </c>
      <c r="AY143" t="s">
        <v>11</v>
      </c>
      <c r="AZ143" t="str">
        <f t="shared" si="25"/>
        <v>NoData</v>
      </c>
      <c r="BA143" t="str">
        <f t="shared" si="26"/>
        <v>NoData</v>
      </c>
      <c r="BB143">
        <f t="shared" si="31"/>
        <v>230</v>
      </c>
      <c r="BC143" t="str">
        <f t="shared" si="32"/>
        <v>NoData</v>
      </c>
      <c r="BD143" t="s">
        <v>11</v>
      </c>
      <c r="BE143" t="s">
        <v>11</v>
      </c>
      <c r="BF143" t="s">
        <v>11</v>
      </c>
      <c r="BG143" t="s">
        <v>11</v>
      </c>
      <c r="BH143" t="s">
        <v>11</v>
      </c>
      <c r="BI143" t="s">
        <v>11</v>
      </c>
      <c r="BJ143">
        <v>190</v>
      </c>
      <c r="BK143" t="s">
        <v>11</v>
      </c>
      <c r="BL143" t="s">
        <v>11</v>
      </c>
      <c r="BM143" t="s">
        <v>11</v>
      </c>
      <c r="BN143" t="s">
        <v>11</v>
      </c>
      <c r="BO143" t="s">
        <v>11</v>
      </c>
      <c r="BP143" t="str">
        <f t="shared" si="27"/>
        <v>NoData</v>
      </c>
      <c r="BQ143" t="str">
        <f t="shared" si="28"/>
        <v>NoData</v>
      </c>
      <c r="BR143" t="s">
        <v>11</v>
      </c>
      <c r="BS143" t="s">
        <v>11</v>
      </c>
      <c r="BT143" t="s">
        <v>11</v>
      </c>
      <c r="BU143" t="s">
        <v>11</v>
      </c>
    </row>
    <row r="144" spans="1:73" x14ac:dyDescent="0.25">
      <c r="A144" s="5">
        <v>30164</v>
      </c>
      <c r="B144">
        <v>4993</v>
      </c>
      <c r="C144" t="s">
        <v>11</v>
      </c>
      <c r="D144" t="s">
        <v>11</v>
      </c>
      <c r="E144" t="s">
        <v>11</v>
      </c>
      <c r="F144">
        <v>8867</v>
      </c>
      <c r="G144" t="s">
        <v>11</v>
      </c>
      <c r="H144">
        <v>3496</v>
      </c>
      <c r="I144" t="s">
        <v>11</v>
      </c>
      <c r="J144">
        <v>2398</v>
      </c>
      <c r="K144" t="s">
        <v>11</v>
      </c>
      <c r="L144">
        <v>56520</v>
      </c>
      <c r="M144">
        <v>30725</v>
      </c>
      <c r="N144">
        <v>357</v>
      </c>
      <c r="O144" t="s">
        <v>11</v>
      </c>
      <c r="P144" t="s">
        <v>11</v>
      </c>
      <c r="Q144" t="s">
        <v>11</v>
      </c>
      <c r="R144" t="s">
        <v>11</v>
      </c>
      <c r="S144" t="s">
        <v>11</v>
      </c>
      <c r="T144" s="34">
        <v>107030</v>
      </c>
      <c r="U144" s="34">
        <v>56495</v>
      </c>
      <c r="V144" s="34">
        <v>4623</v>
      </c>
      <c r="W144" t="s">
        <v>11</v>
      </c>
      <c r="X144">
        <v>5315</v>
      </c>
      <c r="Y144" t="s">
        <v>11</v>
      </c>
      <c r="Z144">
        <v>4568</v>
      </c>
      <c r="AA144">
        <v>3655</v>
      </c>
      <c r="AB144">
        <v>30435</v>
      </c>
      <c r="AC144">
        <v>24015</v>
      </c>
      <c r="AD144">
        <v>3805</v>
      </c>
      <c r="AE144" t="s">
        <v>11</v>
      </c>
      <c r="AF144">
        <v>5735</v>
      </c>
      <c r="AG144" t="s">
        <v>11</v>
      </c>
      <c r="AH144">
        <f t="shared" si="29"/>
        <v>3805</v>
      </c>
      <c r="AI144" t="str">
        <f t="shared" si="30"/>
        <v>NoData</v>
      </c>
      <c r="AJ144">
        <v>24618</v>
      </c>
      <c r="AK144" t="s">
        <v>11</v>
      </c>
      <c r="AL144">
        <v>48059</v>
      </c>
      <c r="AM144">
        <v>35724</v>
      </c>
      <c r="AN144">
        <v>73</v>
      </c>
      <c r="AO144" t="s">
        <v>11</v>
      </c>
      <c r="AP144" t="s">
        <v>11</v>
      </c>
      <c r="AQ144" t="s">
        <v>11</v>
      </c>
      <c r="AR144" t="s">
        <v>11</v>
      </c>
      <c r="AS144" t="s">
        <v>11</v>
      </c>
      <c r="AT144" t="str">
        <f t="shared" si="23"/>
        <v>NoData</v>
      </c>
      <c r="AU144" t="str">
        <f t="shared" si="24"/>
        <v>NoData</v>
      </c>
      <c r="AV144" t="s">
        <v>11</v>
      </c>
      <c r="AW144" t="s">
        <v>11</v>
      </c>
      <c r="AX144" t="s">
        <v>11</v>
      </c>
      <c r="AY144" t="s">
        <v>11</v>
      </c>
      <c r="AZ144" t="str">
        <f t="shared" si="25"/>
        <v>NoData</v>
      </c>
      <c r="BA144" t="str">
        <f t="shared" si="26"/>
        <v>NoData</v>
      </c>
      <c r="BB144">
        <f t="shared" si="31"/>
        <v>73</v>
      </c>
      <c r="BC144" t="str">
        <f t="shared" si="32"/>
        <v>NoData</v>
      </c>
      <c r="BD144" t="s">
        <v>11</v>
      </c>
      <c r="BE144" t="s">
        <v>11</v>
      </c>
      <c r="BF144" t="s">
        <v>11</v>
      </c>
      <c r="BG144" t="s">
        <v>11</v>
      </c>
      <c r="BH144" t="s">
        <v>11</v>
      </c>
      <c r="BI144" t="s">
        <v>11</v>
      </c>
      <c r="BJ144">
        <v>184</v>
      </c>
      <c r="BK144" t="s">
        <v>11</v>
      </c>
      <c r="BL144" t="s">
        <v>11</v>
      </c>
      <c r="BM144" t="s">
        <v>11</v>
      </c>
      <c r="BN144" t="s">
        <v>11</v>
      </c>
      <c r="BO144" t="s">
        <v>11</v>
      </c>
      <c r="BP144" t="str">
        <f t="shared" si="27"/>
        <v>NoData</v>
      </c>
      <c r="BQ144" t="str">
        <f t="shared" si="28"/>
        <v>NoData</v>
      </c>
      <c r="BR144" t="s">
        <v>11</v>
      </c>
      <c r="BS144" t="s">
        <v>11</v>
      </c>
      <c r="BT144" t="s">
        <v>11</v>
      </c>
      <c r="BU144" t="s">
        <v>11</v>
      </c>
    </row>
    <row r="145" spans="1:73" x14ac:dyDescent="0.25">
      <c r="A145" s="5">
        <v>30195</v>
      </c>
      <c r="B145">
        <v>3093</v>
      </c>
      <c r="C145" t="s">
        <v>11</v>
      </c>
      <c r="D145" t="s">
        <v>11</v>
      </c>
      <c r="E145" t="s">
        <v>11</v>
      </c>
      <c r="F145">
        <v>5250</v>
      </c>
      <c r="G145" t="s">
        <v>11</v>
      </c>
      <c r="H145">
        <v>2070</v>
      </c>
      <c r="I145" t="s">
        <v>11</v>
      </c>
      <c r="J145">
        <v>1320</v>
      </c>
      <c r="K145" t="s">
        <v>11</v>
      </c>
      <c r="L145">
        <v>55931</v>
      </c>
      <c r="M145">
        <v>30809</v>
      </c>
      <c r="N145">
        <v>497</v>
      </c>
      <c r="O145" t="s">
        <v>11</v>
      </c>
      <c r="P145" t="s">
        <v>11</v>
      </c>
      <c r="Q145" t="s">
        <v>11</v>
      </c>
      <c r="R145" t="s">
        <v>11</v>
      </c>
      <c r="S145" t="s">
        <v>11</v>
      </c>
      <c r="T145" s="34">
        <v>96299</v>
      </c>
      <c r="U145" s="34">
        <v>49821</v>
      </c>
      <c r="V145" s="34">
        <v>1750</v>
      </c>
      <c r="W145" t="s">
        <v>11</v>
      </c>
      <c r="X145">
        <v>3740</v>
      </c>
      <c r="Y145" t="s">
        <v>11</v>
      </c>
      <c r="Z145">
        <v>3545</v>
      </c>
      <c r="AA145">
        <v>2653</v>
      </c>
      <c r="AB145">
        <v>25216</v>
      </c>
      <c r="AC145">
        <v>18952</v>
      </c>
      <c r="AD145">
        <v>3022</v>
      </c>
      <c r="AE145" t="s">
        <v>11</v>
      </c>
      <c r="AF145">
        <v>5900</v>
      </c>
      <c r="AG145" t="s">
        <v>11</v>
      </c>
      <c r="AH145">
        <f t="shared" si="29"/>
        <v>3022</v>
      </c>
      <c r="AI145" t="str">
        <f t="shared" si="30"/>
        <v>NoData</v>
      </c>
      <c r="AJ145">
        <v>20782</v>
      </c>
      <c r="AK145" t="s">
        <v>11</v>
      </c>
      <c r="AL145">
        <v>38710</v>
      </c>
      <c r="AM145">
        <v>26170</v>
      </c>
      <c r="AN145">
        <v>38</v>
      </c>
      <c r="AO145" t="s">
        <v>11</v>
      </c>
      <c r="AP145" t="s">
        <v>11</v>
      </c>
      <c r="AQ145" t="s">
        <v>11</v>
      </c>
      <c r="AR145" t="s">
        <v>11</v>
      </c>
      <c r="AS145" t="s">
        <v>11</v>
      </c>
      <c r="AT145" t="str">
        <f t="shared" si="23"/>
        <v>NoData</v>
      </c>
      <c r="AU145" t="str">
        <f t="shared" si="24"/>
        <v>NoData</v>
      </c>
      <c r="AV145" t="s">
        <v>11</v>
      </c>
      <c r="AW145" t="s">
        <v>11</v>
      </c>
      <c r="AX145" t="s">
        <v>11</v>
      </c>
      <c r="AY145" t="s">
        <v>11</v>
      </c>
      <c r="AZ145" t="str">
        <f t="shared" si="25"/>
        <v>NoData</v>
      </c>
      <c r="BA145" t="str">
        <f t="shared" si="26"/>
        <v>NoData</v>
      </c>
      <c r="BB145">
        <f t="shared" si="31"/>
        <v>38</v>
      </c>
      <c r="BC145" t="str">
        <f t="shared" si="32"/>
        <v>NoData</v>
      </c>
      <c r="BD145" t="s">
        <v>11</v>
      </c>
      <c r="BE145" t="s">
        <v>11</v>
      </c>
      <c r="BF145" t="s">
        <v>11</v>
      </c>
      <c r="BG145" t="s">
        <v>11</v>
      </c>
      <c r="BH145" t="s">
        <v>11</v>
      </c>
      <c r="BI145" t="s">
        <v>11</v>
      </c>
      <c r="BJ145">
        <v>128</v>
      </c>
      <c r="BK145" t="s">
        <v>11</v>
      </c>
      <c r="BL145" t="s">
        <v>11</v>
      </c>
      <c r="BM145" t="s">
        <v>11</v>
      </c>
      <c r="BN145" t="s">
        <v>11</v>
      </c>
      <c r="BO145" t="s">
        <v>11</v>
      </c>
      <c r="BP145" t="str">
        <f t="shared" si="27"/>
        <v>NoData</v>
      </c>
      <c r="BQ145" t="str">
        <f t="shared" si="28"/>
        <v>NoData</v>
      </c>
      <c r="BR145" t="s">
        <v>11</v>
      </c>
      <c r="BS145" t="s">
        <v>11</v>
      </c>
      <c r="BT145" t="s">
        <v>11</v>
      </c>
      <c r="BU145" t="s">
        <v>11</v>
      </c>
    </row>
    <row r="146" spans="1:73" x14ac:dyDescent="0.25">
      <c r="A146" s="5">
        <v>30225</v>
      </c>
      <c r="B146">
        <v>1800</v>
      </c>
      <c r="C146" t="s">
        <v>11</v>
      </c>
      <c r="D146" t="s">
        <v>11</v>
      </c>
      <c r="E146" t="s">
        <v>11</v>
      </c>
      <c r="F146">
        <v>2865</v>
      </c>
      <c r="G146" t="s">
        <v>11</v>
      </c>
      <c r="H146">
        <v>1129</v>
      </c>
      <c r="I146" t="s">
        <v>11</v>
      </c>
      <c r="J146">
        <v>755</v>
      </c>
      <c r="K146" t="s">
        <v>11</v>
      </c>
      <c r="L146">
        <v>30227</v>
      </c>
      <c r="M146">
        <v>8359</v>
      </c>
      <c r="N146">
        <v>248</v>
      </c>
      <c r="O146" t="s">
        <v>11</v>
      </c>
      <c r="P146" t="s">
        <v>11</v>
      </c>
      <c r="Q146" t="s">
        <v>11</v>
      </c>
      <c r="R146" t="s">
        <v>11</v>
      </c>
      <c r="S146" t="s">
        <v>11</v>
      </c>
      <c r="T146" s="34">
        <v>56353</v>
      </c>
      <c r="U146" s="34">
        <v>12891</v>
      </c>
      <c r="V146" s="34">
        <v>3670</v>
      </c>
      <c r="W146" t="s">
        <v>11</v>
      </c>
      <c r="X146">
        <v>2918</v>
      </c>
      <c r="Y146" t="s">
        <v>11</v>
      </c>
      <c r="Z146">
        <v>4100</v>
      </c>
      <c r="AA146">
        <v>2875</v>
      </c>
      <c r="AB146">
        <v>27014</v>
      </c>
      <c r="AC146">
        <v>19894</v>
      </c>
      <c r="AD146">
        <v>2487</v>
      </c>
      <c r="AE146" t="s">
        <v>11</v>
      </c>
      <c r="AF146">
        <v>5479</v>
      </c>
      <c r="AG146" t="s">
        <v>11</v>
      </c>
      <c r="AH146">
        <f t="shared" si="29"/>
        <v>2487</v>
      </c>
      <c r="AI146" t="str">
        <f t="shared" si="30"/>
        <v>NoData</v>
      </c>
      <c r="AJ146">
        <v>15565</v>
      </c>
      <c r="AK146" t="s">
        <v>11</v>
      </c>
      <c r="AL146">
        <v>22550</v>
      </c>
      <c r="AM146">
        <v>9655</v>
      </c>
      <c r="AN146">
        <v>0</v>
      </c>
      <c r="AO146" t="s">
        <v>11</v>
      </c>
      <c r="AP146" t="s">
        <v>11</v>
      </c>
      <c r="AQ146" t="s">
        <v>11</v>
      </c>
      <c r="AR146" t="s">
        <v>11</v>
      </c>
      <c r="AS146" t="s">
        <v>11</v>
      </c>
      <c r="AT146" t="str">
        <f t="shared" si="23"/>
        <v>NoData</v>
      </c>
      <c r="AU146" t="str">
        <f t="shared" si="24"/>
        <v>NoData</v>
      </c>
      <c r="AV146" t="s">
        <v>11</v>
      </c>
      <c r="AW146" t="s">
        <v>11</v>
      </c>
      <c r="AX146" t="s">
        <v>11</v>
      </c>
      <c r="AY146" t="s">
        <v>11</v>
      </c>
      <c r="AZ146" t="str">
        <f t="shared" si="25"/>
        <v>NoData</v>
      </c>
      <c r="BA146" t="str">
        <f t="shared" si="26"/>
        <v>NoData</v>
      </c>
      <c r="BB146">
        <f t="shared" si="31"/>
        <v>0</v>
      </c>
      <c r="BC146" t="str">
        <f t="shared" si="32"/>
        <v>NoData</v>
      </c>
      <c r="BD146" t="s">
        <v>11</v>
      </c>
      <c r="BE146" t="s">
        <v>11</v>
      </c>
      <c r="BF146" t="s">
        <v>11</v>
      </c>
      <c r="BG146" t="s">
        <v>11</v>
      </c>
      <c r="BH146" t="s">
        <v>11</v>
      </c>
      <c r="BI146" t="s">
        <v>11</v>
      </c>
      <c r="BJ146">
        <v>96</v>
      </c>
      <c r="BK146" t="s">
        <v>11</v>
      </c>
      <c r="BL146" t="s">
        <v>11</v>
      </c>
      <c r="BM146" t="s">
        <v>11</v>
      </c>
      <c r="BN146" t="s">
        <v>11</v>
      </c>
      <c r="BO146" t="s">
        <v>11</v>
      </c>
      <c r="BP146" t="str">
        <f t="shared" si="27"/>
        <v>NoData</v>
      </c>
      <c r="BQ146" t="str">
        <f t="shared" si="28"/>
        <v>NoData</v>
      </c>
      <c r="BR146" t="s">
        <v>11</v>
      </c>
      <c r="BS146" t="s">
        <v>11</v>
      </c>
      <c r="BT146" t="s">
        <v>11</v>
      </c>
      <c r="BU146" t="s">
        <v>11</v>
      </c>
    </row>
    <row r="147" spans="1:73" x14ac:dyDescent="0.25">
      <c r="A147" s="5">
        <v>30256</v>
      </c>
      <c r="B147">
        <v>771</v>
      </c>
      <c r="C147" t="s">
        <v>11</v>
      </c>
      <c r="D147" t="s">
        <v>11</v>
      </c>
      <c r="E147" t="s">
        <v>11</v>
      </c>
      <c r="F147">
        <v>1080</v>
      </c>
      <c r="G147" t="s">
        <v>11</v>
      </c>
      <c r="H147">
        <v>425</v>
      </c>
      <c r="I147" t="s">
        <v>11</v>
      </c>
      <c r="J147">
        <v>1067</v>
      </c>
      <c r="K147" t="s">
        <v>11</v>
      </c>
      <c r="L147">
        <v>18076</v>
      </c>
      <c r="M147">
        <v>1296</v>
      </c>
      <c r="N147">
        <v>356</v>
      </c>
      <c r="O147" t="s">
        <v>11</v>
      </c>
      <c r="P147" t="s">
        <v>11</v>
      </c>
      <c r="Q147" t="s">
        <v>11</v>
      </c>
      <c r="R147" t="s">
        <v>11</v>
      </c>
      <c r="S147" t="s">
        <v>11</v>
      </c>
      <c r="T147" s="34">
        <v>37798</v>
      </c>
      <c r="U147" s="34">
        <v>1342</v>
      </c>
      <c r="V147" s="34">
        <v>1557</v>
      </c>
      <c r="W147" t="s">
        <v>11</v>
      </c>
      <c r="X147">
        <v>1906</v>
      </c>
      <c r="Y147" t="s">
        <v>11</v>
      </c>
      <c r="Z147">
        <v>3607</v>
      </c>
      <c r="AA147">
        <v>2633</v>
      </c>
      <c r="AB147">
        <v>12364</v>
      </c>
      <c r="AC147">
        <v>5949</v>
      </c>
      <c r="AD147">
        <v>1741</v>
      </c>
      <c r="AE147" t="s">
        <v>11</v>
      </c>
      <c r="AF147">
        <v>4478</v>
      </c>
      <c r="AG147" t="s">
        <v>11</v>
      </c>
      <c r="AH147">
        <f t="shared" si="29"/>
        <v>1741</v>
      </c>
      <c r="AI147" t="str">
        <f t="shared" si="30"/>
        <v>NoData</v>
      </c>
      <c r="AJ147">
        <v>9680</v>
      </c>
      <c r="AK147" t="s">
        <v>11</v>
      </c>
      <c r="AL147">
        <v>15436</v>
      </c>
      <c r="AM147">
        <v>2230</v>
      </c>
      <c r="AN147">
        <v>0</v>
      </c>
      <c r="AO147" t="s">
        <v>11</v>
      </c>
      <c r="AP147" t="s">
        <v>11</v>
      </c>
      <c r="AQ147" t="s">
        <v>11</v>
      </c>
      <c r="AR147" t="s">
        <v>11</v>
      </c>
      <c r="AS147" t="s">
        <v>11</v>
      </c>
      <c r="AT147" t="str">
        <f t="shared" si="23"/>
        <v>NoData</v>
      </c>
      <c r="AU147" t="str">
        <f t="shared" si="24"/>
        <v>NoData</v>
      </c>
      <c r="AV147" t="s">
        <v>11</v>
      </c>
      <c r="AW147" t="s">
        <v>11</v>
      </c>
      <c r="AX147" t="s">
        <v>11</v>
      </c>
      <c r="AY147" t="s">
        <v>11</v>
      </c>
      <c r="AZ147" t="str">
        <f t="shared" si="25"/>
        <v>NoData</v>
      </c>
      <c r="BA147" t="str">
        <f t="shared" si="26"/>
        <v>NoData</v>
      </c>
      <c r="BB147">
        <f t="shared" si="31"/>
        <v>0</v>
      </c>
      <c r="BC147" t="str">
        <f t="shared" si="32"/>
        <v>NoData</v>
      </c>
      <c r="BD147" t="s">
        <v>11</v>
      </c>
      <c r="BE147" t="s">
        <v>11</v>
      </c>
      <c r="BF147" t="s">
        <v>11</v>
      </c>
      <c r="BG147" t="s">
        <v>11</v>
      </c>
      <c r="BH147" t="s">
        <v>11</v>
      </c>
      <c r="BI147" t="s">
        <v>11</v>
      </c>
      <c r="BJ147">
        <v>98</v>
      </c>
      <c r="BK147" t="s">
        <v>11</v>
      </c>
      <c r="BL147" t="s">
        <v>11</v>
      </c>
      <c r="BM147" t="s">
        <v>11</v>
      </c>
      <c r="BN147" t="s">
        <v>11</v>
      </c>
      <c r="BO147" t="s">
        <v>11</v>
      </c>
      <c r="BP147" t="str">
        <f t="shared" si="27"/>
        <v>NoData</v>
      </c>
      <c r="BQ147" t="str">
        <f t="shared" si="28"/>
        <v>NoData</v>
      </c>
      <c r="BR147" t="s">
        <v>11</v>
      </c>
      <c r="BS147" t="s">
        <v>11</v>
      </c>
      <c r="BT147" t="s">
        <v>11</v>
      </c>
      <c r="BU147" t="s">
        <v>11</v>
      </c>
    </row>
    <row r="148" spans="1:73" x14ac:dyDescent="0.25">
      <c r="A148" s="5">
        <v>30286</v>
      </c>
      <c r="B148">
        <v>369</v>
      </c>
      <c r="C148" t="s">
        <v>11</v>
      </c>
      <c r="D148" t="s">
        <v>11</v>
      </c>
      <c r="E148" t="s">
        <v>11</v>
      </c>
      <c r="F148">
        <v>394</v>
      </c>
      <c r="G148" t="s">
        <v>11</v>
      </c>
      <c r="H148">
        <v>156</v>
      </c>
      <c r="I148" t="s">
        <v>11</v>
      </c>
      <c r="J148">
        <v>268</v>
      </c>
      <c r="K148" t="s">
        <v>11</v>
      </c>
      <c r="L148">
        <v>12601</v>
      </c>
      <c r="M148">
        <v>-1077</v>
      </c>
      <c r="N148">
        <v>216</v>
      </c>
      <c r="O148" t="s">
        <v>11</v>
      </c>
      <c r="P148" t="s">
        <v>11</v>
      </c>
      <c r="Q148" t="s">
        <v>11</v>
      </c>
      <c r="R148" t="s">
        <v>11</v>
      </c>
      <c r="S148" t="s">
        <v>11</v>
      </c>
      <c r="T148" s="34">
        <v>30919</v>
      </c>
      <c r="U148" s="34">
        <v>-5589</v>
      </c>
      <c r="V148" s="34">
        <v>607</v>
      </c>
      <c r="W148" t="s">
        <v>11</v>
      </c>
      <c r="X148">
        <v>1135</v>
      </c>
      <c r="Y148" t="s">
        <v>11</v>
      </c>
      <c r="Z148">
        <v>1771</v>
      </c>
      <c r="AA148">
        <v>1056</v>
      </c>
      <c r="AB148">
        <v>6144</v>
      </c>
      <c r="AC148">
        <v>521</v>
      </c>
      <c r="AD148">
        <v>1011</v>
      </c>
      <c r="AE148" t="s">
        <v>11</v>
      </c>
      <c r="AF148">
        <v>2099</v>
      </c>
      <c r="AG148" t="s">
        <v>11</v>
      </c>
      <c r="AH148">
        <f t="shared" si="29"/>
        <v>1011</v>
      </c>
      <c r="AI148" t="str">
        <f t="shared" si="30"/>
        <v>NoData</v>
      </c>
      <c r="AJ148">
        <v>7405</v>
      </c>
      <c r="AK148" t="s">
        <v>11</v>
      </c>
      <c r="AL148">
        <v>10773</v>
      </c>
      <c r="AM148">
        <v>-1816</v>
      </c>
      <c r="AN148">
        <v>0</v>
      </c>
      <c r="AO148" t="s">
        <v>11</v>
      </c>
      <c r="AP148" t="s">
        <v>11</v>
      </c>
      <c r="AQ148" t="s">
        <v>11</v>
      </c>
      <c r="AR148" t="s">
        <v>11</v>
      </c>
      <c r="AS148" t="s">
        <v>11</v>
      </c>
      <c r="AT148" t="str">
        <f t="shared" si="23"/>
        <v>NoData</v>
      </c>
      <c r="AU148" t="str">
        <f t="shared" si="24"/>
        <v>NoData</v>
      </c>
      <c r="AV148" t="s">
        <v>11</v>
      </c>
      <c r="AW148" t="s">
        <v>11</v>
      </c>
      <c r="AX148" t="s">
        <v>11</v>
      </c>
      <c r="AY148" t="s">
        <v>11</v>
      </c>
      <c r="AZ148" t="str">
        <f t="shared" si="25"/>
        <v>NoData</v>
      </c>
      <c r="BA148" t="str">
        <f t="shared" si="26"/>
        <v>NoData</v>
      </c>
      <c r="BB148">
        <f t="shared" si="31"/>
        <v>0</v>
      </c>
      <c r="BC148" t="str">
        <f t="shared" si="32"/>
        <v>NoData</v>
      </c>
      <c r="BD148" t="s">
        <v>11</v>
      </c>
      <c r="BE148" t="s">
        <v>11</v>
      </c>
      <c r="BF148" t="s">
        <v>11</v>
      </c>
      <c r="BG148" t="s">
        <v>11</v>
      </c>
      <c r="BH148" t="s">
        <v>11</v>
      </c>
      <c r="BI148" t="s">
        <v>11</v>
      </c>
      <c r="BJ148">
        <v>85</v>
      </c>
      <c r="BK148" t="s">
        <v>11</v>
      </c>
      <c r="BL148" t="s">
        <v>11</v>
      </c>
      <c r="BM148" t="s">
        <v>11</v>
      </c>
      <c r="BN148" t="s">
        <v>11</v>
      </c>
      <c r="BO148" t="s">
        <v>11</v>
      </c>
      <c r="BP148" t="str">
        <f t="shared" si="27"/>
        <v>NoData</v>
      </c>
      <c r="BQ148" t="str">
        <f t="shared" si="28"/>
        <v>NoData</v>
      </c>
      <c r="BR148" t="s">
        <v>11</v>
      </c>
      <c r="BS148" t="s">
        <v>11</v>
      </c>
      <c r="BT148" t="s">
        <v>11</v>
      </c>
      <c r="BU148" t="s">
        <v>11</v>
      </c>
    </row>
    <row r="149" spans="1:73" x14ac:dyDescent="0.25">
      <c r="A149" s="5">
        <v>30317</v>
      </c>
      <c r="B149">
        <v>984</v>
      </c>
      <c r="C149" t="s">
        <v>11</v>
      </c>
      <c r="D149" t="s">
        <v>11</v>
      </c>
      <c r="E149" t="s">
        <v>11</v>
      </c>
      <c r="F149">
        <v>1599</v>
      </c>
      <c r="G149" t="s">
        <v>11</v>
      </c>
      <c r="H149">
        <v>757</v>
      </c>
      <c r="I149" t="s">
        <v>11</v>
      </c>
      <c r="J149">
        <v>581</v>
      </c>
      <c r="K149" t="s">
        <v>11</v>
      </c>
      <c r="L149">
        <v>10872</v>
      </c>
      <c r="M149">
        <v>-2449</v>
      </c>
      <c r="N149">
        <v>251</v>
      </c>
      <c r="O149" t="s">
        <v>11</v>
      </c>
      <c r="P149" t="s">
        <v>11</v>
      </c>
      <c r="Q149" t="s">
        <v>11</v>
      </c>
      <c r="R149" t="s">
        <v>11</v>
      </c>
      <c r="S149" t="s">
        <v>11</v>
      </c>
      <c r="T149" s="34">
        <v>33975</v>
      </c>
      <c r="U149" s="34">
        <v>4577</v>
      </c>
      <c r="V149" s="34">
        <v>1258</v>
      </c>
      <c r="W149" t="s">
        <v>11</v>
      </c>
      <c r="X149">
        <v>2124</v>
      </c>
      <c r="Y149" t="s">
        <v>11</v>
      </c>
      <c r="Z149">
        <v>2842</v>
      </c>
      <c r="AA149">
        <v>2027</v>
      </c>
      <c r="AB149">
        <v>13162</v>
      </c>
      <c r="AC149">
        <v>7721</v>
      </c>
      <c r="AD149">
        <v>1583</v>
      </c>
      <c r="AE149">
        <v>1362</v>
      </c>
      <c r="AF149">
        <v>3211</v>
      </c>
      <c r="AG149">
        <v>3832</v>
      </c>
      <c r="AH149">
        <f t="shared" si="29"/>
        <v>1583</v>
      </c>
      <c r="AI149">
        <f t="shared" si="30"/>
        <v>1362</v>
      </c>
      <c r="AJ149">
        <v>9430</v>
      </c>
      <c r="AK149">
        <v>8178</v>
      </c>
      <c r="AL149">
        <v>16960</v>
      </c>
      <c r="AM149">
        <v>5646</v>
      </c>
      <c r="AN149">
        <v>0</v>
      </c>
      <c r="AO149" t="s">
        <v>11</v>
      </c>
      <c r="AP149" t="s">
        <v>11</v>
      </c>
      <c r="AQ149" t="s">
        <v>11</v>
      </c>
      <c r="AR149" t="s">
        <v>11</v>
      </c>
      <c r="AS149" t="s">
        <v>11</v>
      </c>
      <c r="AT149" t="str">
        <f t="shared" si="23"/>
        <v>NoData</v>
      </c>
      <c r="AU149" t="str">
        <f t="shared" si="24"/>
        <v>NoData</v>
      </c>
      <c r="AV149">
        <v>1</v>
      </c>
      <c r="AW149" t="s">
        <v>11</v>
      </c>
      <c r="AX149">
        <v>2</v>
      </c>
      <c r="AY149" t="s">
        <v>11</v>
      </c>
      <c r="AZ149" t="str">
        <f t="shared" si="25"/>
        <v>NoData</v>
      </c>
      <c r="BA149" t="str">
        <f t="shared" si="26"/>
        <v>NoData</v>
      </c>
      <c r="BB149">
        <f t="shared" si="31"/>
        <v>0</v>
      </c>
      <c r="BC149" t="str">
        <f t="shared" si="32"/>
        <v>NoData</v>
      </c>
      <c r="BD149" t="s">
        <v>11</v>
      </c>
      <c r="BE149" t="s">
        <v>11</v>
      </c>
      <c r="BF149" t="s">
        <v>11</v>
      </c>
      <c r="BG149" t="s">
        <v>11</v>
      </c>
      <c r="BH149">
        <v>0</v>
      </c>
      <c r="BI149" t="s">
        <v>11</v>
      </c>
      <c r="BJ149">
        <v>84</v>
      </c>
      <c r="BK149" t="s">
        <v>11</v>
      </c>
      <c r="BL149" t="s">
        <v>11</v>
      </c>
      <c r="BM149" t="s">
        <v>11</v>
      </c>
      <c r="BN149" t="s">
        <v>11</v>
      </c>
      <c r="BO149" t="s">
        <v>11</v>
      </c>
      <c r="BP149" t="str">
        <f t="shared" si="27"/>
        <v>NoData</v>
      </c>
      <c r="BQ149" t="str">
        <f t="shared" si="28"/>
        <v>NoData</v>
      </c>
      <c r="BR149" t="s">
        <v>11</v>
      </c>
      <c r="BS149" t="s">
        <v>11</v>
      </c>
      <c r="BT149" t="s">
        <v>11</v>
      </c>
      <c r="BU149" t="s">
        <v>11</v>
      </c>
    </row>
    <row r="150" spans="1:73" x14ac:dyDescent="0.25">
      <c r="A150" s="5">
        <v>30348</v>
      </c>
      <c r="B150">
        <v>1097</v>
      </c>
      <c r="C150" t="s">
        <v>11</v>
      </c>
      <c r="D150" t="s">
        <v>11</v>
      </c>
      <c r="E150" t="s">
        <v>11</v>
      </c>
      <c r="F150">
        <v>1905</v>
      </c>
      <c r="G150" t="s">
        <v>11</v>
      </c>
      <c r="H150">
        <v>902</v>
      </c>
      <c r="I150" t="s">
        <v>11</v>
      </c>
      <c r="J150">
        <v>654</v>
      </c>
      <c r="K150" t="s">
        <v>11</v>
      </c>
      <c r="L150">
        <v>29175</v>
      </c>
      <c r="M150">
        <v>14366</v>
      </c>
      <c r="N150">
        <v>227</v>
      </c>
      <c r="O150" t="s">
        <v>11</v>
      </c>
      <c r="P150" t="s">
        <v>11</v>
      </c>
      <c r="Q150" t="s">
        <v>11</v>
      </c>
      <c r="R150" t="s">
        <v>11</v>
      </c>
      <c r="S150" t="s">
        <v>11</v>
      </c>
      <c r="T150" s="34">
        <v>45289</v>
      </c>
      <c r="U150" s="34">
        <v>18260</v>
      </c>
      <c r="V150" s="34">
        <v>1578</v>
      </c>
      <c r="W150" t="s">
        <v>11</v>
      </c>
      <c r="X150">
        <v>2529</v>
      </c>
      <c r="Y150" t="s">
        <v>11</v>
      </c>
      <c r="Z150">
        <v>2952</v>
      </c>
      <c r="AA150">
        <v>2243</v>
      </c>
      <c r="AB150">
        <v>13236</v>
      </c>
      <c r="AC150">
        <v>8171</v>
      </c>
      <c r="AD150">
        <v>1103</v>
      </c>
      <c r="AE150">
        <v>835</v>
      </c>
      <c r="AF150">
        <v>2964</v>
      </c>
      <c r="AG150">
        <v>3604</v>
      </c>
      <c r="AH150">
        <f t="shared" si="29"/>
        <v>1103</v>
      </c>
      <c r="AI150">
        <f t="shared" si="30"/>
        <v>835</v>
      </c>
      <c r="AJ150">
        <v>7979</v>
      </c>
      <c r="AK150">
        <v>6461</v>
      </c>
      <c r="AL150">
        <v>16761</v>
      </c>
      <c r="AM150">
        <v>7337</v>
      </c>
      <c r="AN150">
        <v>104</v>
      </c>
      <c r="AO150" t="s">
        <v>11</v>
      </c>
      <c r="AP150" t="s">
        <v>11</v>
      </c>
      <c r="AQ150" t="s">
        <v>11</v>
      </c>
      <c r="AR150" t="s">
        <v>11</v>
      </c>
      <c r="AS150" t="s">
        <v>11</v>
      </c>
      <c r="AT150" t="str">
        <f t="shared" si="23"/>
        <v>NoData</v>
      </c>
      <c r="AU150" t="str">
        <f t="shared" si="24"/>
        <v>NoData</v>
      </c>
      <c r="AV150">
        <v>1</v>
      </c>
      <c r="AW150" t="s">
        <v>11</v>
      </c>
      <c r="AX150">
        <v>2</v>
      </c>
      <c r="AY150" t="s">
        <v>11</v>
      </c>
      <c r="AZ150" t="str">
        <f t="shared" si="25"/>
        <v>NoData</v>
      </c>
      <c r="BA150" t="str">
        <f t="shared" si="26"/>
        <v>NoData</v>
      </c>
      <c r="BB150">
        <f t="shared" si="31"/>
        <v>104</v>
      </c>
      <c r="BC150" t="str">
        <f t="shared" si="32"/>
        <v>NoData</v>
      </c>
      <c r="BD150" t="s">
        <v>11</v>
      </c>
      <c r="BE150" t="s">
        <v>11</v>
      </c>
      <c r="BF150" t="s">
        <v>11</v>
      </c>
      <c r="BG150" t="s">
        <v>11</v>
      </c>
      <c r="BH150">
        <v>7</v>
      </c>
      <c r="BI150" t="s">
        <v>11</v>
      </c>
      <c r="BJ150">
        <v>76</v>
      </c>
      <c r="BK150" t="s">
        <v>11</v>
      </c>
      <c r="BL150" t="s">
        <v>11</v>
      </c>
      <c r="BM150" t="s">
        <v>11</v>
      </c>
      <c r="BN150" t="s">
        <v>11</v>
      </c>
      <c r="BO150" t="s">
        <v>11</v>
      </c>
      <c r="BP150" t="str">
        <f t="shared" si="27"/>
        <v>NoData</v>
      </c>
      <c r="BQ150" t="str">
        <f t="shared" si="28"/>
        <v>NoData</v>
      </c>
      <c r="BR150" t="s">
        <v>11</v>
      </c>
      <c r="BS150" t="s">
        <v>11</v>
      </c>
      <c r="BT150" t="s">
        <v>11</v>
      </c>
      <c r="BU150" t="s">
        <v>11</v>
      </c>
    </row>
    <row r="151" spans="1:73" x14ac:dyDescent="0.25">
      <c r="A151" s="5">
        <v>30376</v>
      </c>
      <c r="B151">
        <v>1970</v>
      </c>
      <c r="C151" t="s">
        <v>11</v>
      </c>
      <c r="D151" t="s">
        <v>11</v>
      </c>
      <c r="E151" t="s">
        <v>11</v>
      </c>
      <c r="F151">
        <v>3893</v>
      </c>
      <c r="G151" t="s">
        <v>11</v>
      </c>
      <c r="H151">
        <v>1843</v>
      </c>
      <c r="I151" t="s">
        <v>11</v>
      </c>
      <c r="J151">
        <v>2085</v>
      </c>
      <c r="K151" t="s">
        <v>11</v>
      </c>
      <c r="L151">
        <v>38044</v>
      </c>
      <c r="M151">
        <v>20385</v>
      </c>
      <c r="N151">
        <v>544</v>
      </c>
      <c r="O151" t="s">
        <v>11</v>
      </c>
      <c r="P151" t="s">
        <v>11</v>
      </c>
      <c r="Q151" t="s">
        <v>11</v>
      </c>
      <c r="R151" t="s">
        <v>11</v>
      </c>
      <c r="S151" t="s">
        <v>11</v>
      </c>
      <c r="T151" s="34">
        <v>64652</v>
      </c>
      <c r="U151" s="34">
        <v>31516</v>
      </c>
      <c r="V151" s="34">
        <v>2203</v>
      </c>
      <c r="W151" t="s">
        <v>11</v>
      </c>
      <c r="X151">
        <v>3630</v>
      </c>
      <c r="Y151" t="s">
        <v>11</v>
      </c>
      <c r="Z151">
        <v>4238</v>
      </c>
      <c r="AA151">
        <v>3393</v>
      </c>
      <c r="AB151">
        <v>23456</v>
      </c>
      <c r="AC151">
        <v>17145</v>
      </c>
      <c r="AD151">
        <v>2104</v>
      </c>
      <c r="AE151">
        <v>1798</v>
      </c>
      <c r="AF151">
        <v>3723</v>
      </c>
      <c r="AG151">
        <v>4734</v>
      </c>
      <c r="AH151">
        <f t="shared" si="29"/>
        <v>2104</v>
      </c>
      <c r="AI151">
        <f t="shared" si="30"/>
        <v>1798</v>
      </c>
      <c r="AJ151">
        <v>14510</v>
      </c>
      <c r="AK151">
        <v>12770</v>
      </c>
      <c r="AL151">
        <v>30187</v>
      </c>
      <c r="AM151">
        <v>18943</v>
      </c>
      <c r="AN151">
        <v>10</v>
      </c>
      <c r="AO151" t="s">
        <v>11</v>
      </c>
      <c r="AP151" t="s">
        <v>11</v>
      </c>
      <c r="AQ151" t="s">
        <v>11</v>
      </c>
      <c r="AR151" t="s">
        <v>11</v>
      </c>
      <c r="AS151" t="s">
        <v>11</v>
      </c>
      <c r="AT151" t="str">
        <f t="shared" si="23"/>
        <v>NoData</v>
      </c>
      <c r="AU151" t="str">
        <f t="shared" si="24"/>
        <v>NoData</v>
      </c>
      <c r="AV151">
        <v>2</v>
      </c>
      <c r="AW151" t="s">
        <v>11</v>
      </c>
      <c r="AX151">
        <v>4</v>
      </c>
      <c r="AY151" t="s">
        <v>11</v>
      </c>
      <c r="AZ151" t="str">
        <f t="shared" si="25"/>
        <v>NoData</v>
      </c>
      <c r="BA151" t="str">
        <f t="shared" si="26"/>
        <v>NoData</v>
      </c>
      <c r="BB151">
        <f t="shared" si="31"/>
        <v>10</v>
      </c>
      <c r="BC151" t="str">
        <f t="shared" si="32"/>
        <v>NoData</v>
      </c>
      <c r="BD151" t="s">
        <v>11</v>
      </c>
      <c r="BE151" t="s">
        <v>11</v>
      </c>
      <c r="BF151" t="s">
        <v>11</v>
      </c>
      <c r="BG151" t="s">
        <v>11</v>
      </c>
      <c r="BH151">
        <v>0</v>
      </c>
      <c r="BI151" t="s">
        <v>11</v>
      </c>
      <c r="BJ151">
        <v>101</v>
      </c>
      <c r="BK151" t="s">
        <v>11</v>
      </c>
      <c r="BL151" t="s">
        <v>11</v>
      </c>
      <c r="BM151" t="s">
        <v>11</v>
      </c>
      <c r="BN151" t="s">
        <v>11</v>
      </c>
      <c r="BO151" t="s">
        <v>11</v>
      </c>
      <c r="BP151" t="str">
        <f t="shared" si="27"/>
        <v>NoData</v>
      </c>
      <c r="BQ151" t="str">
        <f t="shared" si="28"/>
        <v>NoData</v>
      </c>
      <c r="BR151" t="s">
        <v>11</v>
      </c>
      <c r="BS151" t="s">
        <v>11</v>
      </c>
      <c r="BT151" t="s">
        <v>11</v>
      </c>
      <c r="BU151" t="s">
        <v>11</v>
      </c>
    </row>
    <row r="152" spans="1:73" x14ac:dyDescent="0.25">
      <c r="A152" s="5">
        <v>30407</v>
      </c>
      <c r="B152">
        <v>2678</v>
      </c>
      <c r="C152" t="s">
        <v>11</v>
      </c>
      <c r="D152" t="s">
        <v>11</v>
      </c>
      <c r="E152" t="s">
        <v>11</v>
      </c>
      <c r="F152">
        <v>7042</v>
      </c>
      <c r="G152" t="s">
        <v>11</v>
      </c>
      <c r="H152">
        <v>3334</v>
      </c>
      <c r="I152" t="s">
        <v>11</v>
      </c>
      <c r="J152">
        <v>1618</v>
      </c>
      <c r="K152" t="s">
        <v>11</v>
      </c>
      <c r="L152">
        <v>62052</v>
      </c>
      <c r="M152">
        <v>40083</v>
      </c>
      <c r="N152">
        <v>248</v>
      </c>
      <c r="O152" t="s">
        <v>11</v>
      </c>
      <c r="P152" t="s">
        <v>11</v>
      </c>
      <c r="Q152" t="s">
        <v>11</v>
      </c>
      <c r="R152" t="s">
        <v>11</v>
      </c>
      <c r="S152" t="s">
        <v>11</v>
      </c>
      <c r="T152" s="34">
        <v>84933</v>
      </c>
      <c r="U152" s="34">
        <v>47878</v>
      </c>
      <c r="V152" s="34">
        <v>2481</v>
      </c>
      <c r="W152" t="s">
        <v>11</v>
      </c>
      <c r="X152">
        <v>4205</v>
      </c>
      <c r="Y152" t="s">
        <v>11</v>
      </c>
      <c r="Z152">
        <v>4396</v>
      </c>
      <c r="AA152">
        <v>3683</v>
      </c>
      <c r="AB152">
        <v>26361</v>
      </c>
      <c r="AC152">
        <v>20368</v>
      </c>
      <c r="AD152">
        <v>2211</v>
      </c>
      <c r="AE152">
        <v>1904</v>
      </c>
      <c r="AF152">
        <v>4436</v>
      </c>
      <c r="AG152">
        <v>5156</v>
      </c>
      <c r="AH152">
        <f t="shared" si="29"/>
        <v>2211</v>
      </c>
      <c r="AI152">
        <f t="shared" si="30"/>
        <v>1904</v>
      </c>
      <c r="AJ152">
        <v>17181</v>
      </c>
      <c r="AK152">
        <v>15424</v>
      </c>
      <c r="AL152">
        <v>36760</v>
      </c>
      <c r="AM152">
        <v>25620</v>
      </c>
      <c r="AN152">
        <v>11</v>
      </c>
      <c r="AO152" t="s">
        <v>11</v>
      </c>
      <c r="AP152" t="s">
        <v>11</v>
      </c>
      <c r="AQ152" t="s">
        <v>11</v>
      </c>
      <c r="AR152" t="s">
        <v>11</v>
      </c>
      <c r="AS152" t="s">
        <v>11</v>
      </c>
      <c r="AT152" t="str">
        <f t="shared" si="23"/>
        <v>NoData</v>
      </c>
      <c r="AU152" t="str">
        <f t="shared" si="24"/>
        <v>NoData</v>
      </c>
      <c r="AV152">
        <v>3</v>
      </c>
      <c r="AW152" t="s">
        <v>11</v>
      </c>
      <c r="AX152">
        <v>6</v>
      </c>
      <c r="AY152" t="s">
        <v>11</v>
      </c>
      <c r="AZ152" t="str">
        <f t="shared" si="25"/>
        <v>NoData</v>
      </c>
      <c r="BA152" t="str">
        <f t="shared" si="26"/>
        <v>NoData</v>
      </c>
      <c r="BB152">
        <f t="shared" si="31"/>
        <v>11</v>
      </c>
      <c r="BC152" t="str">
        <f t="shared" si="32"/>
        <v>NoData</v>
      </c>
      <c r="BD152" t="s">
        <v>11</v>
      </c>
      <c r="BE152" t="s">
        <v>11</v>
      </c>
      <c r="BF152" t="s">
        <v>11</v>
      </c>
      <c r="BG152" t="s">
        <v>11</v>
      </c>
      <c r="BH152">
        <v>8</v>
      </c>
      <c r="BI152" t="s">
        <v>11</v>
      </c>
      <c r="BJ152">
        <v>95</v>
      </c>
      <c r="BK152" t="s">
        <v>11</v>
      </c>
      <c r="BL152" t="s">
        <v>11</v>
      </c>
      <c r="BM152" t="s">
        <v>11</v>
      </c>
      <c r="BN152" t="s">
        <v>11</v>
      </c>
      <c r="BO152" t="s">
        <v>11</v>
      </c>
      <c r="BP152" t="str">
        <f t="shared" si="27"/>
        <v>NoData</v>
      </c>
      <c r="BQ152" t="str">
        <f t="shared" si="28"/>
        <v>NoData</v>
      </c>
      <c r="BR152" t="s">
        <v>11</v>
      </c>
      <c r="BS152" t="s">
        <v>11</v>
      </c>
      <c r="BT152" t="s">
        <v>11</v>
      </c>
      <c r="BU152" t="s">
        <v>11</v>
      </c>
    </row>
    <row r="153" spans="1:73" x14ac:dyDescent="0.25">
      <c r="A153" s="5">
        <v>30437</v>
      </c>
      <c r="B153">
        <v>3197</v>
      </c>
      <c r="C153" t="s">
        <v>11</v>
      </c>
      <c r="D153" t="s">
        <v>11</v>
      </c>
      <c r="E153" t="s">
        <v>11</v>
      </c>
      <c r="F153">
        <v>5087</v>
      </c>
      <c r="G153" t="s">
        <v>11</v>
      </c>
      <c r="H153">
        <v>2408</v>
      </c>
      <c r="I153" t="s">
        <v>11</v>
      </c>
      <c r="J153">
        <v>902</v>
      </c>
      <c r="K153" t="s">
        <v>11</v>
      </c>
      <c r="L153">
        <v>61379</v>
      </c>
      <c r="M153">
        <v>40857</v>
      </c>
      <c r="N153">
        <v>443</v>
      </c>
      <c r="O153" t="s">
        <v>11</v>
      </c>
      <c r="P153" t="s">
        <v>11</v>
      </c>
      <c r="Q153" t="s">
        <v>11</v>
      </c>
      <c r="R153" t="s">
        <v>11</v>
      </c>
      <c r="S153" t="s">
        <v>11</v>
      </c>
      <c r="T153" s="34">
        <v>65350</v>
      </c>
      <c r="U153" s="34">
        <v>46260</v>
      </c>
      <c r="V153" s="34">
        <v>2214</v>
      </c>
      <c r="W153" t="s">
        <v>11</v>
      </c>
      <c r="X153">
        <v>4497</v>
      </c>
      <c r="Y153" t="s">
        <v>11</v>
      </c>
      <c r="Z153">
        <v>5446</v>
      </c>
      <c r="AA153">
        <v>4498</v>
      </c>
      <c r="AB153">
        <v>23738</v>
      </c>
      <c r="AC153">
        <v>17722</v>
      </c>
      <c r="AD153">
        <v>3576</v>
      </c>
      <c r="AE153">
        <v>3268</v>
      </c>
      <c r="AF153">
        <v>6797</v>
      </c>
      <c r="AG153">
        <v>7614</v>
      </c>
      <c r="AH153">
        <f t="shared" si="29"/>
        <v>3576</v>
      </c>
      <c r="AI153">
        <f t="shared" si="30"/>
        <v>3268</v>
      </c>
      <c r="AJ153">
        <v>23380</v>
      </c>
      <c r="AK153">
        <v>21634</v>
      </c>
      <c r="AL153">
        <v>41835</v>
      </c>
      <c r="AM153">
        <v>29805</v>
      </c>
      <c r="AN153">
        <v>111</v>
      </c>
      <c r="AO153" t="s">
        <v>11</v>
      </c>
      <c r="AP153" t="s">
        <v>11</v>
      </c>
      <c r="AQ153" t="s">
        <v>11</v>
      </c>
      <c r="AR153" t="s">
        <v>11</v>
      </c>
      <c r="AS153" t="s">
        <v>11</v>
      </c>
      <c r="AT153" t="str">
        <f t="shared" si="23"/>
        <v>NoData</v>
      </c>
      <c r="AU153" t="str">
        <f t="shared" si="24"/>
        <v>NoData</v>
      </c>
      <c r="AV153">
        <v>3</v>
      </c>
      <c r="AW153" t="s">
        <v>11</v>
      </c>
      <c r="AX153">
        <v>6</v>
      </c>
      <c r="AY153" t="s">
        <v>11</v>
      </c>
      <c r="AZ153" t="str">
        <f t="shared" si="25"/>
        <v>NoData</v>
      </c>
      <c r="BA153" t="str">
        <f t="shared" si="26"/>
        <v>NoData</v>
      </c>
      <c r="BB153">
        <f t="shared" si="31"/>
        <v>111</v>
      </c>
      <c r="BC153" t="str">
        <f t="shared" si="32"/>
        <v>NoData</v>
      </c>
      <c r="BD153" t="s">
        <v>11</v>
      </c>
      <c r="BE153" t="s">
        <v>11</v>
      </c>
      <c r="BF153" t="s">
        <v>11</v>
      </c>
      <c r="BG153" t="s">
        <v>11</v>
      </c>
      <c r="BH153">
        <v>5</v>
      </c>
      <c r="BI153" t="s">
        <v>11</v>
      </c>
      <c r="BJ153">
        <v>109</v>
      </c>
      <c r="BK153" t="s">
        <v>11</v>
      </c>
      <c r="BL153" t="s">
        <v>11</v>
      </c>
      <c r="BM153" t="s">
        <v>11</v>
      </c>
      <c r="BN153" t="s">
        <v>11</v>
      </c>
      <c r="BO153" t="s">
        <v>11</v>
      </c>
      <c r="BP153" t="str">
        <f t="shared" si="27"/>
        <v>NoData</v>
      </c>
      <c r="BQ153" t="str">
        <f t="shared" si="28"/>
        <v>NoData</v>
      </c>
      <c r="BR153" t="s">
        <v>11</v>
      </c>
      <c r="BS153" t="s">
        <v>11</v>
      </c>
      <c r="BT153" t="s">
        <v>11</v>
      </c>
      <c r="BU153" t="s">
        <v>11</v>
      </c>
    </row>
    <row r="154" spans="1:73" x14ac:dyDescent="0.25">
      <c r="A154" s="5">
        <v>30468</v>
      </c>
      <c r="B154">
        <v>2803</v>
      </c>
      <c r="C154" t="s">
        <v>11</v>
      </c>
      <c r="D154" t="s">
        <v>11</v>
      </c>
      <c r="E154" t="s">
        <v>11</v>
      </c>
      <c r="F154">
        <v>5449</v>
      </c>
      <c r="G154" t="s">
        <v>11</v>
      </c>
      <c r="H154">
        <v>2579</v>
      </c>
      <c r="I154" t="s">
        <v>11</v>
      </c>
      <c r="J154">
        <v>1487</v>
      </c>
      <c r="K154" t="s">
        <v>11</v>
      </c>
      <c r="L154">
        <v>73092</v>
      </c>
      <c r="M154">
        <v>49130</v>
      </c>
      <c r="N154">
        <v>276</v>
      </c>
      <c r="O154" t="s">
        <v>11</v>
      </c>
      <c r="P154" t="s">
        <v>11</v>
      </c>
      <c r="Q154" t="s">
        <v>11</v>
      </c>
      <c r="R154" t="s">
        <v>11</v>
      </c>
      <c r="S154" t="s">
        <v>11</v>
      </c>
      <c r="T154" s="34">
        <v>92411</v>
      </c>
      <c r="U154" s="34">
        <v>52814</v>
      </c>
      <c r="V154" s="34">
        <v>2158</v>
      </c>
      <c r="W154" t="s">
        <v>11</v>
      </c>
      <c r="X154">
        <v>5129</v>
      </c>
      <c r="Y154" t="s">
        <v>11</v>
      </c>
      <c r="Z154">
        <v>5097</v>
      </c>
      <c r="AA154">
        <v>4240</v>
      </c>
      <c r="AB154">
        <v>23900</v>
      </c>
      <c r="AC154">
        <v>18449</v>
      </c>
      <c r="AD154">
        <v>3916</v>
      </c>
      <c r="AE154">
        <v>3721</v>
      </c>
      <c r="AF154">
        <v>5678</v>
      </c>
      <c r="AG154">
        <v>6531</v>
      </c>
      <c r="AH154">
        <f t="shared" si="29"/>
        <v>3916</v>
      </c>
      <c r="AI154">
        <f t="shared" si="30"/>
        <v>3721</v>
      </c>
      <c r="AJ154">
        <v>25477</v>
      </c>
      <c r="AK154">
        <v>24370</v>
      </c>
      <c r="AL154">
        <v>49710</v>
      </c>
      <c r="AM154">
        <v>37824</v>
      </c>
      <c r="AN154">
        <v>124</v>
      </c>
      <c r="AO154" t="s">
        <v>11</v>
      </c>
      <c r="AP154" t="s">
        <v>11</v>
      </c>
      <c r="AQ154" t="s">
        <v>11</v>
      </c>
      <c r="AR154" t="s">
        <v>11</v>
      </c>
      <c r="AS154" t="s">
        <v>11</v>
      </c>
      <c r="AT154" t="str">
        <f t="shared" si="23"/>
        <v>NoData</v>
      </c>
      <c r="AU154" t="str">
        <f t="shared" si="24"/>
        <v>NoData</v>
      </c>
      <c r="AV154">
        <v>4</v>
      </c>
      <c r="AW154" t="s">
        <v>11</v>
      </c>
      <c r="AX154">
        <v>8</v>
      </c>
      <c r="AY154" t="s">
        <v>11</v>
      </c>
      <c r="AZ154" t="str">
        <f t="shared" si="25"/>
        <v>NoData</v>
      </c>
      <c r="BA154" t="str">
        <f t="shared" si="26"/>
        <v>NoData</v>
      </c>
      <c r="BB154">
        <f t="shared" si="31"/>
        <v>124</v>
      </c>
      <c r="BC154" t="str">
        <f t="shared" si="32"/>
        <v>NoData</v>
      </c>
      <c r="BD154" t="s">
        <v>11</v>
      </c>
      <c r="BE154" t="s">
        <v>11</v>
      </c>
      <c r="BF154" t="s">
        <v>11</v>
      </c>
      <c r="BG154" t="s">
        <v>11</v>
      </c>
      <c r="BH154">
        <v>5</v>
      </c>
      <c r="BI154" t="s">
        <v>11</v>
      </c>
      <c r="BJ154">
        <v>60</v>
      </c>
      <c r="BK154" t="s">
        <v>11</v>
      </c>
      <c r="BL154" t="s">
        <v>11</v>
      </c>
      <c r="BM154" t="s">
        <v>11</v>
      </c>
      <c r="BN154" t="s">
        <v>11</v>
      </c>
      <c r="BO154" t="s">
        <v>11</v>
      </c>
      <c r="BP154" t="str">
        <f t="shared" si="27"/>
        <v>NoData</v>
      </c>
      <c r="BQ154" t="str">
        <f t="shared" si="28"/>
        <v>NoData</v>
      </c>
      <c r="BR154" t="s">
        <v>11</v>
      </c>
      <c r="BS154" t="s">
        <v>11</v>
      </c>
      <c r="BT154" t="s">
        <v>11</v>
      </c>
      <c r="BU154" t="s">
        <v>11</v>
      </c>
    </row>
    <row r="155" spans="1:73" x14ac:dyDescent="0.25">
      <c r="A155" s="5">
        <v>30498</v>
      </c>
      <c r="B155">
        <v>3820</v>
      </c>
      <c r="C155" t="s">
        <v>11</v>
      </c>
      <c r="D155" t="s">
        <v>11</v>
      </c>
      <c r="E155" t="s">
        <v>11</v>
      </c>
      <c r="F155">
        <v>2755</v>
      </c>
      <c r="G155" t="s">
        <v>11</v>
      </c>
      <c r="H155">
        <v>1304</v>
      </c>
      <c r="I155" t="s">
        <v>11</v>
      </c>
      <c r="J155">
        <v>2069</v>
      </c>
      <c r="K155" t="s">
        <v>11</v>
      </c>
      <c r="L155">
        <v>77436</v>
      </c>
      <c r="M155">
        <v>46856</v>
      </c>
      <c r="N155">
        <v>642</v>
      </c>
      <c r="O155" t="s">
        <v>11</v>
      </c>
      <c r="P155" t="s">
        <v>11</v>
      </c>
      <c r="Q155" t="s">
        <v>11</v>
      </c>
      <c r="R155" t="s">
        <v>11</v>
      </c>
      <c r="S155" t="s">
        <v>11</v>
      </c>
      <c r="T155" s="34">
        <v>94851</v>
      </c>
      <c r="U155" s="34">
        <v>53734</v>
      </c>
      <c r="V155" s="34">
        <v>2338</v>
      </c>
      <c r="W155" t="s">
        <v>11</v>
      </c>
      <c r="X155">
        <v>5276</v>
      </c>
      <c r="Y155" t="s">
        <v>11</v>
      </c>
      <c r="Z155">
        <v>4187</v>
      </c>
      <c r="AA155">
        <v>3391</v>
      </c>
      <c r="AB155">
        <v>31304</v>
      </c>
      <c r="AC155">
        <v>24308</v>
      </c>
      <c r="AD155">
        <v>3887</v>
      </c>
      <c r="AE155">
        <v>3671</v>
      </c>
      <c r="AF155">
        <v>6272</v>
      </c>
      <c r="AG155">
        <v>7046</v>
      </c>
      <c r="AH155">
        <f t="shared" si="29"/>
        <v>3887</v>
      </c>
      <c r="AI155">
        <f t="shared" si="30"/>
        <v>3671</v>
      </c>
      <c r="AJ155">
        <v>27699</v>
      </c>
      <c r="AK155">
        <v>26473</v>
      </c>
      <c r="AL155">
        <v>45010</v>
      </c>
      <c r="AM155">
        <v>33224</v>
      </c>
      <c r="AN155">
        <v>207</v>
      </c>
      <c r="AO155" t="s">
        <v>11</v>
      </c>
      <c r="AP155" t="s">
        <v>11</v>
      </c>
      <c r="AQ155" t="s">
        <v>11</v>
      </c>
      <c r="AR155" t="s">
        <v>11</v>
      </c>
      <c r="AS155" t="s">
        <v>11</v>
      </c>
      <c r="AT155" t="str">
        <f t="shared" si="23"/>
        <v>NoData</v>
      </c>
      <c r="AU155" t="str">
        <f t="shared" si="24"/>
        <v>NoData</v>
      </c>
      <c r="AV155">
        <v>4</v>
      </c>
      <c r="AW155" t="s">
        <v>11</v>
      </c>
      <c r="AX155">
        <v>9</v>
      </c>
      <c r="AY155" t="s">
        <v>11</v>
      </c>
      <c r="AZ155" t="str">
        <f t="shared" si="25"/>
        <v>NoData</v>
      </c>
      <c r="BA155" t="str">
        <f t="shared" si="26"/>
        <v>NoData</v>
      </c>
      <c r="BB155">
        <f t="shared" si="31"/>
        <v>207</v>
      </c>
      <c r="BC155" t="str">
        <f t="shared" si="32"/>
        <v>NoData</v>
      </c>
      <c r="BD155" t="s">
        <v>11</v>
      </c>
      <c r="BE155" t="s">
        <v>11</v>
      </c>
      <c r="BF155" t="s">
        <v>11</v>
      </c>
      <c r="BG155" t="s">
        <v>11</v>
      </c>
      <c r="BH155">
        <v>0</v>
      </c>
      <c r="BI155" t="s">
        <v>11</v>
      </c>
      <c r="BJ155">
        <v>63</v>
      </c>
      <c r="BK155" t="s">
        <v>11</v>
      </c>
      <c r="BL155" t="s">
        <v>11</v>
      </c>
      <c r="BM155" t="s">
        <v>11</v>
      </c>
      <c r="BN155" t="s">
        <v>11</v>
      </c>
      <c r="BO155" t="s">
        <v>11</v>
      </c>
      <c r="BP155" t="str">
        <f t="shared" si="27"/>
        <v>NoData</v>
      </c>
      <c r="BQ155" t="str">
        <f t="shared" si="28"/>
        <v>NoData</v>
      </c>
      <c r="BR155" t="s">
        <v>11</v>
      </c>
      <c r="BS155" t="s">
        <v>11</v>
      </c>
      <c r="BT155" t="s">
        <v>11</v>
      </c>
      <c r="BU155" t="s">
        <v>11</v>
      </c>
    </row>
    <row r="156" spans="1:73" x14ac:dyDescent="0.25">
      <c r="A156" s="5">
        <v>30529</v>
      </c>
      <c r="B156">
        <v>3699</v>
      </c>
      <c r="C156" t="s">
        <v>11</v>
      </c>
      <c r="D156" t="s">
        <v>11</v>
      </c>
      <c r="E156" t="s">
        <v>11</v>
      </c>
      <c r="F156">
        <v>3911</v>
      </c>
      <c r="G156" t="s">
        <v>11</v>
      </c>
      <c r="H156">
        <v>1851</v>
      </c>
      <c r="I156" t="s">
        <v>11</v>
      </c>
      <c r="J156">
        <v>869</v>
      </c>
      <c r="K156" t="s">
        <v>11</v>
      </c>
      <c r="L156">
        <v>48776</v>
      </c>
      <c r="M156">
        <v>23631</v>
      </c>
      <c r="N156">
        <v>633</v>
      </c>
      <c r="O156" t="s">
        <v>11</v>
      </c>
      <c r="P156" t="s">
        <v>11</v>
      </c>
      <c r="Q156" t="s">
        <v>11</v>
      </c>
      <c r="R156" t="s">
        <v>11</v>
      </c>
      <c r="S156" t="s">
        <v>11</v>
      </c>
      <c r="T156" s="34">
        <v>71987</v>
      </c>
      <c r="U156" s="34">
        <v>25912</v>
      </c>
      <c r="V156" s="34">
        <v>2270</v>
      </c>
      <c r="W156" t="s">
        <v>11</v>
      </c>
      <c r="X156">
        <v>3345</v>
      </c>
      <c r="Y156" t="s">
        <v>11</v>
      </c>
      <c r="Z156">
        <v>2177</v>
      </c>
      <c r="AA156">
        <v>1111</v>
      </c>
      <c r="AB156">
        <v>21044</v>
      </c>
      <c r="AC156">
        <v>13984</v>
      </c>
      <c r="AD156">
        <v>3040</v>
      </c>
      <c r="AE156">
        <v>2797</v>
      </c>
      <c r="AF156">
        <v>3940</v>
      </c>
      <c r="AG156">
        <v>4405</v>
      </c>
      <c r="AH156">
        <f t="shared" si="29"/>
        <v>3040</v>
      </c>
      <c r="AI156">
        <f t="shared" si="30"/>
        <v>2797</v>
      </c>
      <c r="AJ156">
        <v>18797</v>
      </c>
      <c r="AK156">
        <v>17419</v>
      </c>
      <c r="AL156">
        <v>29196</v>
      </c>
      <c r="AM156">
        <v>17559</v>
      </c>
      <c r="AN156">
        <v>135</v>
      </c>
      <c r="AO156" t="s">
        <v>11</v>
      </c>
      <c r="AP156" t="s">
        <v>11</v>
      </c>
      <c r="AQ156" t="s">
        <v>11</v>
      </c>
      <c r="AR156" t="s">
        <v>11</v>
      </c>
      <c r="AS156" t="s">
        <v>11</v>
      </c>
      <c r="AT156" t="str">
        <f t="shared" si="23"/>
        <v>NoData</v>
      </c>
      <c r="AU156" t="str">
        <f t="shared" si="24"/>
        <v>NoData</v>
      </c>
      <c r="AV156">
        <v>3</v>
      </c>
      <c r="AW156" t="s">
        <v>11</v>
      </c>
      <c r="AX156">
        <v>7</v>
      </c>
      <c r="AY156" t="s">
        <v>11</v>
      </c>
      <c r="AZ156" t="str">
        <f t="shared" si="25"/>
        <v>NoData</v>
      </c>
      <c r="BA156" t="str">
        <f t="shared" si="26"/>
        <v>NoData</v>
      </c>
      <c r="BB156">
        <f t="shared" si="31"/>
        <v>135</v>
      </c>
      <c r="BC156" t="str">
        <f t="shared" si="32"/>
        <v>NoData</v>
      </c>
      <c r="BD156" t="s">
        <v>11</v>
      </c>
      <c r="BE156" t="s">
        <v>11</v>
      </c>
      <c r="BF156" t="s">
        <v>11</v>
      </c>
      <c r="BG156" t="s">
        <v>11</v>
      </c>
      <c r="BH156">
        <v>0</v>
      </c>
      <c r="BI156" t="s">
        <v>11</v>
      </c>
      <c r="BJ156">
        <v>38</v>
      </c>
      <c r="BK156" t="s">
        <v>11</v>
      </c>
      <c r="BL156" t="s">
        <v>11</v>
      </c>
      <c r="BM156" t="s">
        <v>11</v>
      </c>
      <c r="BN156" t="s">
        <v>11</v>
      </c>
      <c r="BO156" t="s">
        <v>11</v>
      </c>
      <c r="BP156" t="str">
        <f t="shared" si="27"/>
        <v>NoData</v>
      </c>
      <c r="BQ156" t="str">
        <f t="shared" si="28"/>
        <v>NoData</v>
      </c>
      <c r="BR156" t="s">
        <v>11</v>
      </c>
      <c r="BS156" t="s">
        <v>11</v>
      </c>
      <c r="BT156" t="s">
        <v>11</v>
      </c>
      <c r="BU156" t="s">
        <v>11</v>
      </c>
    </row>
    <row r="157" spans="1:73" x14ac:dyDescent="0.25">
      <c r="A157" s="5">
        <v>30560</v>
      </c>
      <c r="B157">
        <v>2873</v>
      </c>
      <c r="C157" t="s">
        <v>11</v>
      </c>
      <c r="D157" t="s">
        <v>11</v>
      </c>
      <c r="E157" t="s">
        <v>11</v>
      </c>
      <c r="F157">
        <v>5831</v>
      </c>
      <c r="G157" t="s">
        <v>11</v>
      </c>
      <c r="H157">
        <v>2760</v>
      </c>
      <c r="I157" t="s">
        <v>11</v>
      </c>
      <c r="J157">
        <v>1156</v>
      </c>
      <c r="K157" t="s">
        <v>11</v>
      </c>
      <c r="L157">
        <v>52491</v>
      </c>
      <c r="M157">
        <v>29542</v>
      </c>
      <c r="N157">
        <v>591</v>
      </c>
      <c r="O157" t="s">
        <v>11</v>
      </c>
      <c r="P157" t="s">
        <v>11</v>
      </c>
      <c r="Q157" t="s">
        <v>11</v>
      </c>
      <c r="R157" t="s">
        <v>11</v>
      </c>
      <c r="S157" t="s">
        <v>11</v>
      </c>
      <c r="T157" s="34">
        <v>80607</v>
      </c>
      <c r="U157" s="34">
        <v>34627</v>
      </c>
      <c r="V157" s="34">
        <v>1851</v>
      </c>
      <c r="W157" t="s">
        <v>11</v>
      </c>
      <c r="X157">
        <v>2685</v>
      </c>
      <c r="Y157" t="s">
        <v>11</v>
      </c>
      <c r="Z157">
        <v>1994</v>
      </c>
      <c r="AA157">
        <v>821</v>
      </c>
      <c r="AB157">
        <v>25330</v>
      </c>
      <c r="AC157">
        <v>17395</v>
      </c>
      <c r="AD157">
        <v>3361</v>
      </c>
      <c r="AE157">
        <v>3115</v>
      </c>
      <c r="AF157">
        <v>6683</v>
      </c>
      <c r="AG157">
        <v>7832</v>
      </c>
      <c r="AH157">
        <f t="shared" si="29"/>
        <v>3361</v>
      </c>
      <c r="AI157">
        <f t="shared" si="30"/>
        <v>3115</v>
      </c>
      <c r="AJ157">
        <v>24177</v>
      </c>
      <c r="AK157">
        <v>22783</v>
      </c>
      <c r="AL157">
        <v>34107</v>
      </c>
      <c r="AM157">
        <v>23967</v>
      </c>
      <c r="AN157">
        <v>84</v>
      </c>
      <c r="AO157" t="s">
        <v>11</v>
      </c>
      <c r="AP157" t="s">
        <v>11</v>
      </c>
      <c r="AQ157" t="s">
        <v>11</v>
      </c>
      <c r="AR157" t="s">
        <v>11</v>
      </c>
      <c r="AS157" t="s">
        <v>11</v>
      </c>
      <c r="AT157" t="str">
        <f t="shared" si="23"/>
        <v>NoData</v>
      </c>
      <c r="AU157" t="str">
        <f t="shared" si="24"/>
        <v>NoData</v>
      </c>
      <c r="AV157">
        <v>3</v>
      </c>
      <c r="AW157" t="s">
        <v>11</v>
      </c>
      <c r="AX157">
        <v>6</v>
      </c>
      <c r="AY157" t="s">
        <v>11</v>
      </c>
      <c r="AZ157" t="str">
        <f t="shared" si="25"/>
        <v>NoData</v>
      </c>
      <c r="BA157" t="str">
        <f t="shared" si="26"/>
        <v>NoData</v>
      </c>
      <c r="BB157">
        <f t="shared" si="31"/>
        <v>84</v>
      </c>
      <c r="BC157" t="str">
        <f t="shared" si="32"/>
        <v>NoData</v>
      </c>
      <c r="BD157" t="s">
        <v>11</v>
      </c>
      <c r="BE157" t="s">
        <v>11</v>
      </c>
      <c r="BF157" t="s">
        <v>11</v>
      </c>
      <c r="BG157" t="s">
        <v>11</v>
      </c>
      <c r="BH157">
        <v>5</v>
      </c>
      <c r="BI157" t="s">
        <v>11</v>
      </c>
      <c r="BJ157">
        <v>41</v>
      </c>
      <c r="BK157" t="s">
        <v>11</v>
      </c>
      <c r="BL157" t="s">
        <v>11</v>
      </c>
      <c r="BM157" t="s">
        <v>11</v>
      </c>
      <c r="BN157" t="s">
        <v>11</v>
      </c>
      <c r="BO157" t="s">
        <v>11</v>
      </c>
      <c r="BP157" t="str">
        <f t="shared" si="27"/>
        <v>NoData</v>
      </c>
      <c r="BQ157" t="str">
        <f t="shared" si="28"/>
        <v>NoData</v>
      </c>
      <c r="BR157" t="s">
        <v>11</v>
      </c>
      <c r="BS157" t="s">
        <v>11</v>
      </c>
      <c r="BT157" t="s">
        <v>11</v>
      </c>
      <c r="BU157" t="s">
        <v>11</v>
      </c>
    </row>
    <row r="158" spans="1:73" x14ac:dyDescent="0.25">
      <c r="A158" s="5">
        <v>30590</v>
      </c>
      <c r="B158">
        <v>1229</v>
      </c>
      <c r="C158" t="s">
        <v>11</v>
      </c>
      <c r="D158" t="s">
        <v>11</v>
      </c>
      <c r="E158" t="s">
        <v>11</v>
      </c>
      <c r="F158">
        <v>4984</v>
      </c>
      <c r="G158" t="s">
        <v>11</v>
      </c>
      <c r="H158">
        <v>2359</v>
      </c>
      <c r="I158" t="s">
        <v>11</v>
      </c>
      <c r="J158">
        <v>470</v>
      </c>
      <c r="K158" t="s">
        <v>11</v>
      </c>
      <c r="L158">
        <v>33271</v>
      </c>
      <c r="M158">
        <v>7776</v>
      </c>
      <c r="N158">
        <v>579</v>
      </c>
      <c r="O158" t="s">
        <v>11</v>
      </c>
      <c r="P158" t="s">
        <v>11</v>
      </c>
      <c r="Q158" t="s">
        <v>11</v>
      </c>
      <c r="R158" t="s">
        <v>11</v>
      </c>
      <c r="S158" t="s">
        <v>11</v>
      </c>
      <c r="T158" s="34">
        <v>47384</v>
      </c>
      <c r="U158" s="34">
        <v>4892</v>
      </c>
      <c r="V158" s="34">
        <v>1874</v>
      </c>
      <c r="W158" t="s">
        <v>11</v>
      </c>
      <c r="X158">
        <v>2683</v>
      </c>
      <c r="Y158" t="s">
        <v>11</v>
      </c>
      <c r="Z158">
        <v>2508</v>
      </c>
      <c r="AA158">
        <v>1329</v>
      </c>
      <c r="AB158">
        <v>21224</v>
      </c>
      <c r="AC158">
        <v>11970</v>
      </c>
      <c r="AD158">
        <v>2083</v>
      </c>
      <c r="AE158">
        <v>1844</v>
      </c>
      <c r="AF158">
        <v>4792</v>
      </c>
      <c r="AG158">
        <v>4968</v>
      </c>
      <c r="AH158">
        <f t="shared" si="29"/>
        <v>2083</v>
      </c>
      <c r="AI158">
        <f t="shared" si="30"/>
        <v>1844</v>
      </c>
      <c r="AJ158">
        <v>13712</v>
      </c>
      <c r="AK158">
        <v>12360</v>
      </c>
      <c r="AL158">
        <v>22648</v>
      </c>
      <c r="AM158">
        <v>10436</v>
      </c>
      <c r="AN158">
        <v>1</v>
      </c>
      <c r="AO158" t="s">
        <v>11</v>
      </c>
      <c r="AP158" t="s">
        <v>11</v>
      </c>
      <c r="AQ158" t="s">
        <v>11</v>
      </c>
      <c r="AR158" t="s">
        <v>11</v>
      </c>
      <c r="AS158" t="s">
        <v>11</v>
      </c>
      <c r="AT158" t="str">
        <f t="shared" si="23"/>
        <v>NoData</v>
      </c>
      <c r="AU158" t="str">
        <f t="shared" si="24"/>
        <v>NoData</v>
      </c>
      <c r="AV158">
        <v>2</v>
      </c>
      <c r="AW158" t="s">
        <v>11</v>
      </c>
      <c r="AX158">
        <v>4</v>
      </c>
      <c r="AY158" t="s">
        <v>11</v>
      </c>
      <c r="AZ158" t="str">
        <f t="shared" si="25"/>
        <v>NoData</v>
      </c>
      <c r="BA158" t="str">
        <f t="shared" si="26"/>
        <v>NoData</v>
      </c>
      <c r="BB158">
        <f t="shared" si="31"/>
        <v>1</v>
      </c>
      <c r="BC158" t="str">
        <f t="shared" si="32"/>
        <v>NoData</v>
      </c>
      <c r="BD158" t="s">
        <v>11</v>
      </c>
      <c r="BE158" t="s">
        <v>11</v>
      </c>
      <c r="BF158" t="s">
        <v>11</v>
      </c>
      <c r="BG158" t="s">
        <v>11</v>
      </c>
      <c r="BH158">
        <v>0</v>
      </c>
      <c r="BI158" t="s">
        <v>11</v>
      </c>
      <c r="BJ158">
        <v>21</v>
      </c>
      <c r="BK158" t="s">
        <v>11</v>
      </c>
      <c r="BL158" t="s">
        <v>11</v>
      </c>
      <c r="BM158" t="s">
        <v>11</v>
      </c>
      <c r="BN158" t="s">
        <v>11</v>
      </c>
      <c r="BO158" t="s">
        <v>11</v>
      </c>
      <c r="BP158" t="str">
        <f t="shared" si="27"/>
        <v>NoData</v>
      </c>
      <c r="BQ158" t="str">
        <f t="shared" si="28"/>
        <v>NoData</v>
      </c>
      <c r="BR158" t="s">
        <v>11</v>
      </c>
      <c r="BS158" t="s">
        <v>11</v>
      </c>
      <c r="BT158" t="s">
        <v>11</v>
      </c>
      <c r="BU158" t="s">
        <v>11</v>
      </c>
    </row>
    <row r="159" spans="1:73" x14ac:dyDescent="0.25">
      <c r="A159" s="5">
        <v>30621</v>
      </c>
      <c r="B159">
        <v>1265</v>
      </c>
      <c r="C159" t="s">
        <v>11</v>
      </c>
      <c r="D159" t="s">
        <v>11</v>
      </c>
      <c r="E159" t="s">
        <v>11</v>
      </c>
      <c r="F159">
        <v>4440</v>
      </c>
      <c r="G159" t="s">
        <v>11</v>
      </c>
      <c r="H159">
        <v>2102</v>
      </c>
      <c r="I159" t="s">
        <v>11</v>
      </c>
      <c r="J159">
        <v>219</v>
      </c>
      <c r="K159" t="s">
        <v>11</v>
      </c>
      <c r="L159">
        <v>28618</v>
      </c>
      <c r="M159">
        <v>6368</v>
      </c>
      <c r="N159">
        <v>700</v>
      </c>
      <c r="O159" t="s">
        <v>11</v>
      </c>
      <c r="P159" t="s">
        <v>11</v>
      </c>
      <c r="Q159" t="s">
        <v>11</v>
      </c>
      <c r="R159" t="s">
        <v>11</v>
      </c>
      <c r="S159" t="s">
        <v>11</v>
      </c>
      <c r="T159" s="34">
        <v>44046</v>
      </c>
      <c r="U159" s="34">
        <v>7700</v>
      </c>
      <c r="V159" s="34">
        <v>1325</v>
      </c>
      <c r="W159" t="s">
        <v>11</v>
      </c>
      <c r="X159">
        <v>2377</v>
      </c>
      <c r="Y159" t="s">
        <v>11</v>
      </c>
      <c r="Z159">
        <v>2859</v>
      </c>
      <c r="AA159">
        <v>1741</v>
      </c>
      <c r="AB159">
        <v>16362</v>
      </c>
      <c r="AC159">
        <v>7348</v>
      </c>
      <c r="AD159">
        <v>1809</v>
      </c>
      <c r="AE159">
        <v>1529</v>
      </c>
      <c r="AF159">
        <v>3795</v>
      </c>
      <c r="AG159">
        <v>3922</v>
      </c>
      <c r="AH159">
        <f t="shared" si="29"/>
        <v>1809</v>
      </c>
      <c r="AI159">
        <f t="shared" si="30"/>
        <v>1529</v>
      </c>
      <c r="AJ159">
        <v>13554</v>
      </c>
      <c r="AK159">
        <v>11970</v>
      </c>
      <c r="AL159">
        <v>20595</v>
      </c>
      <c r="AM159">
        <v>8051</v>
      </c>
      <c r="AN159">
        <v>3</v>
      </c>
      <c r="AO159" t="s">
        <v>11</v>
      </c>
      <c r="AP159" t="s">
        <v>11</v>
      </c>
      <c r="AQ159" t="s">
        <v>11</v>
      </c>
      <c r="AR159" t="s">
        <v>11</v>
      </c>
      <c r="AS159" t="s">
        <v>11</v>
      </c>
      <c r="AT159" t="str">
        <f t="shared" si="23"/>
        <v>NoData</v>
      </c>
      <c r="AU159" t="str">
        <f t="shared" si="24"/>
        <v>NoData</v>
      </c>
      <c r="AV159">
        <v>2</v>
      </c>
      <c r="AW159" t="s">
        <v>11</v>
      </c>
      <c r="AX159">
        <v>4</v>
      </c>
      <c r="AY159" t="s">
        <v>11</v>
      </c>
      <c r="AZ159" t="str">
        <f t="shared" si="25"/>
        <v>NoData</v>
      </c>
      <c r="BA159" t="str">
        <f t="shared" si="26"/>
        <v>NoData</v>
      </c>
      <c r="BB159">
        <f t="shared" si="31"/>
        <v>3</v>
      </c>
      <c r="BC159" t="str">
        <f t="shared" si="32"/>
        <v>NoData</v>
      </c>
      <c r="BD159" t="s">
        <v>11</v>
      </c>
      <c r="BE159" t="s">
        <v>11</v>
      </c>
      <c r="BF159" t="s">
        <v>11</v>
      </c>
      <c r="BG159" t="s">
        <v>11</v>
      </c>
      <c r="BH159">
        <v>0</v>
      </c>
      <c r="BI159" t="s">
        <v>11</v>
      </c>
      <c r="BJ159">
        <v>19</v>
      </c>
      <c r="BK159" t="s">
        <v>11</v>
      </c>
      <c r="BL159" t="s">
        <v>11</v>
      </c>
      <c r="BM159" t="s">
        <v>11</v>
      </c>
      <c r="BN159" t="s">
        <v>11</v>
      </c>
      <c r="BO159" t="s">
        <v>11</v>
      </c>
      <c r="BP159" t="str">
        <f t="shared" si="27"/>
        <v>NoData</v>
      </c>
      <c r="BQ159" t="str">
        <f t="shared" si="28"/>
        <v>NoData</v>
      </c>
      <c r="BR159" t="s">
        <v>11</v>
      </c>
      <c r="BS159" t="s">
        <v>11</v>
      </c>
      <c r="BT159" t="s">
        <v>11</v>
      </c>
      <c r="BU159" t="s">
        <v>11</v>
      </c>
    </row>
    <row r="160" spans="1:73" x14ac:dyDescent="0.25">
      <c r="A160" s="5">
        <v>30651</v>
      </c>
      <c r="B160">
        <v>567</v>
      </c>
      <c r="C160" t="s">
        <v>11</v>
      </c>
      <c r="D160" t="s">
        <v>11</v>
      </c>
      <c r="E160" t="s">
        <v>11</v>
      </c>
      <c r="F160">
        <v>324</v>
      </c>
      <c r="G160" t="s">
        <v>11</v>
      </c>
      <c r="H160">
        <v>153</v>
      </c>
      <c r="I160" t="s">
        <v>11</v>
      </c>
      <c r="J160">
        <v>35</v>
      </c>
      <c r="K160" t="s">
        <v>11</v>
      </c>
      <c r="L160">
        <v>24312</v>
      </c>
      <c r="M160">
        <v>2758</v>
      </c>
      <c r="N160">
        <v>520</v>
      </c>
      <c r="O160" t="s">
        <v>11</v>
      </c>
      <c r="P160" t="s">
        <v>11</v>
      </c>
      <c r="Q160" t="s">
        <v>11</v>
      </c>
      <c r="R160" t="s">
        <v>11</v>
      </c>
      <c r="S160" t="s">
        <v>11</v>
      </c>
      <c r="T160" s="34">
        <v>41179</v>
      </c>
      <c r="U160" s="34">
        <v>5351</v>
      </c>
      <c r="V160" s="34">
        <v>935</v>
      </c>
      <c r="W160" t="s">
        <v>11</v>
      </c>
      <c r="X160">
        <v>2187</v>
      </c>
      <c r="Y160" t="s">
        <v>11</v>
      </c>
      <c r="Z160">
        <v>2046</v>
      </c>
      <c r="AA160">
        <v>828</v>
      </c>
      <c r="AB160">
        <v>12838</v>
      </c>
      <c r="AC160">
        <v>4188</v>
      </c>
      <c r="AD160">
        <v>1358</v>
      </c>
      <c r="AE160">
        <v>1020</v>
      </c>
      <c r="AF160">
        <v>3441</v>
      </c>
      <c r="AG160">
        <v>3730</v>
      </c>
      <c r="AH160">
        <f t="shared" si="29"/>
        <v>1358</v>
      </c>
      <c r="AI160">
        <f t="shared" si="30"/>
        <v>1020</v>
      </c>
      <c r="AJ160">
        <v>7158</v>
      </c>
      <c r="AK160">
        <v>5252</v>
      </c>
      <c r="AL160">
        <v>17415</v>
      </c>
      <c r="AM160">
        <v>3987</v>
      </c>
      <c r="AN160">
        <v>0</v>
      </c>
      <c r="AO160" t="s">
        <v>11</v>
      </c>
      <c r="AP160" t="s">
        <v>11</v>
      </c>
      <c r="AQ160" t="s">
        <v>11</v>
      </c>
      <c r="AR160" t="s">
        <v>11</v>
      </c>
      <c r="AS160" t="s">
        <v>11</v>
      </c>
      <c r="AT160" t="str">
        <f t="shared" si="23"/>
        <v>NoData</v>
      </c>
      <c r="AU160" t="str">
        <f t="shared" si="24"/>
        <v>NoData</v>
      </c>
      <c r="AV160">
        <v>1</v>
      </c>
      <c r="AW160" t="s">
        <v>11</v>
      </c>
      <c r="AX160">
        <v>2</v>
      </c>
      <c r="AY160" t="s">
        <v>11</v>
      </c>
      <c r="AZ160" t="str">
        <f t="shared" si="25"/>
        <v>NoData</v>
      </c>
      <c r="BA160" t="str">
        <f t="shared" si="26"/>
        <v>NoData</v>
      </c>
      <c r="BB160">
        <f t="shared" si="31"/>
        <v>0</v>
      </c>
      <c r="BC160" t="str">
        <f t="shared" si="32"/>
        <v>NoData</v>
      </c>
      <c r="BD160" t="s">
        <v>11</v>
      </c>
      <c r="BE160" t="s">
        <v>11</v>
      </c>
      <c r="BF160" t="s">
        <v>11</v>
      </c>
      <c r="BG160" t="s">
        <v>11</v>
      </c>
      <c r="BH160">
        <v>0</v>
      </c>
      <c r="BI160" t="s">
        <v>11</v>
      </c>
      <c r="BJ160">
        <v>41</v>
      </c>
      <c r="BK160" t="s">
        <v>11</v>
      </c>
      <c r="BL160" t="s">
        <v>11</v>
      </c>
      <c r="BM160" t="s">
        <v>11</v>
      </c>
      <c r="BN160" t="s">
        <v>11</v>
      </c>
      <c r="BO160" t="s">
        <v>11</v>
      </c>
      <c r="BP160" t="str">
        <f t="shared" si="27"/>
        <v>NoData</v>
      </c>
      <c r="BQ160" t="str">
        <f t="shared" si="28"/>
        <v>NoData</v>
      </c>
      <c r="BR160" t="s">
        <v>11</v>
      </c>
      <c r="BS160" t="s">
        <v>11</v>
      </c>
      <c r="BT160" t="s">
        <v>11</v>
      </c>
      <c r="BU160" t="s">
        <v>11</v>
      </c>
    </row>
    <row r="161" spans="1:73" x14ac:dyDescent="0.25">
      <c r="A161" s="5">
        <v>30682</v>
      </c>
      <c r="B161">
        <v>903</v>
      </c>
      <c r="C161" t="s">
        <v>11</v>
      </c>
      <c r="D161" t="s">
        <v>11</v>
      </c>
      <c r="E161" t="s">
        <v>11</v>
      </c>
      <c r="F161">
        <v>2806</v>
      </c>
      <c r="G161" t="s">
        <v>11</v>
      </c>
      <c r="H161">
        <v>1408</v>
      </c>
      <c r="I161" t="s">
        <v>11</v>
      </c>
      <c r="J161">
        <v>140</v>
      </c>
      <c r="K161" t="s">
        <v>11</v>
      </c>
      <c r="L161">
        <v>14714</v>
      </c>
      <c r="M161">
        <v>-5769</v>
      </c>
      <c r="N161">
        <v>295</v>
      </c>
      <c r="O161" t="s">
        <v>11</v>
      </c>
      <c r="P161" t="s">
        <v>11</v>
      </c>
      <c r="Q161" t="s">
        <v>11</v>
      </c>
      <c r="R161" t="s">
        <v>11</v>
      </c>
      <c r="S161" t="s">
        <v>11</v>
      </c>
      <c r="T161" s="34">
        <v>33880</v>
      </c>
      <c r="U161" s="34">
        <v>2930</v>
      </c>
      <c r="V161" s="34">
        <v>2223</v>
      </c>
      <c r="W161">
        <v>2213</v>
      </c>
      <c r="X161">
        <v>2610</v>
      </c>
      <c r="Y161">
        <v>2604</v>
      </c>
      <c r="Z161">
        <v>2828</v>
      </c>
      <c r="AA161">
        <v>379</v>
      </c>
      <c r="AB161">
        <v>15271</v>
      </c>
      <c r="AC161">
        <v>9895</v>
      </c>
      <c r="AD161">
        <v>1683</v>
      </c>
      <c r="AE161">
        <v>1408</v>
      </c>
      <c r="AF161">
        <v>3838</v>
      </c>
      <c r="AG161">
        <v>3599</v>
      </c>
      <c r="AH161">
        <f t="shared" si="29"/>
        <v>1683</v>
      </c>
      <c r="AI161">
        <f t="shared" si="30"/>
        <v>1408</v>
      </c>
      <c r="AJ161">
        <v>9835</v>
      </c>
      <c r="AK161">
        <v>8279</v>
      </c>
      <c r="AL161">
        <v>16810</v>
      </c>
      <c r="AM161">
        <v>4498</v>
      </c>
      <c r="AN161">
        <v>229</v>
      </c>
      <c r="AO161">
        <v>229</v>
      </c>
      <c r="AP161" t="s">
        <v>11</v>
      </c>
      <c r="AQ161" t="s">
        <v>11</v>
      </c>
      <c r="AR161" t="s">
        <v>11</v>
      </c>
      <c r="AS161" t="s">
        <v>11</v>
      </c>
      <c r="AT161" t="str">
        <f t="shared" si="23"/>
        <v>NoData</v>
      </c>
      <c r="AU161" t="str">
        <f t="shared" si="24"/>
        <v>NoData</v>
      </c>
      <c r="AV161">
        <v>1</v>
      </c>
      <c r="AW161" t="s">
        <v>11</v>
      </c>
      <c r="AX161">
        <v>1</v>
      </c>
      <c r="AY161" t="s">
        <v>11</v>
      </c>
      <c r="AZ161" t="str">
        <f t="shared" si="25"/>
        <v>NoData</v>
      </c>
      <c r="BA161" t="str">
        <f t="shared" si="26"/>
        <v>NoData</v>
      </c>
      <c r="BB161">
        <f t="shared" si="31"/>
        <v>229</v>
      </c>
      <c r="BC161">
        <f t="shared" si="32"/>
        <v>229</v>
      </c>
      <c r="BD161">
        <v>169</v>
      </c>
      <c r="BE161" t="s">
        <v>11</v>
      </c>
      <c r="BF161" t="s">
        <v>11</v>
      </c>
      <c r="BG161" t="s">
        <v>11</v>
      </c>
      <c r="BH161">
        <v>0</v>
      </c>
      <c r="BI161" t="s">
        <v>11</v>
      </c>
      <c r="BJ161">
        <v>51</v>
      </c>
      <c r="BK161" t="s">
        <v>11</v>
      </c>
      <c r="BL161" t="s">
        <v>11</v>
      </c>
      <c r="BM161" t="s">
        <v>11</v>
      </c>
      <c r="BN161" t="s">
        <v>11</v>
      </c>
      <c r="BO161" t="s">
        <v>11</v>
      </c>
      <c r="BP161" t="str">
        <f t="shared" si="27"/>
        <v>NoData</v>
      </c>
      <c r="BQ161" t="str">
        <f t="shared" si="28"/>
        <v>NoData</v>
      </c>
      <c r="BR161" t="s">
        <v>11</v>
      </c>
      <c r="BS161" t="s">
        <v>11</v>
      </c>
      <c r="BT161" t="s">
        <v>11</v>
      </c>
      <c r="BU161" t="s">
        <v>11</v>
      </c>
    </row>
    <row r="162" spans="1:73" x14ac:dyDescent="0.25">
      <c r="A162" s="5">
        <v>30713</v>
      </c>
      <c r="B162">
        <v>1094</v>
      </c>
      <c r="C162" t="s">
        <v>11</v>
      </c>
      <c r="D162" t="s">
        <v>11</v>
      </c>
      <c r="E162" t="s">
        <v>11</v>
      </c>
      <c r="F162">
        <v>1560</v>
      </c>
      <c r="G162" t="s">
        <v>11</v>
      </c>
      <c r="H162">
        <v>783</v>
      </c>
      <c r="I162" t="s">
        <v>11</v>
      </c>
      <c r="J162">
        <v>319</v>
      </c>
      <c r="K162" t="s">
        <v>11</v>
      </c>
      <c r="L162">
        <v>45791</v>
      </c>
      <c r="M162">
        <v>27071</v>
      </c>
      <c r="N162">
        <v>264</v>
      </c>
      <c r="O162" t="s">
        <v>11</v>
      </c>
      <c r="P162" t="s">
        <v>11</v>
      </c>
      <c r="Q162" t="s">
        <v>11</v>
      </c>
      <c r="R162" t="s">
        <v>11</v>
      </c>
      <c r="S162" t="s">
        <v>11</v>
      </c>
      <c r="T162" s="34">
        <v>66860</v>
      </c>
      <c r="U162" s="34">
        <v>30496</v>
      </c>
      <c r="V162" s="34">
        <v>2510</v>
      </c>
      <c r="W162">
        <v>2505</v>
      </c>
      <c r="X162">
        <v>3719</v>
      </c>
      <c r="Y162">
        <v>3715</v>
      </c>
      <c r="Z162">
        <v>3581</v>
      </c>
      <c r="AA162">
        <v>847</v>
      </c>
      <c r="AB162">
        <v>24892</v>
      </c>
      <c r="AC162">
        <v>19931</v>
      </c>
      <c r="AD162">
        <v>1946</v>
      </c>
      <c r="AE162">
        <v>1697</v>
      </c>
      <c r="AF162">
        <v>4001</v>
      </c>
      <c r="AG162">
        <v>4010</v>
      </c>
      <c r="AH162">
        <f t="shared" si="29"/>
        <v>1946</v>
      </c>
      <c r="AI162">
        <f t="shared" si="30"/>
        <v>1697</v>
      </c>
      <c r="AJ162">
        <v>11497</v>
      </c>
      <c r="AK162">
        <v>10089</v>
      </c>
      <c r="AL162">
        <v>35773</v>
      </c>
      <c r="AM162">
        <v>23926</v>
      </c>
      <c r="AN162">
        <v>249</v>
      </c>
      <c r="AO162">
        <v>249</v>
      </c>
      <c r="AP162" t="s">
        <v>11</v>
      </c>
      <c r="AQ162" t="s">
        <v>11</v>
      </c>
      <c r="AR162" t="s">
        <v>11</v>
      </c>
      <c r="AS162" t="s">
        <v>11</v>
      </c>
      <c r="AT162" t="str">
        <f t="shared" si="23"/>
        <v>NoData</v>
      </c>
      <c r="AU162" t="str">
        <f t="shared" si="24"/>
        <v>NoData</v>
      </c>
      <c r="AV162">
        <v>1</v>
      </c>
      <c r="AW162" t="s">
        <v>11</v>
      </c>
      <c r="AX162">
        <v>2</v>
      </c>
      <c r="AY162" t="s">
        <v>11</v>
      </c>
      <c r="AZ162" t="str">
        <f t="shared" si="25"/>
        <v>NoData</v>
      </c>
      <c r="BA162" t="str">
        <f t="shared" si="26"/>
        <v>NoData</v>
      </c>
      <c r="BB162">
        <f t="shared" si="31"/>
        <v>249</v>
      </c>
      <c r="BC162">
        <f t="shared" si="32"/>
        <v>249</v>
      </c>
      <c r="BD162">
        <v>185</v>
      </c>
      <c r="BE162" t="s">
        <v>11</v>
      </c>
      <c r="BF162" t="s">
        <v>11</v>
      </c>
      <c r="BG162" t="s">
        <v>11</v>
      </c>
      <c r="BH162">
        <v>3</v>
      </c>
      <c r="BI162" t="s">
        <v>11</v>
      </c>
      <c r="BJ162">
        <v>34</v>
      </c>
      <c r="BK162" t="s">
        <v>11</v>
      </c>
      <c r="BL162" t="s">
        <v>11</v>
      </c>
      <c r="BM162" t="s">
        <v>11</v>
      </c>
      <c r="BN162" t="s">
        <v>11</v>
      </c>
      <c r="BO162" t="s">
        <v>11</v>
      </c>
      <c r="BP162" t="str">
        <f t="shared" si="27"/>
        <v>NoData</v>
      </c>
      <c r="BQ162" t="str">
        <f t="shared" si="28"/>
        <v>NoData</v>
      </c>
      <c r="BR162" t="s">
        <v>11</v>
      </c>
      <c r="BS162" t="s">
        <v>11</v>
      </c>
      <c r="BT162" t="s">
        <v>11</v>
      </c>
      <c r="BU162" t="s">
        <v>11</v>
      </c>
    </row>
    <row r="163" spans="1:73" x14ac:dyDescent="0.25">
      <c r="A163" s="5">
        <v>30742</v>
      </c>
      <c r="B163">
        <v>2147</v>
      </c>
      <c r="C163" t="s">
        <v>11</v>
      </c>
      <c r="D163" t="s">
        <v>11</v>
      </c>
      <c r="E163" t="s">
        <v>11</v>
      </c>
      <c r="F163">
        <v>2470</v>
      </c>
      <c r="G163" t="s">
        <v>11</v>
      </c>
      <c r="H163">
        <v>1239</v>
      </c>
      <c r="I163" t="s">
        <v>11</v>
      </c>
      <c r="J163">
        <v>2190</v>
      </c>
      <c r="K163" t="s">
        <v>11</v>
      </c>
      <c r="L163">
        <v>63101</v>
      </c>
      <c r="M163">
        <v>35225</v>
      </c>
      <c r="N163">
        <v>64</v>
      </c>
      <c r="O163" t="s">
        <v>11</v>
      </c>
      <c r="P163" t="s">
        <v>11</v>
      </c>
      <c r="Q163" t="s">
        <v>11</v>
      </c>
      <c r="R163" t="s">
        <v>11</v>
      </c>
      <c r="S163" t="s">
        <v>11</v>
      </c>
      <c r="T163" s="34">
        <v>81004</v>
      </c>
      <c r="U163" s="34">
        <v>40149</v>
      </c>
      <c r="V163" s="34">
        <v>3282</v>
      </c>
      <c r="W163">
        <v>3275</v>
      </c>
      <c r="X163">
        <v>4300</v>
      </c>
      <c r="Y163">
        <v>4295</v>
      </c>
      <c r="Z163">
        <v>4271</v>
      </c>
      <c r="AA163">
        <v>1644</v>
      </c>
      <c r="AB163">
        <v>28600</v>
      </c>
      <c r="AC163">
        <v>22263</v>
      </c>
      <c r="AD163">
        <v>2515</v>
      </c>
      <c r="AE163">
        <v>2224</v>
      </c>
      <c r="AF163">
        <v>5681</v>
      </c>
      <c r="AG163">
        <v>5522</v>
      </c>
      <c r="AH163">
        <f t="shared" si="29"/>
        <v>2515</v>
      </c>
      <c r="AI163">
        <f t="shared" si="30"/>
        <v>2224</v>
      </c>
      <c r="AJ163">
        <v>14779</v>
      </c>
      <c r="AK163">
        <v>13126</v>
      </c>
      <c r="AL163">
        <v>41876</v>
      </c>
      <c r="AM163">
        <v>29826</v>
      </c>
      <c r="AN163">
        <v>338</v>
      </c>
      <c r="AO163">
        <v>338</v>
      </c>
      <c r="AP163" t="s">
        <v>11</v>
      </c>
      <c r="AQ163" t="s">
        <v>11</v>
      </c>
      <c r="AR163" t="s">
        <v>11</v>
      </c>
      <c r="AS163" t="s">
        <v>11</v>
      </c>
      <c r="AT163" t="str">
        <f t="shared" si="23"/>
        <v>NoData</v>
      </c>
      <c r="AU163" t="str">
        <f t="shared" si="24"/>
        <v>NoData</v>
      </c>
      <c r="AV163">
        <v>2</v>
      </c>
      <c r="AW163" t="s">
        <v>11</v>
      </c>
      <c r="AX163">
        <v>3</v>
      </c>
      <c r="AY163" t="s">
        <v>11</v>
      </c>
      <c r="AZ163" t="str">
        <f t="shared" si="25"/>
        <v>NoData</v>
      </c>
      <c r="BA163" t="str">
        <f t="shared" si="26"/>
        <v>NoData</v>
      </c>
      <c r="BB163">
        <f t="shared" si="31"/>
        <v>338</v>
      </c>
      <c r="BC163">
        <f t="shared" si="32"/>
        <v>338</v>
      </c>
      <c r="BD163">
        <v>318</v>
      </c>
      <c r="BE163" t="s">
        <v>11</v>
      </c>
      <c r="BF163" t="s">
        <v>11</v>
      </c>
      <c r="BG163" t="s">
        <v>11</v>
      </c>
      <c r="BH163">
        <v>8</v>
      </c>
      <c r="BI163" t="s">
        <v>11</v>
      </c>
      <c r="BJ163">
        <v>28</v>
      </c>
      <c r="BK163" t="s">
        <v>11</v>
      </c>
      <c r="BL163" t="s">
        <v>11</v>
      </c>
      <c r="BM163" t="s">
        <v>11</v>
      </c>
      <c r="BN163" t="s">
        <v>11</v>
      </c>
      <c r="BO163" t="s">
        <v>11</v>
      </c>
      <c r="BP163" t="str">
        <f t="shared" si="27"/>
        <v>NoData</v>
      </c>
      <c r="BQ163" t="str">
        <f t="shared" si="28"/>
        <v>NoData</v>
      </c>
      <c r="BR163" t="s">
        <v>11</v>
      </c>
      <c r="BS163" t="s">
        <v>11</v>
      </c>
      <c r="BT163" t="s">
        <v>11</v>
      </c>
      <c r="BU163" t="s">
        <v>11</v>
      </c>
    </row>
    <row r="164" spans="1:73" x14ac:dyDescent="0.25">
      <c r="A164" s="5">
        <v>30773</v>
      </c>
      <c r="B164">
        <v>2379</v>
      </c>
      <c r="C164" t="s">
        <v>11</v>
      </c>
      <c r="D164" t="s">
        <v>11</v>
      </c>
      <c r="E164" t="s">
        <v>11</v>
      </c>
      <c r="F164">
        <v>4452</v>
      </c>
      <c r="G164" t="s">
        <v>11</v>
      </c>
      <c r="H164">
        <v>2234</v>
      </c>
      <c r="I164" t="s">
        <v>11</v>
      </c>
      <c r="J164">
        <v>1362</v>
      </c>
      <c r="K164" t="s">
        <v>11</v>
      </c>
      <c r="L164">
        <v>61197</v>
      </c>
      <c r="M164">
        <v>31477</v>
      </c>
      <c r="N164">
        <v>450</v>
      </c>
      <c r="O164" t="s">
        <v>11</v>
      </c>
      <c r="P164" t="s">
        <v>11</v>
      </c>
      <c r="Q164" t="s">
        <v>11</v>
      </c>
      <c r="R164" t="s">
        <v>11</v>
      </c>
      <c r="S164" t="s">
        <v>11</v>
      </c>
      <c r="T164" s="34">
        <v>93224</v>
      </c>
      <c r="U164" s="34">
        <v>52934</v>
      </c>
      <c r="V164" s="34">
        <v>2989</v>
      </c>
      <c r="W164">
        <v>2982</v>
      </c>
      <c r="X164">
        <v>4570</v>
      </c>
      <c r="Y164">
        <v>4564</v>
      </c>
      <c r="Z164">
        <v>4395</v>
      </c>
      <c r="AA164">
        <v>1403</v>
      </c>
      <c r="AB164">
        <v>27559</v>
      </c>
      <c r="AC164">
        <v>21341</v>
      </c>
      <c r="AD164">
        <v>2641</v>
      </c>
      <c r="AE164">
        <v>2452</v>
      </c>
      <c r="AF164">
        <v>5392</v>
      </c>
      <c r="AG164">
        <v>5384</v>
      </c>
      <c r="AH164">
        <f t="shared" si="29"/>
        <v>2641</v>
      </c>
      <c r="AI164">
        <f t="shared" si="30"/>
        <v>2452</v>
      </c>
      <c r="AJ164">
        <v>19425</v>
      </c>
      <c r="AK164">
        <v>18355</v>
      </c>
      <c r="AL164">
        <v>43776</v>
      </c>
      <c r="AM164">
        <v>32382</v>
      </c>
      <c r="AN164">
        <v>298</v>
      </c>
      <c r="AO164">
        <v>298</v>
      </c>
      <c r="AP164" t="s">
        <v>11</v>
      </c>
      <c r="AQ164" t="s">
        <v>11</v>
      </c>
      <c r="AR164" t="s">
        <v>11</v>
      </c>
      <c r="AS164" t="s">
        <v>11</v>
      </c>
      <c r="AT164" t="str">
        <f t="shared" si="23"/>
        <v>NoData</v>
      </c>
      <c r="AU164" t="str">
        <f t="shared" si="24"/>
        <v>NoData</v>
      </c>
      <c r="AV164">
        <v>3</v>
      </c>
      <c r="AW164" t="s">
        <v>11</v>
      </c>
      <c r="AX164">
        <v>4</v>
      </c>
      <c r="AY164" t="s">
        <v>11</v>
      </c>
      <c r="AZ164" t="str">
        <f t="shared" si="25"/>
        <v>NoData</v>
      </c>
      <c r="BA164" t="str">
        <f t="shared" si="26"/>
        <v>NoData</v>
      </c>
      <c r="BB164">
        <f t="shared" si="31"/>
        <v>298</v>
      </c>
      <c r="BC164">
        <f t="shared" si="32"/>
        <v>298</v>
      </c>
      <c r="BD164">
        <v>290</v>
      </c>
      <c r="BE164" t="s">
        <v>11</v>
      </c>
      <c r="BF164" t="s">
        <v>11</v>
      </c>
      <c r="BG164" t="s">
        <v>11</v>
      </c>
      <c r="BH164">
        <v>11</v>
      </c>
      <c r="BI164" t="s">
        <v>11</v>
      </c>
      <c r="BJ164">
        <v>23</v>
      </c>
      <c r="BK164" t="s">
        <v>11</v>
      </c>
      <c r="BL164" t="s">
        <v>11</v>
      </c>
      <c r="BM164" t="s">
        <v>11</v>
      </c>
      <c r="BN164" t="s">
        <v>11</v>
      </c>
      <c r="BO164" t="s">
        <v>11</v>
      </c>
      <c r="BP164" t="str">
        <f t="shared" si="27"/>
        <v>NoData</v>
      </c>
      <c r="BQ164" t="str">
        <f t="shared" si="28"/>
        <v>NoData</v>
      </c>
      <c r="BR164" t="s">
        <v>11</v>
      </c>
      <c r="BS164" t="s">
        <v>11</v>
      </c>
      <c r="BT164" t="s">
        <v>11</v>
      </c>
      <c r="BU164" t="s">
        <v>11</v>
      </c>
    </row>
    <row r="165" spans="1:73" x14ac:dyDescent="0.25">
      <c r="A165" s="5">
        <v>30803</v>
      </c>
      <c r="B165">
        <v>2843</v>
      </c>
      <c r="C165" t="s">
        <v>11</v>
      </c>
      <c r="D165" t="s">
        <v>11</v>
      </c>
      <c r="E165" t="s">
        <v>11</v>
      </c>
      <c r="F165">
        <v>6370</v>
      </c>
      <c r="G165" t="s">
        <v>11</v>
      </c>
      <c r="H165">
        <v>3196</v>
      </c>
      <c r="I165" t="s">
        <v>11</v>
      </c>
      <c r="J165">
        <v>1836</v>
      </c>
      <c r="K165" t="s">
        <v>11</v>
      </c>
      <c r="L165">
        <v>64569</v>
      </c>
      <c r="M165">
        <v>36569</v>
      </c>
      <c r="N165">
        <v>495</v>
      </c>
      <c r="O165" t="s">
        <v>11</v>
      </c>
      <c r="P165" t="s">
        <v>11</v>
      </c>
      <c r="Q165" t="s">
        <v>11</v>
      </c>
      <c r="R165" t="s">
        <v>11</v>
      </c>
      <c r="S165" t="s">
        <v>11</v>
      </c>
      <c r="T165" s="34">
        <v>94871</v>
      </c>
      <c r="U165" s="34">
        <v>50692</v>
      </c>
      <c r="V165" s="34">
        <v>2576</v>
      </c>
      <c r="W165">
        <v>2571</v>
      </c>
      <c r="X165">
        <v>4886</v>
      </c>
      <c r="Y165">
        <v>4880</v>
      </c>
      <c r="Z165">
        <v>5144</v>
      </c>
      <c r="AA165">
        <v>1923</v>
      </c>
      <c r="AB165">
        <v>26296</v>
      </c>
      <c r="AC165">
        <v>20146</v>
      </c>
      <c r="AD165">
        <v>4329</v>
      </c>
      <c r="AE165">
        <v>4177</v>
      </c>
      <c r="AF165">
        <v>6338</v>
      </c>
      <c r="AG165">
        <v>6399</v>
      </c>
      <c r="AH165">
        <f t="shared" si="29"/>
        <v>4329</v>
      </c>
      <c r="AI165">
        <f t="shared" si="30"/>
        <v>4177</v>
      </c>
      <c r="AJ165">
        <v>26646</v>
      </c>
      <c r="AK165">
        <v>25788</v>
      </c>
      <c r="AL165">
        <v>46019</v>
      </c>
      <c r="AM165">
        <v>34840</v>
      </c>
      <c r="AN165">
        <v>475</v>
      </c>
      <c r="AO165">
        <v>475</v>
      </c>
      <c r="AP165" t="s">
        <v>11</v>
      </c>
      <c r="AQ165" t="s">
        <v>11</v>
      </c>
      <c r="AR165" t="s">
        <v>11</v>
      </c>
      <c r="AS165" t="s">
        <v>11</v>
      </c>
      <c r="AT165" t="str">
        <f t="shared" si="23"/>
        <v>NoData</v>
      </c>
      <c r="AU165" t="str">
        <f t="shared" si="24"/>
        <v>NoData</v>
      </c>
      <c r="AV165">
        <v>3</v>
      </c>
      <c r="AW165" t="s">
        <v>11</v>
      </c>
      <c r="AX165">
        <v>5</v>
      </c>
      <c r="AY165" t="s">
        <v>11</v>
      </c>
      <c r="AZ165" t="str">
        <f t="shared" si="25"/>
        <v>NoData</v>
      </c>
      <c r="BA165" t="str">
        <f t="shared" si="26"/>
        <v>NoData</v>
      </c>
      <c r="BB165">
        <f t="shared" si="31"/>
        <v>475</v>
      </c>
      <c r="BC165">
        <f t="shared" si="32"/>
        <v>475</v>
      </c>
      <c r="BD165">
        <v>186</v>
      </c>
      <c r="BE165" t="s">
        <v>11</v>
      </c>
      <c r="BF165" t="s">
        <v>11</v>
      </c>
      <c r="BG165" t="s">
        <v>11</v>
      </c>
      <c r="BH165">
        <v>14</v>
      </c>
      <c r="BI165" t="s">
        <v>11</v>
      </c>
      <c r="BJ165">
        <v>38</v>
      </c>
      <c r="BK165" t="s">
        <v>11</v>
      </c>
      <c r="BL165" t="s">
        <v>11</v>
      </c>
      <c r="BM165" t="s">
        <v>11</v>
      </c>
      <c r="BN165" t="s">
        <v>11</v>
      </c>
      <c r="BO165" t="s">
        <v>11</v>
      </c>
      <c r="BP165" t="str">
        <f t="shared" si="27"/>
        <v>NoData</v>
      </c>
      <c r="BQ165" t="str">
        <f t="shared" si="28"/>
        <v>NoData</v>
      </c>
      <c r="BR165" t="s">
        <v>11</v>
      </c>
      <c r="BS165" t="s">
        <v>11</v>
      </c>
      <c r="BT165" t="s">
        <v>11</v>
      </c>
      <c r="BU165" t="s">
        <v>11</v>
      </c>
    </row>
    <row r="166" spans="1:73" x14ac:dyDescent="0.25">
      <c r="A166" s="5">
        <v>30834</v>
      </c>
      <c r="B166">
        <v>3046</v>
      </c>
      <c r="C166" t="s">
        <v>11</v>
      </c>
      <c r="D166" t="s">
        <v>11</v>
      </c>
      <c r="E166" t="s">
        <v>11</v>
      </c>
      <c r="F166">
        <v>5516</v>
      </c>
      <c r="G166" t="s">
        <v>11</v>
      </c>
      <c r="H166">
        <v>2768</v>
      </c>
      <c r="I166" t="s">
        <v>11</v>
      </c>
      <c r="J166">
        <v>2118</v>
      </c>
      <c r="K166" t="s">
        <v>11</v>
      </c>
      <c r="L166">
        <v>79042</v>
      </c>
      <c r="M166">
        <v>50817</v>
      </c>
      <c r="N166">
        <v>658</v>
      </c>
      <c r="O166" t="s">
        <v>11</v>
      </c>
      <c r="P166" t="s">
        <v>11</v>
      </c>
      <c r="Q166" t="s">
        <v>11</v>
      </c>
      <c r="R166" t="s">
        <v>11</v>
      </c>
      <c r="S166" t="s">
        <v>11</v>
      </c>
      <c r="T166" s="34">
        <v>93443</v>
      </c>
      <c r="U166" s="34">
        <v>47107</v>
      </c>
      <c r="V166" s="34">
        <v>2020</v>
      </c>
      <c r="W166">
        <v>2016</v>
      </c>
      <c r="X166">
        <v>4542</v>
      </c>
      <c r="Y166">
        <v>4536</v>
      </c>
      <c r="Z166">
        <v>4162</v>
      </c>
      <c r="AA166">
        <v>1521</v>
      </c>
      <c r="AB166">
        <v>30215</v>
      </c>
      <c r="AC166">
        <v>24492</v>
      </c>
      <c r="AD166">
        <v>4243</v>
      </c>
      <c r="AE166">
        <v>4122</v>
      </c>
      <c r="AF166">
        <v>4447</v>
      </c>
      <c r="AG166">
        <v>5042</v>
      </c>
      <c r="AH166">
        <f t="shared" si="29"/>
        <v>4243</v>
      </c>
      <c r="AI166">
        <f t="shared" si="30"/>
        <v>4122</v>
      </c>
      <c r="AJ166">
        <v>30282</v>
      </c>
      <c r="AK166">
        <v>29598</v>
      </c>
      <c r="AL166">
        <v>47421</v>
      </c>
      <c r="AM166">
        <v>37543</v>
      </c>
      <c r="AN166">
        <v>396</v>
      </c>
      <c r="AO166">
        <v>396</v>
      </c>
      <c r="AP166" t="s">
        <v>11</v>
      </c>
      <c r="AQ166" t="s">
        <v>11</v>
      </c>
      <c r="AR166" t="s">
        <v>11</v>
      </c>
      <c r="AS166" t="s">
        <v>11</v>
      </c>
      <c r="AT166" t="str">
        <f t="shared" si="23"/>
        <v>NoData</v>
      </c>
      <c r="AU166" t="str">
        <f t="shared" si="24"/>
        <v>NoData</v>
      </c>
      <c r="AV166">
        <v>3</v>
      </c>
      <c r="AW166" t="s">
        <v>11</v>
      </c>
      <c r="AX166">
        <v>7</v>
      </c>
      <c r="AY166" t="s">
        <v>11</v>
      </c>
      <c r="AZ166" t="str">
        <f t="shared" si="25"/>
        <v>NoData</v>
      </c>
      <c r="BA166" t="str">
        <f t="shared" si="26"/>
        <v>NoData</v>
      </c>
      <c r="BB166">
        <f t="shared" si="31"/>
        <v>396</v>
      </c>
      <c r="BC166">
        <f t="shared" si="32"/>
        <v>396</v>
      </c>
      <c r="BD166">
        <v>40</v>
      </c>
      <c r="BE166" t="s">
        <v>11</v>
      </c>
      <c r="BF166" t="s">
        <v>11</v>
      </c>
      <c r="BG166" t="s">
        <v>11</v>
      </c>
      <c r="BH166">
        <v>15</v>
      </c>
      <c r="BI166" t="s">
        <v>11</v>
      </c>
      <c r="BJ166">
        <v>67</v>
      </c>
      <c r="BK166" t="s">
        <v>11</v>
      </c>
      <c r="BL166" t="s">
        <v>11</v>
      </c>
      <c r="BM166" t="s">
        <v>11</v>
      </c>
      <c r="BN166" t="s">
        <v>11</v>
      </c>
      <c r="BO166" t="s">
        <v>11</v>
      </c>
      <c r="BP166" t="str">
        <f t="shared" si="27"/>
        <v>NoData</v>
      </c>
      <c r="BQ166" t="str">
        <f t="shared" si="28"/>
        <v>NoData</v>
      </c>
      <c r="BR166" t="s">
        <v>11</v>
      </c>
      <c r="BS166" t="s">
        <v>11</v>
      </c>
      <c r="BT166" t="s">
        <v>11</v>
      </c>
      <c r="BU166" t="s">
        <v>11</v>
      </c>
    </row>
    <row r="167" spans="1:73" x14ac:dyDescent="0.25">
      <c r="A167" s="5">
        <v>30864</v>
      </c>
      <c r="B167">
        <v>3173</v>
      </c>
      <c r="C167" t="s">
        <v>11</v>
      </c>
      <c r="D167" t="s">
        <v>11</v>
      </c>
      <c r="E167" t="s">
        <v>11</v>
      </c>
      <c r="F167">
        <v>6723</v>
      </c>
      <c r="G167" t="s">
        <v>11</v>
      </c>
      <c r="H167">
        <v>3373</v>
      </c>
      <c r="I167" t="s">
        <v>11</v>
      </c>
      <c r="J167">
        <v>2300</v>
      </c>
      <c r="K167" t="s">
        <v>11</v>
      </c>
      <c r="L167">
        <v>78297</v>
      </c>
      <c r="M167">
        <v>45475</v>
      </c>
      <c r="N167">
        <v>746</v>
      </c>
      <c r="O167" t="s">
        <v>11</v>
      </c>
      <c r="P167" t="s">
        <v>11</v>
      </c>
      <c r="Q167" t="s">
        <v>11</v>
      </c>
      <c r="R167" t="s">
        <v>11</v>
      </c>
      <c r="S167" t="s">
        <v>11</v>
      </c>
      <c r="T167" s="34">
        <v>87667</v>
      </c>
      <c r="U167" s="34">
        <v>34070</v>
      </c>
      <c r="V167" s="34">
        <v>2090</v>
      </c>
      <c r="W167">
        <v>2804</v>
      </c>
      <c r="X167">
        <v>4068</v>
      </c>
      <c r="Y167">
        <v>4062</v>
      </c>
      <c r="Z167">
        <v>3308</v>
      </c>
      <c r="AA167">
        <v>1078</v>
      </c>
      <c r="AB167">
        <v>20277</v>
      </c>
      <c r="AC167">
        <v>13128</v>
      </c>
      <c r="AD167">
        <v>3311</v>
      </c>
      <c r="AE167">
        <v>3135</v>
      </c>
      <c r="AF167">
        <v>3273</v>
      </c>
      <c r="AG167">
        <v>3718</v>
      </c>
      <c r="AH167">
        <f t="shared" si="29"/>
        <v>3311</v>
      </c>
      <c r="AI167">
        <f t="shared" si="30"/>
        <v>3135</v>
      </c>
      <c r="AJ167">
        <v>24303</v>
      </c>
      <c r="AK167">
        <v>23301</v>
      </c>
      <c r="AL167">
        <v>39298</v>
      </c>
      <c r="AM167">
        <v>30241</v>
      </c>
      <c r="AN167">
        <v>611</v>
      </c>
      <c r="AO167">
        <v>611</v>
      </c>
      <c r="AP167" t="s">
        <v>11</v>
      </c>
      <c r="AQ167" t="s">
        <v>11</v>
      </c>
      <c r="AR167" t="s">
        <v>11</v>
      </c>
      <c r="AS167" t="s">
        <v>11</v>
      </c>
      <c r="AT167" t="str">
        <f t="shared" si="23"/>
        <v>NoData</v>
      </c>
      <c r="AU167" t="str">
        <f t="shared" si="24"/>
        <v>NoData</v>
      </c>
      <c r="AV167">
        <v>3</v>
      </c>
      <c r="AW167" t="s">
        <v>11</v>
      </c>
      <c r="AX167">
        <v>8</v>
      </c>
      <c r="AY167" t="s">
        <v>11</v>
      </c>
      <c r="AZ167" t="str">
        <f t="shared" si="25"/>
        <v>NoData</v>
      </c>
      <c r="BA167" t="str">
        <f t="shared" si="26"/>
        <v>NoData</v>
      </c>
      <c r="BB167">
        <f t="shared" si="31"/>
        <v>611</v>
      </c>
      <c r="BC167">
        <f t="shared" si="32"/>
        <v>611</v>
      </c>
      <c r="BD167">
        <v>162</v>
      </c>
      <c r="BE167" t="s">
        <v>11</v>
      </c>
      <c r="BF167" t="s">
        <v>11</v>
      </c>
      <c r="BG167" t="s">
        <v>11</v>
      </c>
      <c r="BH167">
        <v>0</v>
      </c>
      <c r="BI167" t="s">
        <v>11</v>
      </c>
      <c r="BJ167">
        <v>66</v>
      </c>
      <c r="BK167" t="s">
        <v>11</v>
      </c>
      <c r="BL167" t="s">
        <v>11</v>
      </c>
      <c r="BM167" t="s">
        <v>11</v>
      </c>
      <c r="BN167" t="s">
        <v>11</v>
      </c>
      <c r="BO167" t="s">
        <v>11</v>
      </c>
      <c r="BP167" t="str">
        <f t="shared" si="27"/>
        <v>NoData</v>
      </c>
      <c r="BQ167" t="str">
        <f t="shared" si="28"/>
        <v>NoData</v>
      </c>
      <c r="BR167" t="s">
        <v>11</v>
      </c>
      <c r="BS167" t="s">
        <v>11</v>
      </c>
      <c r="BT167" t="s">
        <v>11</v>
      </c>
      <c r="BU167" t="s">
        <v>11</v>
      </c>
    </row>
    <row r="168" spans="1:73" x14ac:dyDescent="0.25">
      <c r="A168" s="5">
        <v>30895</v>
      </c>
      <c r="B168">
        <v>2907</v>
      </c>
      <c r="C168" t="s">
        <v>11</v>
      </c>
      <c r="D168" t="s">
        <v>11</v>
      </c>
      <c r="E168" t="s">
        <v>11</v>
      </c>
      <c r="F168">
        <v>5430</v>
      </c>
      <c r="G168" t="s">
        <v>11</v>
      </c>
      <c r="H168">
        <v>2724</v>
      </c>
      <c r="I168" t="s">
        <v>11</v>
      </c>
      <c r="J168">
        <v>2712</v>
      </c>
      <c r="K168" t="s">
        <v>11</v>
      </c>
      <c r="L168">
        <v>67302</v>
      </c>
      <c r="M168">
        <v>35154</v>
      </c>
      <c r="N168">
        <v>629</v>
      </c>
      <c r="O168" t="s">
        <v>11</v>
      </c>
      <c r="P168" t="s">
        <v>11</v>
      </c>
      <c r="Q168" t="s">
        <v>11</v>
      </c>
      <c r="R168" t="s">
        <v>11</v>
      </c>
      <c r="S168" t="s">
        <v>11</v>
      </c>
      <c r="T168" s="34">
        <v>88176</v>
      </c>
      <c r="U168" s="34">
        <v>42595</v>
      </c>
      <c r="V168" s="34">
        <v>2768</v>
      </c>
      <c r="W168">
        <v>2755</v>
      </c>
      <c r="X168">
        <v>3065</v>
      </c>
      <c r="Y168">
        <v>3056</v>
      </c>
      <c r="Z168">
        <v>2312</v>
      </c>
      <c r="AA168">
        <v>342</v>
      </c>
      <c r="AB168">
        <v>24771</v>
      </c>
      <c r="AC168">
        <v>17616</v>
      </c>
      <c r="AD168">
        <v>4609</v>
      </c>
      <c r="AE168">
        <v>4123</v>
      </c>
      <c r="AF168">
        <v>4581</v>
      </c>
      <c r="AG168">
        <v>4580</v>
      </c>
      <c r="AH168">
        <f t="shared" si="29"/>
        <v>4609</v>
      </c>
      <c r="AI168">
        <f t="shared" si="30"/>
        <v>4123</v>
      </c>
      <c r="AJ168">
        <v>22099</v>
      </c>
      <c r="AK168">
        <v>19345</v>
      </c>
      <c r="AL168">
        <v>36887</v>
      </c>
      <c r="AM168">
        <v>27920</v>
      </c>
      <c r="AN168">
        <v>560</v>
      </c>
      <c r="AO168">
        <v>560</v>
      </c>
      <c r="AP168" t="s">
        <v>11</v>
      </c>
      <c r="AQ168" t="s">
        <v>11</v>
      </c>
      <c r="AR168" t="s">
        <v>11</v>
      </c>
      <c r="AS168" t="s">
        <v>11</v>
      </c>
      <c r="AT168" t="str">
        <f t="shared" si="23"/>
        <v>NoData</v>
      </c>
      <c r="AU168" t="str">
        <f t="shared" si="24"/>
        <v>NoData</v>
      </c>
      <c r="AV168">
        <v>3</v>
      </c>
      <c r="AW168" t="s">
        <v>11</v>
      </c>
      <c r="AX168">
        <v>7</v>
      </c>
      <c r="AY168" t="s">
        <v>11</v>
      </c>
      <c r="AZ168" t="str">
        <f t="shared" si="25"/>
        <v>NoData</v>
      </c>
      <c r="BA168" t="str">
        <f t="shared" si="26"/>
        <v>NoData</v>
      </c>
      <c r="BB168">
        <f t="shared" si="31"/>
        <v>560</v>
      </c>
      <c r="BC168">
        <f t="shared" si="32"/>
        <v>560</v>
      </c>
      <c r="BD168">
        <v>90</v>
      </c>
      <c r="BE168" t="s">
        <v>11</v>
      </c>
      <c r="BF168" t="s">
        <v>11</v>
      </c>
      <c r="BG168" t="s">
        <v>11</v>
      </c>
      <c r="BH168">
        <v>0</v>
      </c>
      <c r="BI168" t="s">
        <v>11</v>
      </c>
      <c r="BJ168">
        <v>73</v>
      </c>
      <c r="BK168" t="s">
        <v>11</v>
      </c>
      <c r="BL168" t="s">
        <v>11</v>
      </c>
      <c r="BM168" t="s">
        <v>11</v>
      </c>
      <c r="BN168" t="s">
        <v>11</v>
      </c>
      <c r="BO168" t="s">
        <v>11</v>
      </c>
      <c r="BP168" t="str">
        <f t="shared" si="27"/>
        <v>NoData</v>
      </c>
      <c r="BQ168" t="str">
        <f t="shared" si="28"/>
        <v>NoData</v>
      </c>
      <c r="BR168" t="s">
        <v>11</v>
      </c>
      <c r="BS168" t="s">
        <v>11</v>
      </c>
      <c r="BT168" t="s">
        <v>11</v>
      </c>
      <c r="BU168" t="s">
        <v>11</v>
      </c>
    </row>
    <row r="169" spans="1:73" x14ac:dyDescent="0.25">
      <c r="A169" s="5">
        <v>30926</v>
      </c>
      <c r="B169">
        <v>2237</v>
      </c>
      <c r="C169" t="s">
        <v>11</v>
      </c>
      <c r="D169" t="s">
        <v>11</v>
      </c>
      <c r="E169" t="s">
        <v>11</v>
      </c>
      <c r="F169">
        <v>4014</v>
      </c>
      <c r="G169" t="s">
        <v>11</v>
      </c>
      <c r="H169">
        <v>2014</v>
      </c>
      <c r="I169" t="s">
        <v>11</v>
      </c>
      <c r="J169">
        <v>1799</v>
      </c>
      <c r="K169" t="s">
        <v>11</v>
      </c>
      <c r="L169">
        <v>50843</v>
      </c>
      <c r="M169">
        <v>22987</v>
      </c>
      <c r="N169">
        <v>425</v>
      </c>
      <c r="O169" t="s">
        <v>11</v>
      </c>
      <c r="P169" t="s">
        <v>11</v>
      </c>
      <c r="Q169" t="s">
        <v>11</v>
      </c>
      <c r="R169" t="s">
        <v>11</v>
      </c>
      <c r="S169" t="s">
        <v>11</v>
      </c>
      <c r="T169" s="34">
        <v>86225</v>
      </c>
      <c r="U169" s="34">
        <v>41471</v>
      </c>
      <c r="V169" s="34">
        <v>1626</v>
      </c>
      <c r="W169">
        <v>1618</v>
      </c>
      <c r="X169">
        <v>2701</v>
      </c>
      <c r="Y169">
        <v>2693</v>
      </c>
      <c r="Z169">
        <v>2532</v>
      </c>
      <c r="AA169">
        <v>647</v>
      </c>
      <c r="AB169">
        <v>22248</v>
      </c>
      <c r="AC169">
        <v>14268</v>
      </c>
      <c r="AD169">
        <v>3605</v>
      </c>
      <c r="AE169">
        <v>2963</v>
      </c>
      <c r="AF169">
        <v>6182</v>
      </c>
      <c r="AG169">
        <v>5784</v>
      </c>
      <c r="AH169">
        <f t="shared" si="29"/>
        <v>3605</v>
      </c>
      <c r="AI169">
        <f t="shared" si="30"/>
        <v>2963</v>
      </c>
      <c r="AJ169">
        <v>24049</v>
      </c>
      <c r="AK169">
        <v>20409</v>
      </c>
      <c r="AL169">
        <v>43902</v>
      </c>
      <c r="AM169">
        <v>34576</v>
      </c>
      <c r="AN169">
        <v>609</v>
      </c>
      <c r="AO169">
        <v>609</v>
      </c>
      <c r="AP169" t="s">
        <v>11</v>
      </c>
      <c r="AQ169" t="s">
        <v>11</v>
      </c>
      <c r="AR169" t="s">
        <v>11</v>
      </c>
      <c r="AS169" t="s">
        <v>11</v>
      </c>
      <c r="AT169" t="str">
        <f t="shared" si="23"/>
        <v>NoData</v>
      </c>
      <c r="AU169" t="str">
        <f t="shared" si="24"/>
        <v>NoData</v>
      </c>
      <c r="AV169">
        <v>2</v>
      </c>
      <c r="AW169" t="s">
        <v>11</v>
      </c>
      <c r="AX169">
        <v>5</v>
      </c>
      <c r="AY169" t="s">
        <v>11</v>
      </c>
      <c r="AZ169" t="str">
        <f t="shared" si="25"/>
        <v>NoData</v>
      </c>
      <c r="BA169" t="str">
        <f t="shared" si="26"/>
        <v>NoData</v>
      </c>
      <c r="BB169">
        <f t="shared" si="31"/>
        <v>609</v>
      </c>
      <c r="BC169">
        <f t="shared" si="32"/>
        <v>609</v>
      </c>
      <c r="BD169">
        <v>102</v>
      </c>
      <c r="BE169" t="s">
        <v>11</v>
      </c>
      <c r="BF169" t="s">
        <v>11</v>
      </c>
      <c r="BG169" t="s">
        <v>11</v>
      </c>
      <c r="BH169">
        <v>0</v>
      </c>
      <c r="BI169" t="s">
        <v>11</v>
      </c>
      <c r="BJ169">
        <v>49</v>
      </c>
      <c r="BK169" t="s">
        <v>11</v>
      </c>
      <c r="BL169" t="s">
        <v>11</v>
      </c>
      <c r="BM169" t="s">
        <v>11</v>
      </c>
      <c r="BN169" t="s">
        <v>11</v>
      </c>
      <c r="BO169" t="s">
        <v>11</v>
      </c>
      <c r="BP169" t="str">
        <f t="shared" si="27"/>
        <v>NoData</v>
      </c>
      <c r="BQ169" t="str">
        <f t="shared" si="28"/>
        <v>NoData</v>
      </c>
      <c r="BR169" t="s">
        <v>11</v>
      </c>
      <c r="BS169" t="s">
        <v>11</v>
      </c>
      <c r="BT169" t="s">
        <v>11</v>
      </c>
      <c r="BU169" t="s">
        <v>11</v>
      </c>
    </row>
    <row r="170" spans="1:73" x14ac:dyDescent="0.25">
      <c r="A170" s="5">
        <v>30956</v>
      </c>
      <c r="B170">
        <v>1707</v>
      </c>
      <c r="C170" t="s">
        <v>11</v>
      </c>
      <c r="D170" t="s">
        <v>11</v>
      </c>
      <c r="E170" t="s">
        <v>11</v>
      </c>
      <c r="F170">
        <v>2036</v>
      </c>
      <c r="G170" t="s">
        <v>11</v>
      </c>
      <c r="H170">
        <v>1021</v>
      </c>
      <c r="I170" t="s">
        <v>11</v>
      </c>
      <c r="J170">
        <v>532</v>
      </c>
      <c r="K170" t="s">
        <v>11</v>
      </c>
      <c r="L170">
        <v>34717</v>
      </c>
      <c r="M170">
        <v>8589</v>
      </c>
      <c r="N170">
        <v>257</v>
      </c>
      <c r="O170" t="s">
        <v>11</v>
      </c>
      <c r="P170" t="s">
        <v>11</v>
      </c>
      <c r="Q170" t="s">
        <v>11</v>
      </c>
      <c r="R170" t="s">
        <v>11</v>
      </c>
      <c r="S170" t="s">
        <v>11</v>
      </c>
      <c r="T170" s="34">
        <v>49869</v>
      </c>
      <c r="U170" s="34">
        <v>7446</v>
      </c>
      <c r="V170" s="34">
        <v>2656</v>
      </c>
      <c r="W170">
        <v>2644</v>
      </c>
      <c r="X170">
        <v>3382</v>
      </c>
      <c r="Y170">
        <v>3372</v>
      </c>
      <c r="Z170">
        <v>3752</v>
      </c>
      <c r="AA170">
        <v>882</v>
      </c>
      <c r="AB170">
        <v>26671</v>
      </c>
      <c r="AC170">
        <v>17261</v>
      </c>
      <c r="AD170">
        <v>3173</v>
      </c>
      <c r="AE170">
        <v>2698</v>
      </c>
      <c r="AF170">
        <v>5930</v>
      </c>
      <c r="AG170">
        <v>5413</v>
      </c>
      <c r="AH170">
        <f t="shared" si="29"/>
        <v>3173</v>
      </c>
      <c r="AI170">
        <f t="shared" si="30"/>
        <v>2698</v>
      </c>
      <c r="AJ170">
        <v>16311</v>
      </c>
      <c r="AK170">
        <v>13615</v>
      </c>
      <c r="AL170">
        <v>23987</v>
      </c>
      <c r="AM170">
        <v>14304</v>
      </c>
      <c r="AN170">
        <v>316</v>
      </c>
      <c r="AO170">
        <v>316</v>
      </c>
      <c r="AP170" t="s">
        <v>11</v>
      </c>
      <c r="AQ170" t="s">
        <v>11</v>
      </c>
      <c r="AR170" t="s">
        <v>11</v>
      </c>
      <c r="AS170" t="s">
        <v>11</v>
      </c>
      <c r="AT170" t="str">
        <f t="shared" si="23"/>
        <v>NoData</v>
      </c>
      <c r="AU170" t="str">
        <f t="shared" si="24"/>
        <v>NoData</v>
      </c>
      <c r="AV170">
        <v>2</v>
      </c>
      <c r="AW170" t="s">
        <v>11</v>
      </c>
      <c r="AX170">
        <v>3</v>
      </c>
      <c r="AY170" t="s">
        <v>11</v>
      </c>
      <c r="AZ170" t="str">
        <f t="shared" si="25"/>
        <v>NoData</v>
      </c>
      <c r="BA170" t="str">
        <f t="shared" si="26"/>
        <v>NoData</v>
      </c>
      <c r="BB170">
        <f t="shared" si="31"/>
        <v>316</v>
      </c>
      <c r="BC170">
        <f t="shared" si="32"/>
        <v>316</v>
      </c>
      <c r="BD170">
        <v>169</v>
      </c>
      <c r="BE170" t="s">
        <v>11</v>
      </c>
      <c r="BF170" t="s">
        <v>11</v>
      </c>
      <c r="BG170" t="s">
        <v>11</v>
      </c>
      <c r="BH170">
        <v>0</v>
      </c>
      <c r="BI170" t="s">
        <v>11</v>
      </c>
      <c r="BJ170">
        <v>23</v>
      </c>
      <c r="BK170" t="s">
        <v>11</v>
      </c>
      <c r="BL170" t="s">
        <v>11</v>
      </c>
      <c r="BM170" t="s">
        <v>11</v>
      </c>
      <c r="BN170" t="s">
        <v>11</v>
      </c>
      <c r="BO170" t="s">
        <v>11</v>
      </c>
      <c r="BP170" t="str">
        <f t="shared" si="27"/>
        <v>NoData</v>
      </c>
      <c r="BQ170" t="str">
        <f t="shared" si="28"/>
        <v>NoData</v>
      </c>
      <c r="BR170" t="s">
        <v>11</v>
      </c>
      <c r="BS170" t="s">
        <v>11</v>
      </c>
      <c r="BT170" t="s">
        <v>11</v>
      </c>
      <c r="BU170" t="s">
        <v>11</v>
      </c>
    </row>
    <row r="171" spans="1:73" x14ac:dyDescent="0.25">
      <c r="A171" s="5">
        <v>30987</v>
      </c>
      <c r="B171">
        <v>745</v>
      </c>
      <c r="C171" t="s">
        <v>11</v>
      </c>
      <c r="D171" t="s">
        <v>11</v>
      </c>
      <c r="E171" t="s">
        <v>11</v>
      </c>
      <c r="F171">
        <v>0</v>
      </c>
      <c r="G171" t="s">
        <v>11</v>
      </c>
      <c r="H171">
        <v>0</v>
      </c>
      <c r="I171" t="s">
        <v>11</v>
      </c>
      <c r="J171">
        <v>272</v>
      </c>
      <c r="K171" t="s">
        <v>11</v>
      </c>
      <c r="L171">
        <v>23348</v>
      </c>
      <c r="M171">
        <v>1000</v>
      </c>
      <c r="N171">
        <v>233</v>
      </c>
      <c r="O171" t="s">
        <v>11</v>
      </c>
      <c r="P171" t="s">
        <v>11</v>
      </c>
      <c r="Q171" t="s">
        <v>11</v>
      </c>
      <c r="R171" t="s">
        <v>11</v>
      </c>
      <c r="S171" t="s">
        <v>11</v>
      </c>
      <c r="T171" s="34">
        <v>39535</v>
      </c>
      <c r="U171" s="34">
        <v>663</v>
      </c>
      <c r="V171" s="34">
        <v>1262</v>
      </c>
      <c r="W171">
        <v>1256</v>
      </c>
      <c r="X171">
        <v>1556</v>
      </c>
      <c r="Y171">
        <v>1551</v>
      </c>
      <c r="Z171">
        <v>2617</v>
      </c>
      <c r="AA171">
        <v>591</v>
      </c>
      <c r="AB171">
        <v>17560</v>
      </c>
      <c r="AC171">
        <v>8263</v>
      </c>
      <c r="AD171">
        <v>1723</v>
      </c>
      <c r="AE171">
        <v>1336</v>
      </c>
      <c r="AF171">
        <v>4237</v>
      </c>
      <c r="AG171">
        <v>3825</v>
      </c>
      <c r="AH171">
        <f t="shared" si="29"/>
        <v>1723</v>
      </c>
      <c r="AI171">
        <f t="shared" si="30"/>
        <v>1336</v>
      </c>
      <c r="AJ171">
        <v>10810</v>
      </c>
      <c r="AK171">
        <v>8615</v>
      </c>
      <c r="AL171">
        <v>21270</v>
      </c>
      <c r="AM171">
        <v>12422</v>
      </c>
      <c r="AN171">
        <v>75</v>
      </c>
      <c r="AO171">
        <v>75</v>
      </c>
      <c r="AP171" t="s">
        <v>11</v>
      </c>
      <c r="AQ171" t="s">
        <v>11</v>
      </c>
      <c r="AR171" t="s">
        <v>11</v>
      </c>
      <c r="AS171" t="s">
        <v>11</v>
      </c>
      <c r="AT171" t="str">
        <f t="shared" si="23"/>
        <v>NoData</v>
      </c>
      <c r="AU171" t="str">
        <f t="shared" si="24"/>
        <v>NoData</v>
      </c>
      <c r="AV171">
        <v>2</v>
      </c>
      <c r="AW171" t="s">
        <v>11</v>
      </c>
      <c r="AX171">
        <v>2</v>
      </c>
      <c r="AY171" t="s">
        <v>11</v>
      </c>
      <c r="AZ171" t="str">
        <f t="shared" si="25"/>
        <v>NoData</v>
      </c>
      <c r="BA171" t="str">
        <f t="shared" si="26"/>
        <v>NoData</v>
      </c>
      <c r="BB171">
        <f t="shared" si="31"/>
        <v>75</v>
      </c>
      <c r="BC171">
        <f t="shared" si="32"/>
        <v>75</v>
      </c>
      <c r="BD171">
        <v>2</v>
      </c>
      <c r="BE171" t="s">
        <v>11</v>
      </c>
      <c r="BF171" t="s">
        <v>11</v>
      </c>
      <c r="BG171" t="s">
        <v>11</v>
      </c>
      <c r="BH171">
        <v>30</v>
      </c>
      <c r="BI171" t="s">
        <v>11</v>
      </c>
      <c r="BJ171">
        <v>38</v>
      </c>
      <c r="BK171" t="s">
        <v>11</v>
      </c>
      <c r="BL171" t="s">
        <v>11</v>
      </c>
      <c r="BM171" t="s">
        <v>11</v>
      </c>
      <c r="BN171" t="s">
        <v>11</v>
      </c>
      <c r="BO171" t="s">
        <v>11</v>
      </c>
      <c r="BP171" t="str">
        <f t="shared" si="27"/>
        <v>NoData</v>
      </c>
      <c r="BQ171" t="str">
        <f t="shared" si="28"/>
        <v>NoData</v>
      </c>
      <c r="BR171" t="s">
        <v>11</v>
      </c>
      <c r="BS171" t="s">
        <v>11</v>
      </c>
      <c r="BT171" t="s">
        <v>11</v>
      </c>
      <c r="BU171" t="s">
        <v>11</v>
      </c>
    </row>
    <row r="172" spans="1:73" x14ac:dyDescent="0.25">
      <c r="A172" s="5">
        <v>31017</v>
      </c>
      <c r="B172">
        <v>315</v>
      </c>
      <c r="C172" t="s">
        <v>11</v>
      </c>
      <c r="D172" t="s">
        <v>11</v>
      </c>
      <c r="E172" t="s">
        <v>11</v>
      </c>
      <c r="F172">
        <v>0</v>
      </c>
      <c r="G172" t="s">
        <v>11</v>
      </c>
      <c r="H172">
        <v>0</v>
      </c>
      <c r="I172" t="s">
        <v>11</v>
      </c>
      <c r="J172">
        <v>0</v>
      </c>
      <c r="K172" t="s">
        <v>11</v>
      </c>
      <c r="L172">
        <v>2696</v>
      </c>
      <c r="M172">
        <v>-15148</v>
      </c>
      <c r="N172">
        <v>44</v>
      </c>
      <c r="O172" t="s">
        <v>11</v>
      </c>
      <c r="P172" t="s">
        <v>11</v>
      </c>
      <c r="Q172" t="s">
        <v>11</v>
      </c>
      <c r="R172" t="s">
        <v>11</v>
      </c>
      <c r="S172" t="s">
        <v>11</v>
      </c>
      <c r="T172" s="34">
        <v>20151</v>
      </c>
      <c r="U172" s="34">
        <v>-18712</v>
      </c>
      <c r="V172" s="34">
        <v>749</v>
      </c>
      <c r="W172">
        <v>745</v>
      </c>
      <c r="X172">
        <v>1053</v>
      </c>
      <c r="Y172">
        <v>1049</v>
      </c>
      <c r="Z172">
        <v>1649</v>
      </c>
      <c r="AA172">
        <v>-121</v>
      </c>
      <c r="AB172">
        <v>9939</v>
      </c>
      <c r="AC172">
        <v>1089</v>
      </c>
      <c r="AD172">
        <v>748</v>
      </c>
      <c r="AE172">
        <v>381</v>
      </c>
      <c r="AF172">
        <v>2017</v>
      </c>
      <c r="AG172">
        <v>2088</v>
      </c>
      <c r="AH172">
        <f t="shared" si="29"/>
        <v>748</v>
      </c>
      <c r="AI172">
        <f t="shared" si="30"/>
        <v>381</v>
      </c>
      <c r="AJ172">
        <v>3121</v>
      </c>
      <c r="AK172">
        <v>1042</v>
      </c>
      <c r="AL172">
        <v>8135</v>
      </c>
      <c r="AM172">
        <v>-1697</v>
      </c>
      <c r="AN172">
        <v>123</v>
      </c>
      <c r="AO172">
        <v>123</v>
      </c>
      <c r="AP172" t="s">
        <v>11</v>
      </c>
      <c r="AQ172" t="s">
        <v>11</v>
      </c>
      <c r="AR172" t="s">
        <v>11</v>
      </c>
      <c r="AS172" t="s">
        <v>11</v>
      </c>
      <c r="AT172" t="str">
        <f t="shared" si="23"/>
        <v>NoData</v>
      </c>
      <c r="AU172" t="str">
        <f t="shared" si="24"/>
        <v>NoData</v>
      </c>
      <c r="AV172">
        <v>1</v>
      </c>
      <c r="AW172" t="s">
        <v>11</v>
      </c>
      <c r="AX172">
        <v>1</v>
      </c>
      <c r="AY172" t="s">
        <v>11</v>
      </c>
      <c r="AZ172" t="str">
        <f t="shared" si="25"/>
        <v>NoData</v>
      </c>
      <c r="BA172" t="str">
        <f t="shared" si="26"/>
        <v>NoData</v>
      </c>
      <c r="BB172">
        <f t="shared" si="31"/>
        <v>123</v>
      </c>
      <c r="BC172">
        <f t="shared" si="32"/>
        <v>123</v>
      </c>
      <c r="BD172">
        <v>66</v>
      </c>
      <c r="BE172" t="s">
        <v>11</v>
      </c>
      <c r="BF172" t="s">
        <v>11</v>
      </c>
      <c r="BG172" t="s">
        <v>11</v>
      </c>
      <c r="BH172">
        <v>0</v>
      </c>
      <c r="BI172" t="s">
        <v>11</v>
      </c>
      <c r="BJ172">
        <v>50</v>
      </c>
      <c r="BK172" t="s">
        <v>11</v>
      </c>
      <c r="BL172" t="s">
        <v>11</v>
      </c>
      <c r="BM172" t="s">
        <v>11</v>
      </c>
      <c r="BN172" t="s">
        <v>11</v>
      </c>
      <c r="BO172" t="s">
        <v>11</v>
      </c>
      <c r="BP172" t="str">
        <f t="shared" si="27"/>
        <v>NoData</v>
      </c>
      <c r="BQ172" t="str">
        <f t="shared" si="28"/>
        <v>NoData</v>
      </c>
      <c r="BR172" t="s">
        <v>11</v>
      </c>
      <c r="BS172" t="s">
        <v>11</v>
      </c>
      <c r="BT172" t="s">
        <v>11</v>
      </c>
      <c r="BU172" t="s">
        <v>11</v>
      </c>
    </row>
    <row r="173" spans="1:73" x14ac:dyDescent="0.25">
      <c r="A173" s="5">
        <v>31048</v>
      </c>
      <c r="B173">
        <v>374</v>
      </c>
      <c r="C173" t="s">
        <v>11</v>
      </c>
      <c r="D173" t="s">
        <v>11</v>
      </c>
      <c r="E173" t="s">
        <v>11</v>
      </c>
      <c r="F173">
        <v>0</v>
      </c>
      <c r="G173" t="s">
        <v>11</v>
      </c>
      <c r="H173">
        <v>0</v>
      </c>
      <c r="I173" t="s">
        <v>11</v>
      </c>
      <c r="J173">
        <v>108</v>
      </c>
      <c r="K173" t="s">
        <v>11</v>
      </c>
      <c r="L173">
        <v>3959</v>
      </c>
      <c r="M173">
        <v>-11020</v>
      </c>
      <c r="N173">
        <v>26</v>
      </c>
      <c r="O173" t="s">
        <v>11</v>
      </c>
      <c r="P173" t="s">
        <v>11</v>
      </c>
      <c r="Q173" t="s">
        <v>11</v>
      </c>
      <c r="R173" t="s">
        <v>11</v>
      </c>
      <c r="S173" t="s">
        <v>11</v>
      </c>
      <c r="T173" s="34">
        <v>26563</v>
      </c>
      <c r="U173" s="34">
        <v>-3900</v>
      </c>
      <c r="V173" s="34">
        <v>1853</v>
      </c>
      <c r="W173">
        <v>1843</v>
      </c>
      <c r="X173">
        <v>2514</v>
      </c>
      <c r="Y173">
        <v>2506</v>
      </c>
      <c r="Z173">
        <v>2729</v>
      </c>
      <c r="AA173">
        <v>464</v>
      </c>
      <c r="AB173">
        <v>14897</v>
      </c>
      <c r="AC173">
        <v>7817</v>
      </c>
      <c r="AD173">
        <v>1546</v>
      </c>
      <c r="AE173">
        <v>1074</v>
      </c>
      <c r="AF173">
        <v>2522</v>
      </c>
      <c r="AG173">
        <v>2685</v>
      </c>
      <c r="AH173">
        <f t="shared" si="29"/>
        <v>1546</v>
      </c>
      <c r="AI173">
        <f t="shared" si="30"/>
        <v>1074</v>
      </c>
      <c r="AJ173">
        <v>9669</v>
      </c>
      <c r="AK173">
        <v>6997</v>
      </c>
      <c r="AL173">
        <v>13487</v>
      </c>
      <c r="AM173">
        <v>2808</v>
      </c>
      <c r="AN173">
        <v>396</v>
      </c>
      <c r="AO173">
        <v>396</v>
      </c>
      <c r="AP173" t="s">
        <v>11</v>
      </c>
      <c r="AQ173" t="s">
        <v>11</v>
      </c>
      <c r="AR173" t="s">
        <v>11</v>
      </c>
      <c r="AS173" t="s">
        <v>11</v>
      </c>
      <c r="AT173" t="str">
        <f t="shared" si="23"/>
        <v>NoData</v>
      </c>
      <c r="AU173" t="str">
        <f t="shared" si="24"/>
        <v>NoData</v>
      </c>
      <c r="AV173">
        <v>0</v>
      </c>
      <c r="AW173" t="s">
        <v>11</v>
      </c>
      <c r="AX173">
        <v>4</v>
      </c>
      <c r="AY173" t="s">
        <v>11</v>
      </c>
      <c r="AZ173" t="str">
        <f t="shared" si="25"/>
        <v>NoData</v>
      </c>
      <c r="BA173" t="str">
        <f t="shared" si="26"/>
        <v>NoData</v>
      </c>
      <c r="BB173">
        <f t="shared" si="31"/>
        <v>396</v>
      </c>
      <c r="BC173">
        <f t="shared" si="32"/>
        <v>396</v>
      </c>
      <c r="BD173">
        <v>0</v>
      </c>
      <c r="BE173" t="s">
        <v>11</v>
      </c>
      <c r="BF173" t="s">
        <v>11</v>
      </c>
      <c r="BG173" t="s">
        <v>11</v>
      </c>
      <c r="BH173" t="s">
        <v>11</v>
      </c>
      <c r="BI173" t="s">
        <v>11</v>
      </c>
      <c r="BJ173">
        <v>67</v>
      </c>
      <c r="BK173" t="s">
        <v>11</v>
      </c>
      <c r="BL173" t="s">
        <v>11</v>
      </c>
      <c r="BM173" t="s">
        <v>11</v>
      </c>
      <c r="BN173">
        <v>0</v>
      </c>
      <c r="BO173" t="s">
        <v>11</v>
      </c>
      <c r="BP173" t="str">
        <f t="shared" si="27"/>
        <v>NoData</v>
      </c>
      <c r="BQ173" t="str">
        <f t="shared" si="28"/>
        <v>NoData</v>
      </c>
      <c r="BR173" t="s">
        <v>11</v>
      </c>
      <c r="BS173" t="s">
        <v>11</v>
      </c>
      <c r="BT173" t="s">
        <v>11</v>
      </c>
      <c r="BU173" t="s">
        <v>11</v>
      </c>
    </row>
    <row r="174" spans="1:73" x14ac:dyDescent="0.25">
      <c r="A174" s="5">
        <v>31079</v>
      </c>
      <c r="B174">
        <v>685</v>
      </c>
      <c r="C174" t="s">
        <v>11</v>
      </c>
      <c r="D174" t="s">
        <v>11</v>
      </c>
      <c r="E174" t="s">
        <v>11</v>
      </c>
      <c r="F174">
        <v>0</v>
      </c>
      <c r="G174" t="s">
        <v>11</v>
      </c>
      <c r="H174">
        <v>0</v>
      </c>
      <c r="I174" t="s">
        <v>11</v>
      </c>
      <c r="J174">
        <v>456</v>
      </c>
      <c r="K174" t="s">
        <v>11</v>
      </c>
      <c r="L174">
        <v>24403</v>
      </c>
      <c r="M174">
        <v>7643</v>
      </c>
      <c r="N174">
        <v>41</v>
      </c>
      <c r="O174" t="s">
        <v>11</v>
      </c>
      <c r="P174" t="s">
        <v>11</v>
      </c>
      <c r="Q174" t="s">
        <v>11</v>
      </c>
      <c r="R174" t="s">
        <v>11</v>
      </c>
      <c r="S174" t="s">
        <v>11</v>
      </c>
      <c r="T174" s="34">
        <v>54848</v>
      </c>
      <c r="U174" s="34">
        <v>24831</v>
      </c>
      <c r="V174" s="34">
        <v>2429</v>
      </c>
      <c r="W174">
        <v>2415</v>
      </c>
      <c r="X174">
        <v>2995</v>
      </c>
      <c r="Y174">
        <v>2984</v>
      </c>
      <c r="Z174">
        <v>3639</v>
      </c>
      <c r="AA174">
        <v>1275</v>
      </c>
      <c r="AB174">
        <v>18923</v>
      </c>
      <c r="AC174">
        <v>12006</v>
      </c>
      <c r="AD174">
        <v>1804</v>
      </c>
      <c r="AE174">
        <v>1170</v>
      </c>
      <c r="AF174">
        <v>3522</v>
      </c>
      <c r="AG174">
        <v>3402</v>
      </c>
      <c r="AH174">
        <f t="shared" si="29"/>
        <v>1804</v>
      </c>
      <c r="AI174">
        <f t="shared" si="30"/>
        <v>1170</v>
      </c>
      <c r="AJ174">
        <v>10013</v>
      </c>
      <c r="AK174">
        <v>6423</v>
      </c>
      <c r="AL174">
        <v>21914</v>
      </c>
      <c r="AM174">
        <v>11556</v>
      </c>
      <c r="AN174">
        <v>269</v>
      </c>
      <c r="AO174">
        <v>267</v>
      </c>
      <c r="AP174" t="s">
        <v>11</v>
      </c>
      <c r="AQ174" t="s">
        <v>11</v>
      </c>
      <c r="AR174" t="s">
        <v>11</v>
      </c>
      <c r="AS174" t="s">
        <v>11</v>
      </c>
      <c r="AT174" t="str">
        <f t="shared" si="23"/>
        <v>NoData</v>
      </c>
      <c r="AU174" t="str">
        <f t="shared" si="24"/>
        <v>NoData</v>
      </c>
      <c r="AV174">
        <v>0</v>
      </c>
      <c r="AW174" t="s">
        <v>11</v>
      </c>
      <c r="AX174">
        <v>4</v>
      </c>
      <c r="AY174" t="s">
        <v>11</v>
      </c>
      <c r="AZ174" t="str">
        <f t="shared" si="25"/>
        <v>NoData</v>
      </c>
      <c r="BA174" t="str">
        <f t="shared" si="26"/>
        <v>NoData</v>
      </c>
      <c r="BB174">
        <f t="shared" si="31"/>
        <v>269</v>
      </c>
      <c r="BC174">
        <f t="shared" si="32"/>
        <v>267</v>
      </c>
      <c r="BD174">
        <v>91</v>
      </c>
      <c r="BE174" t="s">
        <v>11</v>
      </c>
      <c r="BF174" t="s">
        <v>11</v>
      </c>
      <c r="BG174" t="s">
        <v>11</v>
      </c>
      <c r="BH174" t="s">
        <v>11</v>
      </c>
      <c r="BI174" t="s">
        <v>11</v>
      </c>
      <c r="BJ174">
        <v>80</v>
      </c>
      <c r="BK174" t="s">
        <v>11</v>
      </c>
      <c r="BL174" t="s">
        <v>11</v>
      </c>
      <c r="BM174" t="s">
        <v>11</v>
      </c>
      <c r="BN174">
        <v>40</v>
      </c>
      <c r="BO174" t="s">
        <v>11</v>
      </c>
      <c r="BP174" t="str">
        <f t="shared" si="27"/>
        <v>NoData</v>
      </c>
      <c r="BQ174" t="str">
        <f t="shared" si="28"/>
        <v>NoData</v>
      </c>
      <c r="BR174" t="s">
        <v>11</v>
      </c>
      <c r="BS174" t="s">
        <v>11</v>
      </c>
      <c r="BT174" t="s">
        <v>11</v>
      </c>
      <c r="BU174" t="s">
        <v>11</v>
      </c>
    </row>
    <row r="175" spans="1:73" x14ac:dyDescent="0.25">
      <c r="A175" s="5">
        <v>31107</v>
      </c>
      <c r="B175">
        <v>1284</v>
      </c>
      <c r="C175" t="s">
        <v>11</v>
      </c>
      <c r="D175" t="s">
        <v>11</v>
      </c>
      <c r="E175" t="s">
        <v>11</v>
      </c>
      <c r="F175">
        <v>0</v>
      </c>
      <c r="G175" t="s">
        <v>11</v>
      </c>
      <c r="H175">
        <v>0</v>
      </c>
      <c r="I175" t="s">
        <v>11</v>
      </c>
      <c r="J175">
        <v>2660</v>
      </c>
      <c r="K175" t="s">
        <v>11</v>
      </c>
      <c r="L175">
        <v>58642</v>
      </c>
      <c r="M175">
        <v>35823</v>
      </c>
      <c r="N175">
        <v>234</v>
      </c>
      <c r="O175" t="s">
        <v>11</v>
      </c>
      <c r="P175" t="s">
        <v>11</v>
      </c>
      <c r="Q175" t="s">
        <v>11</v>
      </c>
      <c r="R175" t="s">
        <v>11</v>
      </c>
      <c r="S175" t="s">
        <v>11</v>
      </c>
      <c r="T175" s="34">
        <v>81919</v>
      </c>
      <c r="U175" s="34">
        <v>41648</v>
      </c>
      <c r="V175" s="34">
        <v>3069</v>
      </c>
      <c r="W175">
        <v>3055</v>
      </c>
      <c r="X175">
        <v>4256</v>
      </c>
      <c r="Y175">
        <v>4243</v>
      </c>
      <c r="Z175">
        <v>4680</v>
      </c>
      <c r="AA175">
        <v>1971</v>
      </c>
      <c r="AB175">
        <v>27659</v>
      </c>
      <c r="AC175">
        <v>19578</v>
      </c>
      <c r="AD175">
        <v>2085</v>
      </c>
      <c r="AE175">
        <v>1544</v>
      </c>
      <c r="AF175">
        <v>5174</v>
      </c>
      <c r="AG175">
        <v>4868</v>
      </c>
      <c r="AH175">
        <f t="shared" si="29"/>
        <v>2085</v>
      </c>
      <c r="AI175">
        <f t="shared" si="30"/>
        <v>1544</v>
      </c>
      <c r="AJ175">
        <v>14138</v>
      </c>
      <c r="AK175">
        <v>11071</v>
      </c>
      <c r="AL175">
        <v>33627</v>
      </c>
      <c r="AM175">
        <v>22159</v>
      </c>
      <c r="AN175">
        <v>749</v>
      </c>
      <c r="AO175">
        <v>749</v>
      </c>
      <c r="AP175" t="s">
        <v>11</v>
      </c>
      <c r="AQ175" t="s">
        <v>11</v>
      </c>
      <c r="AR175" t="s">
        <v>11</v>
      </c>
      <c r="AS175" t="s">
        <v>11</v>
      </c>
      <c r="AT175" t="str">
        <f t="shared" si="23"/>
        <v>NoData</v>
      </c>
      <c r="AU175" t="str">
        <f t="shared" si="24"/>
        <v>NoData</v>
      </c>
      <c r="AV175">
        <v>0</v>
      </c>
      <c r="AW175" t="s">
        <v>11</v>
      </c>
      <c r="AX175">
        <v>4</v>
      </c>
      <c r="AY175" t="s">
        <v>11</v>
      </c>
      <c r="AZ175" t="str">
        <f t="shared" si="25"/>
        <v>NoData</v>
      </c>
      <c r="BA175" t="str">
        <f t="shared" si="26"/>
        <v>NoData</v>
      </c>
      <c r="BB175">
        <f t="shared" si="31"/>
        <v>749</v>
      </c>
      <c r="BC175">
        <f t="shared" si="32"/>
        <v>749</v>
      </c>
      <c r="BD175">
        <v>634</v>
      </c>
      <c r="BE175" t="s">
        <v>11</v>
      </c>
      <c r="BF175" t="s">
        <v>11</v>
      </c>
      <c r="BG175" t="s">
        <v>11</v>
      </c>
      <c r="BH175" t="s">
        <v>11</v>
      </c>
      <c r="BI175" t="s">
        <v>11</v>
      </c>
      <c r="BJ175">
        <v>58</v>
      </c>
      <c r="BK175" t="s">
        <v>11</v>
      </c>
      <c r="BL175" t="s">
        <v>11</v>
      </c>
      <c r="BM175" t="s">
        <v>11</v>
      </c>
      <c r="BN175">
        <v>22</v>
      </c>
      <c r="BO175" t="s">
        <v>11</v>
      </c>
      <c r="BP175" t="str">
        <f t="shared" si="27"/>
        <v>NoData</v>
      </c>
      <c r="BQ175" t="str">
        <f t="shared" si="28"/>
        <v>NoData</v>
      </c>
      <c r="BR175" t="s">
        <v>11</v>
      </c>
      <c r="BS175" t="s">
        <v>11</v>
      </c>
      <c r="BT175" t="s">
        <v>11</v>
      </c>
      <c r="BU175" t="s">
        <v>11</v>
      </c>
    </row>
    <row r="176" spans="1:73" x14ac:dyDescent="0.25">
      <c r="A176" s="5">
        <v>31138</v>
      </c>
      <c r="B176">
        <v>2322</v>
      </c>
      <c r="C176" t="s">
        <v>11</v>
      </c>
      <c r="D176" t="s">
        <v>11</v>
      </c>
      <c r="E176" t="s">
        <v>11</v>
      </c>
      <c r="F176">
        <v>10920</v>
      </c>
      <c r="G176" t="s">
        <v>11</v>
      </c>
      <c r="H176">
        <v>4138</v>
      </c>
      <c r="I176" t="s">
        <v>11</v>
      </c>
      <c r="J176">
        <v>1686</v>
      </c>
      <c r="K176" t="s">
        <v>11</v>
      </c>
      <c r="L176">
        <v>61792</v>
      </c>
      <c r="M176">
        <v>35646</v>
      </c>
      <c r="N176">
        <v>486</v>
      </c>
      <c r="O176" t="s">
        <v>11</v>
      </c>
      <c r="P176" t="s">
        <v>11</v>
      </c>
      <c r="Q176" t="s">
        <v>11</v>
      </c>
      <c r="R176" t="s">
        <v>11</v>
      </c>
      <c r="S176" t="s">
        <v>11</v>
      </c>
      <c r="T176" s="34">
        <v>98858</v>
      </c>
      <c r="U176" s="34">
        <v>58103</v>
      </c>
      <c r="V176" s="34">
        <v>3364</v>
      </c>
      <c r="W176">
        <v>3347</v>
      </c>
      <c r="X176">
        <v>6113</v>
      </c>
      <c r="Y176">
        <v>6095</v>
      </c>
      <c r="Z176">
        <v>6029</v>
      </c>
      <c r="AA176">
        <v>2663</v>
      </c>
      <c r="AB176">
        <v>33925</v>
      </c>
      <c r="AC176">
        <v>25766</v>
      </c>
      <c r="AD176">
        <v>3907</v>
      </c>
      <c r="AE176">
        <v>3413</v>
      </c>
      <c r="AF176">
        <v>7012</v>
      </c>
      <c r="AG176">
        <v>6630</v>
      </c>
      <c r="AH176">
        <f t="shared" si="29"/>
        <v>3907</v>
      </c>
      <c r="AI176">
        <f t="shared" si="30"/>
        <v>3413</v>
      </c>
      <c r="AJ176">
        <v>24908</v>
      </c>
      <c r="AK176">
        <v>22107</v>
      </c>
      <c r="AL176">
        <v>47775</v>
      </c>
      <c r="AM176">
        <v>36158</v>
      </c>
      <c r="AN176">
        <v>1225</v>
      </c>
      <c r="AO176">
        <v>1225</v>
      </c>
      <c r="AP176" t="s">
        <v>11</v>
      </c>
      <c r="AQ176" t="s">
        <v>11</v>
      </c>
      <c r="AR176" t="s">
        <v>11</v>
      </c>
      <c r="AS176" t="s">
        <v>11</v>
      </c>
      <c r="AT176" t="str">
        <f t="shared" si="23"/>
        <v>NoData</v>
      </c>
      <c r="AU176" t="str">
        <f t="shared" si="24"/>
        <v>NoData</v>
      </c>
      <c r="AV176">
        <v>1</v>
      </c>
      <c r="AW176" t="s">
        <v>11</v>
      </c>
      <c r="AX176">
        <v>4</v>
      </c>
      <c r="AY176" t="s">
        <v>11</v>
      </c>
      <c r="AZ176" t="str">
        <f t="shared" si="25"/>
        <v>NoData</v>
      </c>
      <c r="BA176" t="str">
        <f t="shared" si="26"/>
        <v>NoData</v>
      </c>
      <c r="BB176">
        <f t="shared" si="31"/>
        <v>1225</v>
      </c>
      <c r="BC176">
        <f t="shared" si="32"/>
        <v>1225</v>
      </c>
      <c r="BD176">
        <v>596</v>
      </c>
      <c r="BE176" t="s">
        <v>11</v>
      </c>
      <c r="BF176" t="s">
        <v>11</v>
      </c>
      <c r="BG176" t="s">
        <v>11</v>
      </c>
      <c r="BH176" t="s">
        <v>11</v>
      </c>
      <c r="BI176" t="s">
        <v>11</v>
      </c>
      <c r="BJ176">
        <v>47</v>
      </c>
      <c r="BK176" t="s">
        <v>11</v>
      </c>
      <c r="BL176" t="s">
        <v>11</v>
      </c>
      <c r="BM176" t="s">
        <v>11</v>
      </c>
      <c r="BN176">
        <v>51</v>
      </c>
      <c r="BO176" t="s">
        <v>11</v>
      </c>
      <c r="BP176" t="str">
        <f t="shared" si="27"/>
        <v>NoData</v>
      </c>
      <c r="BQ176" t="str">
        <f t="shared" si="28"/>
        <v>NoData</v>
      </c>
      <c r="BR176" t="s">
        <v>11</v>
      </c>
      <c r="BS176" t="s">
        <v>11</v>
      </c>
      <c r="BT176" t="s">
        <v>11</v>
      </c>
      <c r="BU176" t="s">
        <v>11</v>
      </c>
    </row>
    <row r="177" spans="1:73" x14ac:dyDescent="0.25">
      <c r="A177" s="5">
        <v>31168</v>
      </c>
      <c r="B177">
        <v>2871</v>
      </c>
      <c r="C177" t="s">
        <v>11</v>
      </c>
      <c r="D177" t="s">
        <v>11</v>
      </c>
      <c r="E177" t="s">
        <v>11</v>
      </c>
      <c r="F177">
        <v>8748</v>
      </c>
      <c r="G177" t="s">
        <v>11</v>
      </c>
      <c r="H177">
        <v>3316</v>
      </c>
      <c r="I177" t="s">
        <v>11</v>
      </c>
      <c r="J177">
        <v>2397</v>
      </c>
      <c r="K177" t="s">
        <v>11</v>
      </c>
      <c r="L177">
        <v>67510</v>
      </c>
      <c r="M177">
        <v>41442</v>
      </c>
      <c r="N177">
        <v>1262</v>
      </c>
      <c r="O177" t="s">
        <v>11</v>
      </c>
      <c r="P177" t="s">
        <v>11</v>
      </c>
      <c r="Q177" t="s">
        <v>11</v>
      </c>
      <c r="R177" t="s">
        <v>11</v>
      </c>
      <c r="S177" t="s">
        <v>11</v>
      </c>
      <c r="T177" s="34">
        <v>97013</v>
      </c>
      <c r="U177" s="34">
        <v>53112</v>
      </c>
      <c r="V177" s="34">
        <v>2424</v>
      </c>
      <c r="W177">
        <v>2410</v>
      </c>
      <c r="X177">
        <v>5342</v>
      </c>
      <c r="Y177">
        <v>5323</v>
      </c>
      <c r="Z177">
        <v>6024</v>
      </c>
      <c r="AA177">
        <v>2761</v>
      </c>
      <c r="AB177">
        <v>25655</v>
      </c>
      <c r="AC177">
        <v>17089</v>
      </c>
      <c r="AD177">
        <v>3683</v>
      </c>
      <c r="AE177">
        <v>3172</v>
      </c>
      <c r="AF177">
        <v>6104</v>
      </c>
      <c r="AG177">
        <v>5796</v>
      </c>
      <c r="AH177">
        <f t="shared" si="29"/>
        <v>3683</v>
      </c>
      <c r="AI177">
        <f t="shared" si="30"/>
        <v>3172</v>
      </c>
      <c r="AJ177">
        <v>27332</v>
      </c>
      <c r="AK177">
        <v>24436</v>
      </c>
      <c r="AL177">
        <v>40508</v>
      </c>
      <c r="AM177">
        <v>28575</v>
      </c>
      <c r="AN177">
        <v>1013</v>
      </c>
      <c r="AO177">
        <v>1012</v>
      </c>
      <c r="AP177" t="s">
        <v>11</v>
      </c>
      <c r="AQ177" t="s">
        <v>11</v>
      </c>
      <c r="AR177" t="s">
        <v>11</v>
      </c>
      <c r="AS177" t="s">
        <v>11</v>
      </c>
      <c r="AT177" t="str">
        <f t="shared" si="23"/>
        <v>NoData</v>
      </c>
      <c r="AU177" t="str">
        <f t="shared" si="24"/>
        <v>NoData</v>
      </c>
      <c r="AV177">
        <v>1</v>
      </c>
      <c r="AW177" t="s">
        <v>11</v>
      </c>
      <c r="AX177">
        <v>4</v>
      </c>
      <c r="AY177" t="s">
        <v>11</v>
      </c>
      <c r="AZ177" t="str">
        <f t="shared" si="25"/>
        <v>NoData</v>
      </c>
      <c r="BA177" t="str">
        <f t="shared" si="26"/>
        <v>NoData</v>
      </c>
      <c r="BB177">
        <f t="shared" si="31"/>
        <v>1013</v>
      </c>
      <c r="BC177">
        <f t="shared" si="32"/>
        <v>1012</v>
      </c>
      <c r="BD177">
        <v>158</v>
      </c>
      <c r="BE177" t="s">
        <v>11</v>
      </c>
      <c r="BF177" t="s">
        <v>11</v>
      </c>
      <c r="BG177" t="s">
        <v>11</v>
      </c>
      <c r="BH177" t="s">
        <v>11</v>
      </c>
      <c r="BI177" t="s">
        <v>11</v>
      </c>
      <c r="BJ177">
        <v>104</v>
      </c>
      <c r="BK177" t="s">
        <v>11</v>
      </c>
      <c r="BL177" t="s">
        <v>11</v>
      </c>
      <c r="BM177" t="s">
        <v>11</v>
      </c>
      <c r="BN177">
        <v>39</v>
      </c>
      <c r="BO177" t="s">
        <v>11</v>
      </c>
      <c r="BP177" t="str">
        <f t="shared" si="27"/>
        <v>NoData</v>
      </c>
      <c r="BQ177" t="str">
        <f t="shared" si="28"/>
        <v>NoData</v>
      </c>
      <c r="BR177" t="s">
        <v>11</v>
      </c>
      <c r="BS177" t="s">
        <v>11</v>
      </c>
      <c r="BT177" t="s">
        <v>11</v>
      </c>
      <c r="BU177" t="s">
        <v>11</v>
      </c>
    </row>
    <row r="178" spans="1:73" x14ac:dyDescent="0.25">
      <c r="A178" s="5">
        <v>31199</v>
      </c>
      <c r="B178">
        <v>2306</v>
      </c>
      <c r="C178" t="s">
        <v>11</v>
      </c>
      <c r="D178" t="s">
        <v>11</v>
      </c>
      <c r="E178" t="s">
        <v>11</v>
      </c>
      <c r="F178">
        <v>3557</v>
      </c>
      <c r="G178" t="s">
        <v>11</v>
      </c>
      <c r="H178">
        <v>1348</v>
      </c>
      <c r="I178" t="s">
        <v>11</v>
      </c>
      <c r="J178">
        <v>3112</v>
      </c>
      <c r="K178" t="s">
        <v>11</v>
      </c>
      <c r="L178">
        <v>70234</v>
      </c>
      <c r="M178">
        <v>46041</v>
      </c>
      <c r="N178">
        <v>522</v>
      </c>
      <c r="O178" t="s">
        <v>11</v>
      </c>
      <c r="P178" t="s">
        <v>11</v>
      </c>
      <c r="Q178" t="s">
        <v>11</v>
      </c>
      <c r="R178" t="s">
        <v>11</v>
      </c>
      <c r="S178" t="s">
        <v>11</v>
      </c>
      <c r="T178" s="34">
        <v>104907</v>
      </c>
      <c r="U178" s="34">
        <v>62157</v>
      </c>
      <c r="V178" s="34">
        <v>2033</v>
      </c>
      <c r="W178">
        <v>2022</v>
      </c>
      <c r="X178">
        <v>4205</v>
      </c>
      <c r="Y178">
        <v>4190</v>
      </c>
      <c r="Z178">
        <v>4601</v>
      </c>
      <c r="AA178">
        <v>1590</v>
      </c>
      <c r="AB178">
        <v>25945</v>
      </c>
      <c r="AC178">
        <v>17982</v>
      </c>
      <c r="AD178">
        <v>3815</v>
      </c>
      <c r="AE178">
        <v>3568</v>
      </c>
      <c r="AF178">
        <v>4453</v>
      </c>
      <c r="AG178">
        <v>4333</v>
      </c>
      <c r="AH178">
        <f t="shared" si="29"/>
        <v>3815</v>
      </c>
      <c r="AI178">
        <f t="shared" si="30"/>
        <v>3568</v>
      </c>
      <c r="AJ178">
        <v>30303</v>
      </c>
      <c r="AK178">
        <v>28899</v>
      </c>
      <c r="AL178">
        <v>46453</v>
      </c>
      <c r="AM178">
        <v>37541</v>
      </c>
      <c r="AN178">
        <v>838</v>
      </c>
      <c r="AO178">
        <v>837</v>
      </c>
      <c r="AP178" t="s">
        <v>11</v>
      </c>
      <c r="AQ178" t="s">
        <v>11</v>
      </c>
      <c r="AR178" t="s">
        <v>11</v>
      </c>
      <c r="AS178" t="s">
        <v>11</v>
      </c>
      <c r="AT178" t="str">
        <f t="shared" si="23"/>
        <v>NoData</v>
      </c>
      <c r="AU178" t="str">
        <f t="shared" si="24"/>
        <v>NoData</v>
      </c>
      <c r="AV178">
        <v>1</v>
      </c>
      <c r="AW178" t="s">
        <v>11</v>
      </c>
      <c r="AX178">
        <v>4</v>
      </c>
      <c r="AY178" t="s">
        <v>11</v>
      </c>
      <c r="AZ178" t="str">
        <f t="shared" si="25"/>
        <v>NoData</v>
      </c>
      <c r="BA178" t="str">
        <f t="shared" si="26"/>
        <v>NoData</v>
      </c>
      <c r="BB178">
        <f t="shared" si="31"/>
        <v>838</v>
      </c>
      <c r="BC178">
        <f t="shared" si="32"/>
        <v>837</v>
      </c>
      <c r="BD178">
        <v>0</v>
      </c>
      <c r="BE178" t="s">
        <v>11</v>
      </c>
      <c r="BF178" t="s">
        <v>11</v>
      </c>
      <c r="BG178" t="s">
        <v>11</v>
      </c>
      <c r="BH178" t="s">
        <v>11</v>
      </c>
      <c r="BI178" t="s">
        <v>11</v>
      </c>
      <c r="BJ178">
        <v>43</v>
      </c>
      <c r="BK178" t="s">
        <v>11</v>
      </c>
      <c r="BL178" t="s">
        <v>11</v>
      </c>
      <c r="BM178" t="s">
        <v>11</v>
      </c>
      <c r="BN178">
        <v>32</v>
      </c>
      <c r="BO178" t="s">
        <v>11</v>
      </c>
      <c r="BP178" t="str">
        <f t="shared" si="27"/>
        <v>NoData</v>
      </c>
      <c r="BQ178" t="str">
        <f t="shared" si="28"/>
        <v>NoData</v>
      </c>
      <c r="BR178" t="s">
        <v>11</v>
      </c>
      <c r="BS178" t="s">
        <v>11</v>
      </c>
      <c r="BT178" t="s">
        <v>11</v>
      </c>
      <c r="BU178" t="s">
        <v>11</v>
      </c>
    </row>
    <row r="179" spans="1:73" x14ac:dyDescent="0.25">
      <c r="A179" s="5">
        <v>31229</v>
      </c>
      <c r="B179">
        <v>3197</v>
      </c>
      <c r="C179" t="s">
        <v>11</v>
      </c>
      <c r="D179" t="s">
        <v>11</v>
      </c>
      <c r="E179" t="s">
        <v>11</v>
      </c>
      <c r="F179">
        <v>10982</v>
      </c>
      <c r="G179" t="s">
        <v>11</v>
      </c>
      <c r="H179">
        <v>4162</v>
      </c>
      <c r="I179" t="s">
        <v>11</v>
      </c>
      <c r="J179">
        <v>3270</v>
      </c>
      <c r="K179" t="s">
        <v>11</v>
      </c>
      <c r="L179">
        <v>79935</v>
      </c>
      <c r="M179">
        <v>55371</v>
      </c>
      <c r="N179">
        <v>893</v>
      </c>
      <c r="O179" t="s">
        <v>11</v>
      </c>
      <c r="P179" t="s">
        <v>11</v>
      </c>
      <c r="Q179" t="s">
        <v>11</v>
      </c>
      <c r="R179" t="s">
        <v>11</v>
      </c>
      <c r="S179" t="s">
        <v>11</v>
      </c>
      <c r="T179" s="34">
        <v>109291</v>
      </c>
      <c r="U179" s="34">
        <v>62891</v>
      </c>
      <c r="V179" s="34">
        <v>3335</v>
      </c>
      <c r="W179">
        <v>3314</v>
      </c>
      <c r="X179">
        <v>4690</v>
      </c>
      <c r="Y179">
        <v>4672</v>
      </c>
      <c r="Z179">
        <v>5330</v>
      </c>
      <c r="AA179">
        <v>1806</v>
      </c>
      <c r="AB179">
        <v>30333</v>
      </c>
      <c r="AC179">
        <v>21762</v>
      </c>
      <c r="AD179">
        <v>4561</v>
      </c>
      <c r="AE179">
        <v>4315</v>
      </c>
      <c r="AF179">
        <v>5209</v>
      </c>
      <c r="AG179">
        <v>5217</v>
      </c>
      <c r="AH179">
        <f t="shared" si="29"/>
        <v>4561</v>
      </c>
      <c r="AI179">
        <f t="shared" si="30"/>
        <v>4315</v>
      </c>
      <c r="AJ179">
        <v>33069</v>
      </c>
      <c r="AK179">
        <v>31676</v>
      </c>
      <c r="AL179">
        <v>50390</v>
      </c>
      <c r="AM179">
        <v>41978</v>
      </c>
      <c r="AN179">
        <v>1218</v>
      </c>
      <c r="AO179">
        <v>1216</v>
      </c>
      <c r="AP179" t="s">
        <v>11</v>
      </c>
      <c r="AQ179" t="s">
        <v>11</v>
      </c>
      <c r="AR179" t="s">
        <v>11</v>
      </c>
      <c r="AS179" t="s">
        <v>11</v>
      </c>
      <c r="AT179" t="str">
        <f t="shared" si="23"/>
        <v>NoData</v>
      </c>
      <c r="AU179" t="str">
        <f t="shared" si="24"/>
        <v>NoData</v>
      </c>
      <c r="AV179">
        <v>1</v>
      </c>
      <c r="AW179" t="s">
        <v>11</v>
      </c>
      <c r="AX179">
        <v>4</v>
      </c>
      <c r="AY179" t="s">
        <v>11</v>
      </c>
      <c r="AZ179" t="str">
        <f t="shared" si="25"/>
        <v>NoData</v>
      </c>
      <c r="BA179" t="str">
        <f t="shared" si="26"/>
        <v>NoData</v>
      </c>
      <c r="BB179">
        <f t="shared" si="31"/>
        <v>1218</v>
      </c>
      <c r="BC179">
        <f t="shared" si="32"/>
        <v>1216</v>
      </c>
      <c r="BD179">
        <v>13</v>
      </c>
      <c r="BE179" t="s">
        <v>11</v>
      </c>
      <c r="BF179" t="s">
        <v>11</v>
      </c>
      <c r="BG179" t="s">
        <v>11</v>
      </c>
      <c r="BH179" t="s">
        <v>11</v>
      </c>
      <c r="BI179" t="s">
        <v>11</v>
      </c>
      <c r="BJ179">
        <v>78</v>
      </c>
      <c r="BK179" t="s">
        <v>11</v>
      </c>
      <c r="BL179" t="s">
        <v>11</v>
      </c>
      <c r="BM179" t="s">
        <v>11</v>
      </c>
      <c r="BN179">
        <v>24</v>
      </c>
      <c r="BO179" t="s">
        <v>11</v>
      </c>
      <c r="BP179" t="str">
        <f t="shared" si="27"/>
        <v>NoData</v>
      </c>
      <c r="BQ179" t="str">
        <f t="shared" si="28"/>
        <v>NoData</v>
      </c>
      <c r="BR179" t="s">
        <v>11</v>
      </c>
      <c r="BS179" t="s">
        <v>11</v>
      </c>
      <c r="BT179" t="s">
        <v>11</v>
      </c>
      <c r="BU179" t="s">
        <v>11</v>
      </c>
    </row>
    <row r="180" spans="1:73" x14ac:dyDescent="0.25">
      <c r="A180" s="5">
        <v>31260</v>
      </c>
      <c r="B180">
        <v>2868</v>
      </c>
      <c r="C180" t="s">
        <v>11</v>
      </c>
      <c r="D180" t="s">
        <v>11</v>
      </c>
      <c r="E180" t="s">
        <v>11</v>
      </c>
      <c r="F180">
        <v>9503</v>
      </c>
      <c r="G180" t="s">
        <v>11</v>
      </c>
      <c r="H180">
        <v>3602</v>
      </c>
      <c r="I180" t="s">
        <v>11</v>
      </c>
      <c r="J180">
        <v>2822</v>
      </c>
      <c r="K180" t="s">
        <v>11</v>
      </c>
      <c r="L180">
        <v>80536</v>
      </c>
      <c r="M180">
        <v>54177</v>
      </c>
      <c r="N180">
        <v>1200</v>
      </c>
      <c r="O180" t="s">
        <v>11</v>
      </c>
      <c r="P180" t="s">
        <v>11</v>
      </c>
      <c r="Q180" t="s">
        <v>11</v>
      </c>
      <c r="R180" t="s">
        <v>11</v>
      </c>
      <c r="S180" t="s">
        <v>11</v>
      </c>
      <c r="T180" s="34">
        <v>108180</v>
      </c>
      <c r="U180" s="34">
        <v>60437</v>
      </c>
      <c r="V180" s="34">
        <v>2986</v>
      </c>
      <c r="W180">
        <v>2967</v>
      </c>
      <c r="X180">
        <v>4353</v>
      </c>
      <c r="Y180">
        <v>4335</v>
      </c>
      <c r="Z180">
        <v>3496</v>
      </c>
      <c r="AA180">
        <v>957</v>
      </c>
      <c r="AB180">
        <v>28431</v>
      </c>
      <c r="AC180">
        <v>19216</v>
      </c>
      <c r="AD180">
        <v>4221</v>
      </c>
      <c r="AE180">
        <v>3887</v>
      </c>
      <c r="AF180">
        <v>6066</v>
      </c>
      <c r="AG180">
        <v>5930</v>
      </c>
      <c r="AH180">
        <f t="shared" si="29"/>
        <v>4221</v>
      </c>
      <c r="AI180">
        <f t="shared" si="30"/>
        <v>3887</v>
      </c>
      <c r="AJ180">
        <v>30512</v>
      </c>
      <c r="AK180">
        <v>28623</v>
      </c>
      <c r="AL180">
        <v>54544</v>
      </c>
      <c r="AM180">
        <v>45349</v>
      </c>
      <c r="AN180">
        <v>1431</v>
      </c>
      <c r="AO180">
        <v>1429</v>
      </c>
      <c r="AP180" t="s">
        <v>11</v>
      </c>
      <c r="AQ180" t="s">
        <v>11</v>
      </c>
      <c r="AR180" t="s">
        <v>11</v>
      </c>
      <c r="AS180" t="s">
        <v>11</v>
      </c>
      <c r="AT180" t="str">
        <f t="shared" si="23"/>
        <v>NoData</v>
      </c>
      <c r="AU180" t="str">
        <f t="shared" si="24"/>
        <v>NoData</v>
      </c>
      <c r="AV180">
        <v>1</v>
      </c>
      <c r="AW180" t="s">
        <v>11</v>
      </c>
      <c r="AX180">
        <v>4</v>
      </c>
      <c r="AY180" t="s">
        <v>11</v>
      </c>
      <c r="AZ180" t="str">
        <f t="shared" si="25"/>
        <v>NoData</v>
      </c>
      <c r="BA180" t="str">
        <f t="shared" si="26"/>
        <v>NoData</v>
      </c>
      <c r="BB180">
        <f t="shared" si="31"/>
        <v>1431</v>
      </c>
      <c r="BC180">
        <f t="shared" si="32"/>
        <v>1429</v>
      </c>
      <c r="BD180">
        <v>0</v>
      </c>
      <c r="BE180" t="s">
        <v>11</v>
      </c>
      <c r="BF180" t="s">
        <v>11</v>
      </c>
      <c r="BG180" t="s">
        <v>11</v>
      </c>
      <c r="BH180" t="s">
        <v>11</v>
      </c>
      <c r="BI180" t="s">
        <v>11</v>
      </c>
      <c r="BJ180">
        <v>79</v>
      </c>
      <c r="BK180" t="s">
        <v>11</v>
      </c>
      <c r="BL180" t="s">
        <v>11</v>
      </c>
      <c r="BM180" t="s">
        <v>11</v>
      </c>
      <c r="BN180">
        <v>37</v>
      </c>
      <c r="BO180" t="s">
        <v>11</v>
      </c>
      <c r="BP180" t="str">
        <f t="shared" si="27"/>
        <v>NoData</v>
      </c>
      <c r="BQ180" t="str">
        <f t="shared" si="28"/>
        <v>NoData</v>
      </c>
      <c r="BR180" t="s">
        <v>11</v>
      </c>
      <c r="BS180" t="s">
        <v>11</v>
      </c>
      <c r="BT180" t="s">
        <v>11</v>
      </c>
      <c r="BU180" t="s">
        <v>11</v>
      </c>
    </row>
    <row r="181" spans="1:73" x14ac:dyDescent="0.25">
      <c r="A181" s="5">
        <v>31291</v>
      </c>
      <c r="B181">
        <v>1797</v>
      </c>
      <c r="C181" t="s">
        <v>11</v>
      </c>
      <c r="D181" t="s">
        <v>11</v>
      </c>
      <c r="E181" t="s">
        <v>11</v>
      </c>
      <c r="F181">
        <v>934</v>
      </c>
      <c r="G181" t="s">
        <v>11</v>
      </c>
      <c r="H181">
        <v>354</v>
      </c>
      <c r="I181" t="s">
        <v>11</v>
      </c>
      <c r="J181">
        <v>1427</v>
      </c>
      <c r="K181" t="s">
        <v>11</v>
      </c>
      <c r="L181">
        <v>47618</v>
      </c>
      <c r="M181">
        <v>23537</v>
      </c>
      <c r="N181">
        <v>918</v>
      </c>
      <c r="O181" t="s">
        <v>11</v>
      </c>
      <c r="P181" t="s">
        <v>11</v>
      </c>
      <c r="Q181" t="s">
        <v>11</v>
      </c>
      <c r="R181" t="s">
        <v>11</v>
      </c>
      <c r="S181" t="s">
        <v>11</v>
      </c>
      <c r="T181" s="34">
        <v>70664</v>
      </c>
      <c r="U181" s="34">
        <v>22635</v>
      </c>
      <c r="V181" s="34">
        <v>1667</v>
      </c>
      <c r="W181">
        <v>1656</v>
      </c>
      <c r="X181">
        <v>2824</v>
      </c>
      <c r="Y181">
        <v>2811</v>
      </c>
      <c r="Z181">
        <v>3449</v>
      </c>
      <c r="AA181">
        <v>960</v>
      </c>
      <c r="AB181">
        <v>20270</v>
      </c>
      <c r="AC181">
        <v>11846</v>
      </c>
      <c r="AD181">
        <v>2818</v>
      </c>
      <c r="AE181">
        <v>2516</v>
      </c>
      <c r="AF181">
        <v>6691</v>
      </c>
      <c r="AG181">
        <v>6538</v>
      </c>
      <c r="AH181">
        <f t="shared" si="29"/>
        <v>2818</v>
      </c>
      <c r="AI181">
        <f t="shared" si="30"/>
        <v>2516</v>
      </c>
      <c r="AJ181">
        <v>17189</v>
      </c>
      <c r="AK181">
        <v>15475</v>
      </c>
      <c r="AL181">
        <v>37241</v>
      </c>
      <c r="AM181">
        <v>28281</v>
      </c>
      <c r="AN181">
        <v>1073</v>
      </c>
      <c r="AO181">
        <v>1073</v>
      </c>
      <c r="AP181" t="s">
        <v>11</v>
      </c>
      <c r="AQ181" t="s">
        <v>11</v>
      </c>
      <c r="AR181" t="s">
        <v>11</v>
      </c>
      <c r="AS181" t="s">
        <v>11</v>
      </c>
      <c r="AT181" t="str">
        <f t="shared" si="23"/>
        <v>NoData</v>
      </c>
      <c r="AU181" t="str">
        <f t="shared" si="24"/>
        <v>NoData</v>
      </c>
      <c r="AV181">
        <v>1</v>
      </c>
      <c r="AW181" t="s">
        <v>11</v>
      </c>
      <c r="AX181">
        <v>4</v>
      </c>
      <c r="AY181" t="s">
        <v>11</v>
      </c>
      <c r="AZ181" t="str">
        <f t="shared" si="25"/>
        <v>NoData</v>
      </c>
      <c r="BA181" t="str">
        <f t="shared" si="26"/>
        <v>NoData</v>
      </c>
      <c r="BB181">
        <f t="shared" si="31"/>
        <v>1073</v>
      </c>
      <c r="BC181">
        <f t="shared" si="32"/>
        <v>1073</v>
      </c>
      <c r="BD181">
        <v>0</v>
      </c>
      <c r="BE181" t="s">
        <v>11</v>
      </c>
      <c r="BF181" t="s">
        <v>11</v>
      </c>
      <c r="BG181" t="s">
        <v>11</v>
      </c>
      <c r="BH181" t="s">
        <v>11</v>
      </c>
      <c r="BI181" t="s">
        <v>11</v>
      </c>
      <c r="BJ181">
        <v>115</v>
      </c>
      <c r="BK181" t="s">
        <v>11</v>
      </c>
      <c r="BL181" t="s">
        <v>11</v>
      </c>
      <c r="BM181" t="s">
        <v>11</v>
      </c>
      <c r="BN181">
        <v>96</v>
      </c>
      <c r="BO181" t="s">
        <v>11</v>
      </c>
      <c r="BP181" t="str">
        <f t="shared" si="27"/>
        <v>NoData</v>
      </c>
      <c r="BQ181" t="str">
        <f t="shared" si="28"/>
        <v>NoData</v>
      </c>
      <c r="BR181" t="s">
        <v>11</v>
      </c>
      <c r="BS181" t="s">
        <v>11</v>
      </c>
      <c r="BT181" t="s">
        <v>11</v>
      </c>
      <c r="BU181" t="s">
        <v>11</v>
      </c>
    </row>
    <row r="182" spans="1:73" x14ac:dyDescent="0.25">
      <c r="A182" s="5">
        <v>31321</v>
      </c>
      <c r="B182">
        <v>1234</v>
      </c>
      <c r="C182" t="s">
        <v>11</v>
      </c>
      <c r="D182" t="s">
        <v>11</v>
      </c>
      <c r="E182" t="s">
        <v>11</v>
      </c>
      <c r="F182">
        <v>1</v>
      </c>
      <c r="G182" t="s">
        <v>11</v>
      </c>
      <c r="H182">
        <v>0</v>
      </c>
      <c r="I182" t="s">
        <v>11</v>
      </c>
      <c r="J182">
        <v>243</v>
      </c>
      <c r="K182" t="s">
        <v>11</v>
      </c>
      <c r="L182">
        <v>25528</v>
      </c>
      <c r="M182">
        <v>5115</v>
      </c>
      <c r="N182">
        <v>294</v>
      </c>
      <c r="O182" t="s">
        <v>11</v>
      </c>
      <c r="P182" t="s">
        <v>11</v>
      </c>
      <c r="Q182" t="s">
        <v>11</v>
      </c>
      <c r="R182" t="s">
        <v>11</v>
      </c>
      <c r="S182" t="s">
        <v>11</v>
      </c>
      <c r="T182" s="34">
        <v>45999</v>
      </c>
      <c r="U182" s="34">
        <v>243</v>
      </c>
      <c r="V182" s="34">
        <v>3515</v>
      </c>
      <c r="W182">
        <v>3491</v>
      </c>
      <c r="X182">
        <v>3825</v>
      </c>
      <c r="Y182">
        <v>3808</v>
      </c>
      <c r="Z182">
        <v>5316</v>
      </c>
      <c r="AA182">
        <v>1551</v>
      </c>
      <c r="AB182">
        <v>31271</v>
      </c>
      <c r="AC182">
        <v>20587</v>
      </c>
      <c r="AD182">
        <v>2270</v>
      </c>
      <c r="AE182">
        <v>2080</v>
      </c>
      <c r="AF182">
        <v>5325</v>
      </c>
      <c r="AG182">
        <v>5038</v>
      </c>
      <c r="AH182">
        <f t="shared" si="29"/>
        <v>2270</v>
      </c>
      <c r="AI182">
        <f t="shared" si="30"/>
        <v>2080</v>
      </c>
      <c r="AJ182">
        <v>12179</v>
      </c>
      <c r="AK182">
        <v>11102</v>
      </c>
      <c r="AL182">
        <v>19737</v>
      </c>
      <c r="AM182">
        <v>10014</v>
      </c>
      <c r="AN182">
        <v>117</v>
      </c>
      <c r="AO182">
        <v>117</v>
      </c>
      <c r="AP182" t="s">
        <v>11</v>
      </c>
      <c r="AQ182" t="s">
        <v>11</v>
      </c>
      <c r="AR182" t="s">
        <v>11</v>
      </c>
      <c r="AS182" t="s">
        <v>11</v>
      </c>
      <c r="AT182" t="str">
        <f t="shared" si="23"/>
        <v>NoData</v>
      </c>
      <c r="AU182" t="str">
        <f t="shared" si="24"/>
        <v>NoData</v>
      </c>
      <c r="AV182">
        <v>1</v>
      </c>
      <c r="AW182" t="s">
        <v>11</v>
      </c>
      <c r="AX182">
        <v>4</v>
      </c>
      <c r="AY182" t="s">
        <v>11</v>
      </c>
      <c r="AZ182" t="str">
        <f t="shared" si="25"/>
        <v>NoData</v>
      </c>
      <c r="BA182" t="str">
        <f t="shared" si="26"/>
        <v>NoData</v>
      </c>
      <c r="BB182">
        <f t="shared" si="31"/>
        <v>117</v>
      </c>
      <c r="BC182">
        <f t="shared" si="32"/>
        <v>117</v>
      </c>
      <c r="BD182">
        <v>0</v>
      </c>
      <c r="BE182" t="s">
        <v>11</v>
      </c>
      <c r="BF182" t="s">
        <v>11</v>
      </c>
      <c r="BG182" t="s">
        <v>11</v>
      </c>
      <c r="BH182" t="s">
        <v>11</v>
      </c>
      <c r="BI182" t="s">
        <v>11</v>
      </c>
      <c r="BJ182">
        <v>53</v>
      </c>
      <c r="BK182" t="s">
        <v>11</v>
      </c>
      <c r="BL182" t="s">
        <v>11</v>
      </c>
      <c r="BM182" t="s">
        <v>11</v>
      </c>
      <c r="BN182">
        <v>30</v>
      </c>
      <c r="BO182" t="s">
        <v>11</v>
      </c>
      <c r="BP182" t="str">
        <f t="shared" si="27"/>
        <v>NoData</v>
      </c>
      <c r="BQ182" t="str">
        <f t="shared" si="28"/>
        <v>NoData</v>
      </c>
      <c r="BR182" t="s">
        <v>11</v>
      </c>
      <c r="BS182" t="s">
        <v>11</v>
      </c>
      <c r="BT182" t="s">
        <v>11</v>
      </c>
      <c r="BU182" t="s">
        <v>11</v>
      </c>
    </row>
    <row r="183" spans="1:73" x14ac:dyDescent="0.25">
      <c r="A183" s="5">
        <v>31352</v>
      </c>
      <c r="B183">
        <v>811</v>
      </c>
      <c r="C183" t="s">
        <v>11</v>
      </c>
      <c r="D183" t="s">
        <v>11</v>
      </c>
      <c r="E183" t="s">
        <v>11</v>
      </c>
      <c r="F183">
        <v>0</v>
      </c>
      <c r="G183" t="s">
        <v>11</v>
      </c>
      <c r="H183">
        <v>0</v>
      </c>
      <c r="I183" t="s">
        <v>11</v>
      </c>
      <c r="J183">
        <v>334</v>
      </c>
      <c r="K183" t="s">
        <v>11</v>
      </c>
      <c r="L183">
        <v>22024</v>
      </c>
      <c r="M183">
        <v>3662</v>
      </c>
      <c r="N183">
        <v>88</v>
      </c>
      <c r="O183" t="s">
        <v>11</v>
      </c>
      <c r="P183" t="s">
        <v>11</v>
      </c>
      <c r="Q183" t="s">
        <v>11</v>
      </c>
      <c r="R183" t="s">
        <v>11</v>
      </c>
      <c r="S183" t="s">
        <v>11</v>
      </c>
      <c r="T183" s="34">
        <v>45254</v>
      </c>
      <c r="U183" s="34">
        <v>6556</v>
      </c>
      <c r="V183" s="34">
        <v>1533</v>
      </c>
      <c r="W183">
        <v>1519</v>
      </c>
      <c r="X183">
        <v>2586</v>
      </c>
      <c r="Y183">
        <v>2572</v>
      </c>
      <c r="Z183">
        <v>4335</v>
      </c>
      <c r="AA183">
        <v>1112</v>
      </c>
      <c r="AB183">
        <v>18291</v>
      </c>
      <c r="AC183">
        <v>6843</v>
      </c>
      <c r="AD183">
        <v>2029</v>
      </c>
      <c r="AE183">
        <v>1672</v>
      </c>
      <c r="AF183">
        <v>4728</v>
      </c>
      <c r="AG183">
        <v>4576</v>
      </c>
      <c r="AH183">
        <f t="shared" si="29"/>
        <v>2029</v>
      </c>
      <c r="AI183">
        <f t="shared" si="30"/>
        <v>1672</v>
      </c>
      <c r="AJ183">
        <v>9959</v>
      </c>
      <c r="AK183">
        <v>7938</v>
      </c>
      <c r="AL183">
        <v>17375</v>
      </c>
      <c r="AM183">
        <v>7600</v>
      </c>
      <c r="AN183">
        <v>350</v>
      </c>
      <c r="AO183">
        <v>347</v>
      </c>
      <c r="AP183" t="s">
        <v>11</v>
      </c>
      <c r="AQ183" t="s">
        <v>11</v>
      </c>
      <c r="AR183" t="s">
        <v>11</v>
      </c>
      <c r="AS183" t="s">
        <v>11</v>
      </c>
      <c r="AT183" t="str">
        <f t="shared" si="23"/>
        <v>NoData</v>
      </c>
      <c r="AU183" t="str">
        <f t="shared" si="24"/>
        <v>NoData</v>
      </c>
      <c r="AV183">
        <v>0</v>
      </c>
      <c r="AW183" t="s">
        <v>11</v>
      </c>
      <c r="AX183">
        <v>4</v>
      </c>
      <c r="AY183" t="s">
        <v>11</v>
      </c>
      <c r="AZ183" t="str">
        <f t="shared" si="25"/>
        <v>NoData</v>
      </c>
      <c r="BA183" t="str">
        <f t="shared" si="26"/>
        <v>NoData</v>
      </c>
      <c r="BB183">
        <f t="shared" si="31"/>
        <v>350</v>
      </c>
      <c r="BC183">
        <f t="shared" si="32"/>
        <v>347</v>
      </c>
      <c r="BD183">
        <v>0</v>
      </c>
      <c r="BE183" t="s">
        <v>11</v>
      </c>
      <c r="BF183" t="s">
        <v>11</v>
      </c>
      <c r="BG183" t="s">
        <v>11</v>
      </c>
      <c r="BH183" t="s">
        <v>11</v>
      </c>
      <c r="BI183" t="s">
        <v>11</v>
      </c>
      <c r="BJ183">
        <v>52</v>
      </c>
      <c r="BK183" t="s">
        <v>11</v>
      </c>
      <c r="BL183" t="s">
        <v>11</v>
      </c>
      <c r="BM183" t="s">
        <v>11</v>
      </c>
      <c r="BN183">
        <v>35</v>
      </c>
      <c r="BO183" t="s">
        <v>11</v>
      </c>
      <c r="BP183" t="str">
        <f t="shared" si="27"/>
        <v>NoData</v>
      </c>
      <c r="BQ183" t="str">
        <f t="shared" si="28"/>
        <v>NoData</v>
      </c>
      <c r="BR183" t="s">
        <v>11</v>
      </c>
      <c r="BS183" t="s">
        <v>11</v>
      </c>
      <c r="BT183" t="s">
        <v>11</v>
      </c>
      <c r="BU183" t="s">
        <v>11</v>
      </c>
    </row>
    <row r="184" spans="1:73" x14ac:dyDescent="0.25">
      <c r="A184" s="5">
        <v>31382</v>
      </c>
      <c r="B184">
        <v>474</v>
      </c>
      <c r="C184" t="s">
        <v>11</v>
      </c>
      <c r="D184" t="s">
        <v>11</v>
      </c>
      <c r="E184" t="s">
        <v>11</v>
      </c>
      <c r="F184">
        <v>0</v>
      </c>
      <c r="G184" t="s">
        <v>11</v>
      </c>
      <c r="H184">
        <v>0</v>
      </c>
      <c r="I184" t="s">
        <v>11</v>
      </c>
      <c r="J184">
        <v>255</v>
      </c>
      <c r="K184" t="s">
        <v>11</v>
      </c>
      <c r="L184">
        <v>17492</v>
      </c>
      <c r="M184">
        <v>875</v>
      </c>
      <c r="N184">
        <v>84</v>
      </c>
      <c r="O184" t="s">
        <v>11</v>
      </c>
      <c r="P184" t="s">
        <v>11</v>
      </c>
      <c r="Q184" t="s">
        <v>11</v>
      </c>
      <c r="R184" t="s">
        <v>11</v>
      </c>
      <c r="S184" t="s">
        <v>11</v>
      </c>
      <c r="T184" s="34">
        <v>36400</v>
      </c>
      <c r="U184" s="34">
        <v>8227</v>
      </c>
      <c r="V184" s="34">
        <v>1688</v>
      </c>
      <c r="W184">
        <v>1674</v>
      </c>
      <c r="X184">
        <v>2590</v>
      </c>
      <c r="Y184">
        <v>2578</v>
      </c>
      <c r="Z184">
        <v>3316</v>
      </c>
      <c r="AA184">
        <v>645</v>
      </c>
      <c r="AB184">
        <v>14375</v>
      </c>
      <c r="AC184">
        <v>4426</v>
      </c>
      <c r="AD184">
        <v>1084</v>
      </c>
      <c r="AE184">
        <v>716</v>
      </c>
      <c r="AF184">
        <v>4030</v>
      </c>
      <c r="AG184">
        <v>3753</v>
      </c>
      <c r="AH184">
        <f t="shared" si="29"/>
        <v>1084</v>
      </c>
      <c r="AI184">
        <f t="shared" si="30"/>
        <v>716</v>
      </c>
      <c r="AJ184">
        <v>9024</v>
      </c>
      <c r="AK184">
        <v>6942</v>
      </c>
      <c r="AL184">
        <v>12640</v>
      </c>
      <c r="AM184">
        <v>2621</v>
      </c>
      <c r="AN184">
        <v>255</v>
      </c>
      <c r="AO184">
        <v>254</v>
      </c>
      <c r="AP184" t="s">
        <v>11</v>
      </c>
      <c r="AQ184" t="s">
        <v>11</v>
      </c>
      <c r="AR184" t="s">
        <v>11</v>
      </c>
      <c r="AS184" t="s">
        <v>11</v>
      </c>
      <c r="AT184" t="str">
        <f t="shared" si="23"/>
        <v>NoData</v>
      </c>
      <c r="AU184" t="str">
        <f t="shared" si="24"/>
        <v>NoData</v>
      </c>
      <c r="AV184">
        <v>0</v>
      </c>
      <c r="AW184" t="s">
        <v>11</v>
      </c>
      <c r="AX184">
        <v>4</v>
      </c>
      <c r="AY184" t="s">
        <v>11</v>
      </c>
      <c r="AZ184" t="str">
        <f t="shared" si="25"/>
        <v>NoData</v>
      </c>
      <c r="BA184" t="str">
        <f t="shared" si="26"/>
        <v>NoData</v>
      </c>
      <c r="BB184">
        <f t="shared" si="31"/>
        <v>255</v>
      </c>
      <c r="BC184">
        <f t="shared" si="32"/>
        <v>254</v>
      </c>
      <c r="BD184">
        <v>0</v>
      </c>
      <c r="BE184" t="s">
        <v>11</v>
      </c>
      <c r="BF184" t="s">
        <v>11</v>
      </c>
      <c r="BG184" t="s">
        <v>11</v>
      </c>
      <c r="BH184" t="s">
        <v>11</v>
      </c>
      <c r="BI184" t="s">
        <v>11</v>
      </c>
      <c r="BJ184">
        <v>62</v>
      </c>
      <c r="BK184" t="s">
        <v>11</v>
      </c>
      <c r="BL184" t="s">
        <v>11</v>
      </c>
      <c r="BM184" t="s">
        <v>11</v>
      </c>
      <c r="BN184">
        <v>17</v>
      </c>
      <c r="BO184" t="s">
        <v>11</v>
      </c>
      <c r="BP184" t="str">
        <f t="shared" si="27"/>
        <v>NoData</v>
      </c>
      <c r="BQ184" t="str">
        <f t="shared" si="28"/>
        <v>NoData</v>
      </c>
      <c r="BR184" t="s">
        <v>11</v>
      </c>
      <c r="BS184" t="s">
        <v>11</v>
      </c>
      <c r="BT184" t="s">
        <v>11</v>
      </c>
      <c r="BU184" t="s">
        <v>11</v>
      </c>
    </row>
    <row r="185" spans="1:73" x14ac:dyDescent="0.25">
      <c r="A185" s="5">
        <v>31413</v>
      </c>
      <c r="B185">
        <v>894</v>
      </c>
      <c r="C185" t="s">
        <v>11</v>
      </c>
      <c r="D185" t="s">
        <v>11</v>
      </c>
      <c r="E185" t="s">
        <v>11</v>
      </c>
      <c r="F185">
        <v>0</v>
      </c>
      <c r="G185" t="s">
        <v>11</v>
      </c>
      <c r="H185">
        <v>0</v>
      </c>
      <c r="I185" t="s">
        <v>11</v>
      </c>
      <c r="J185">
        <v>335</v>
      </c>
      <c r="K185" t="s">
        <v>11</v>
      </c>
      <c r="L185">
        <v>12375</v>
      </c>
      <c r="M185">
        <v>-3828</v>
      </c>
      <c r="N185">
        <v>111</v>
      </c>
      <c r="O185" t="s">
        <v>11</v>
      </c>
      <c r="P185" t="s">
        <v>11</v>
      </c>
      <c r="Q185" t="s">
        <v>11</v>
      </c>
      <c r="R185" t="s">
        <v>11</v>
      </c>
      <c r="S185" t="s">
        <v>11</v>
      </c>
      <c r="T185" s="34">
        <v>36978</v>
      </c>
      <c r="U185" s="34">
        <v>6515</v>
      </c>
      <c r="V185" s="34">
        <v>1853</v>
      </c>
      <c r="W185">
        <v>1849</v>
      </c>
      <c r="X185">
        <v>2514</v>
      </c>
      <c r="Y185">
        <v>2510</v>
      </c>
      <c r="Z185">
        <v>3622</v>
      </c>
      <c r="AA185">
        <v>1252</v>
      </c>
      <c r="AB185">
        <v>17137</v>
      </c>
      <c r="AC185">
        <v>7599</v>
      </c>
      <c r="AD185">
        <v>2182</v>
      </c>
      <c r="AE185">
        <v>1965</v>
      </c>
      <c r="AF185">
        <v>3684</v>
      </c>
      <c r="AG185">
        <v>3622</v>
      </c>
      <c r="AH185">
        <f t="shared" si="29"/>
        <v>2182</v>
      </c>
      <c r="AI185">
        <f t="shared" si="30"/>
        <v>1965</v>
      </c>
      <c r="AJ185">
        <v>12882</v>
      </c>
      <c r="AK185">
        <v>11651</v>
      </c>
      <c r="AL185">
        <v>21090</v>
      </c>
      <c r="AM185">
        <v>11169</v>
      </c>
      <c r="AN185">
        <v>133</v>
      </c>
      <c r="AO185">
        <v>133</v>
      </c>
      <c r="AP185" t="s">
        <v>11</v>
      </c>
      <c r="AQ185" t="s">
        <v>11</v>
      </c>
      <c r="AR185" t="s">
        <v>11</v>
      </c>
      <c r="AS185" t="s">
        <v>11</v>
      </c>
      <c r="AT185" t="str">
        <f t="shared" si="23"/>
        <v>NoData</v>
      </c>
      <c r="AU185" t="str">
        <f t="shared" si="24"/>
        <v>NoData</v>
      </c>
      <c r="AV185">
        <v>0</v>
      </c>
      <c r="AW185" t="s">
        <v>11</v>
      </c>
      <c r="AX185">
        <v>4</v>
      </c>
      <c r="AY185" t="s">
        <v>11</v>
      </c>
      <c r="AZ185" t="str">
        <f t="shared" si="25"/>
        <v>NoData</v>
      </c>
      <c r="BA185" t="str">
        <f t="shared" si="26"/>
        <v>NoData</v>
      </c>
      <c r="BB185">
        <f t="shared" si="31"/>
        <v>133</v>
      </c>
      <c r="BC185">
        <f t="shared" si="32"/>
        <v>133</v>
      </c>
      <c r="BD185" t="s">
        <v>11</v>
      </c>
      <c r="BE185" t="s">
        <v>11</v>
      </c>
      <c r="BF185" t="s">
        <v>11</v>
      </c>
      <c r="BG185" t="s">
        <v>11</v>
      </c>
      <c r="BH185" t="s">
        <v>11</v>
      </c>
      <c r="BI185" t="s">
        <v>11</v>
      </c>
      <c r="BJ185">
        <v>105</v>
      </c>
      <c r="BK185" t="s">
        <v>11</v>
      </c>
      <c r="BL185" t="s">
        <v>11</v>
      </c>
      <c r="BM185" t="s">
        <v>11</v>
      </c>
      <c r="BN185">
        <v>0</v>
      </c>
      <c r="BO185" t="s">
        <v>11</v>
      </c>
      <c r="BP185" t="str">
        <f t="shared" si="27"/>
        <v>NoData</v>
      </c>
      <c r="BQ185" t="str">
        <f t="shared" si="28"/>
        <v>NoData</v>
      </c>
      <c r="BR185" t="s">
        <v>11</v>
      </c>
      <c r="BS185" t="s">
        <v>11</v>
      </c>
      <c r="BT185" t="s">
        <v>11</v>
      </c>
      <c r="BU185" t="s">
        <v>11</v>
      </c>
    </row>
    <row r="186" spans="1:73" x14ac:dyDescent="0.25">
      <c r="A186" s="5">
        <v>31444</v>
      </c>
      <c r="B186">
        <v>951</v>
      </c>
      <c r="C186" t="s">
        <v>11</v>
      </c>
      <c r="D186" t="s">
        <v>11</v>
      </c>
      <c r="E186" t="s">
        <v>11</v>
      </c>
      <c r="F186">
        <v>0</v>
      </c>
      <c r="G186" t="s">
        <v>11</v>
      </c>
      <c r="H186">
        <v>0</v>
      </c>
      <c r="I186" t="s">
        <v>11</v>
      </c>
      <c r="J186">
        <v>1110</v>
      </c>
      <c r="K186" t="s">
        <v>11</v>
      </c>
      <c r="L186">
        <v>33011</v>
      </c>
      <c r="M186">
        <v>17844</v>
      </c>
      <c r="N186">
        <v>289</v>
      </c>
      <c r="O186" t="s">
        <v>11</v>
      </c>
      <c r="P186" t="s">
        <v>11</v>
      </c>
      <c r="Q186" t="s">
        <v>11</v>
      </c>
      <c r="R186" t="s">
        <v>11</v>
      </c>
      <c r="S186" t="s">
        <v>11</v>
      </c>
      <c r="T186" s="34">
        <v>52948</v>
      </c>
      <c r="U186" s="34">
        <v>22931</v>
      </c>
      <c r="V186" s="34">
        <v>2429</v>
      </c>
      <c r="W186">
        <v>2417</v>
      </c>
      <c r="X186">
        <v>2995</v>
      </c>
      <c r="Y186">
        <v>2987</v>
      </c>
      <c r="Z186">
        <v>4014</v>
      </c>
      <c r="AA186">
        <v>1631</v>
      </c>
      <c r="AB186">
        <v>18068</v>
      </c>
      <c r="AC186">
        <v>9634</v>
      </c>
      <c r="AD186">
        <v>1985</v>
      </c>
      <c r="AE186">
        <v>1747</v>
      </c>
      <c r="AF186">
        <v>3510</v>
      </c>
      <c r="AG186">
        <v>3630</v>
      </c>
      <c r="AH186">
        <f t="shared" si="29"/>
        <v>1985</v>
      </c>
      <c r="AI186">
        <f t="shared" si="30"/>
        <v>1747</v>
      </c>
      <c r="AJ186">
        <v>12243</v>
      </c>
      <c r="AK186">
        <v>10890</v>
      </c>
      <c r="AL186">
        <v>26366</v>
      </c>
      <c r="AM186">
        <v>17432</v>
      </c>
      <c r="AN186">
        <v>156</v>
      </c>
      <c r="AO186">
        <v>156</v>
      </c>
      <c r="AP186" t="s">
        <v>11</v>
      </c>
      <c r="AQ186" t="s">
        <v>11</v>
      </c>
      <c r="AR186" t="s">
        <v>11</v>
      </c>
      <c r="AS186" t="s">
        <v>11</v>
      </c>
      <c r="AT186" t="str">
        <f t="shared" si="23"/>
        <v>NoData</v>
      </c>
      <c r="AU186" t="str">
        <f t="shared" si="24"/>
        <v>NoData</v>
      </c>
      <c r="AV186">
        <v>1</v>
      </c>
      <c r="AW186" t="s">
        <v>11</v>
      </c>
      <c r="AX186">
        <v>4</v>
      </c>
      <c r="AY186" t="s">
        <v>11</v>
      </c>
      <c r="AZ186" t="str">
        <f t="shared" si="25"/>
        <v>NoData</v>
      </c>
      <c r="BA186" t="str">
        <f t="shared" si="26"/>
        <v>NoData</v>
      </c>
      <c r="BB186">
        <f t="shared" si="31"/>
        <v>156</v>
      </c>
      <c r="BC186">
        <f t="shared" si="32"/>
        <v>156</v>
      </c>
      <c r="BD186" t="s">
        <v>11</v>
      </c>
      <c r="BE186" t="s">
        <v>11</v>
      </c>
      <c r="BF186" t="s">
        <v>11</v>
      </c>
      <c r="BG186" t="s">
        <v>11</v>
      </c>
      <c r="BH186" t="s">
        <v>11</v>
      </c>
      <c r="BI186" t="s">
        <v>11</v>
      </c>
      <c r="BJ186">
        <v>136</v>
      </c>
      <c r="BK186" t="s">
        <v>11</v>
      </c>
      <c r="BL186" t="s">
        <v>11</v>
      </c>
      <c r="BM186" t="s">
        <v>11</v>
      </c>
      <c r="BN186">
        <v>0</v>
      </c>
      <c r="BO186" t="s">
        <v>11</v>
      </c>
      <c r="BP186" t="str">
        <f t="shared" si="27"/>
        <v>NoData</v>
      </c>
      <c r="BQ186" t="str">
        <f t="shared" si="28"/>
        <v>NoData</v>
      </c>
      <c r="BR186" t="s">
        <v>11</v>
      </c>
      <c r="BS186" t="s">
        <v>11</v>
      </c>
      <c r="BT186" t="s">
        <v>11</v>
      </c>
      <c r="BU186" t="s">
        <v>11</v>
      </c>
    </row>
    <row r="187" spans="1:73" x14ac:dyDescent="0.25">
      <c r="A187" s="5">
        <v>31472</v>
      </c>
      <c r="B187">
        <v>1395</v>
      </c>
      <c r="C187" t="s">
        <v>11</v>
      </c>
      <c r="D187" t="s">
        <v>11</v>
      </c>
      <c r="E187" t="s">
        <v>11</v>
      </c>
      <c r="F187">
        <v>0</v>
      </c>
      <c r="G187" t="s">
        <v>11</v>
      </c>
      <c r="H187">
        <v>0</v>
      </c>
      <c r="I187" t="s">
        <v>11</v>
      </c>
      <c r="J187">
        <v>2586</v>
      </c>
      <c r="K187" t="s">
        <v>11</v>
      </c>
      <c r="L187">
        <v>53941</v>
      </c>
      <c r="M187">
        <v>31835</v>
      </c>
      <c r="N187">
        <v>455</v>
      </c>
      <c r="O187" t="s">
        <v>11</v>
      </c>
      <c r="P187" t="s">
        <v>11</v>
      </c>
      <c r="Q187" t="s">
        <v>11</v>
      </c>
      <c r="R187" t="s">
        <v>11</v>
      </c>
      <c r="S187" t="s">
        <v>11</v>
      </c>
      <c r="T187" s="34">
        <v>81433</v>
      </c>
      <c r="U187" s="34">
        <v>41162</v>
      </c>
      <c r="V187" s="34">
        <v>3069</v>
      </c>
      <c r="W187">
        <v>3056</v>
      </c>
      <c r="X187">
        <v>4256</v>
      </c>
      <c r="Y187">
        <v>4245</v>
      </c>
      <c r="Z187">
        <v>5399</v>
      </c>
      <c r="AA187">
        <v>2642</v>
      </c>
      <c r="AB187">
        <v>28443</v>
      </c>
      <c r="AC187">
        <v>18628</v>
      </c>
      <c r="AD187">
        <v>2310</v>
      </c>
      <c r="AE187">
        <v>2002</v>
      </c>
      <c r="AF187">
        <v>5153</v>
      </c>
      <c r="AG187">
        <v>5005</v>
      </c>
      <c r="AH187">
        <f t="shared" si="29"/>
        <v>2310</v>
      </c>
      <c r="AI187">
        <f t="shared" si="30"/>
        <v>2002</v>
      </c>
      <c r="AJ187">
        <v>16711</v>
      </c>
      <c r="AK187">
        <v>14927</v>
      </c>
      <c r="AL187">
        <v>41680</v>
      </c>
      <c r="AM187">
        <v>31372</v>
      </c>
      <c r="AN187">
        <v>259</v>
      </c>
      <c r="AO187">
        <v>259</v>
      </c>
      <c r="AP187" t="s">
        <v>11</v>
      </c>
      <c r="AQ187" t="s">
        <v>11</v>
      </c>
      <c r="AR187" t="s">
        <v>11</v>
      </c>
      <c r="AS187" t="s">
        <v>11</v>
      </c>
      <c r="AT187" t="str">
        <f t="shared" si="23"/>
        <v>NoData</v>
      </c>
      <c r="AU187" t="str">
        <f t="shared" si="24"/>
        <v>NoData</v>
      </c>
      <c r="AV187">
        <v>0</v>
      </c>
      <c r="AW187" t="s">
        <v>11</v>
      </c>
      <c r="AX187">
        <v>4</v>
      </c>
      <c r="AY187" t="s">
        <v>11</v>
      </c>
      <c r="AZ187" t="str">
        <f t="shared" si="25"/>
        <v>NoData</v>
      </c>
      <c r="BA187" t="str">
        <f t="shared" si="26"/>
        <v>NoData</v>
      </c>
      <c r="BB187">
        <f t="shared" si="31"/>
        <v>259</v>
      </c>
      <c r="BC187">
        <f t="shared" si="32"/>
        <v>259</v>
      </c>
      <c r="BD187" t="s">
        <v>11</v>
      </c>
      <c r="BE187" t="s">
        <v>11</v>
      </c>
      <c r="BF187" t="s">
        <v>11</v>
      </c>
      <c r="BG187" t="s">
        <v>11</v>
      </c>
      <c r="BH187" t="s">
        <v>11</v>
      </c>
      <c r="BI187" t="s">
        <v>11</v>
      </c>
      <c r="BJ187">
        <v>72</v>
      </c>
      <c r="BK187" t="s">
        <v>11</v>
      </c>
      <c r="BL187" t="s">
        <v>11</v>
      </c>
      <c r="BM187" t="s">
        <v>11</v>
      </c>
      <c r="BN187">
        <v>0</v>
      </c>
      <c r="BO187" t="s">
        <v>11</v>
      </c>
      <c r="BP187" t="str">
        <f t="shared" si="27"/>
        <v>NoData</v>
      </c>
      <c r="BQ187" t="str">
        <f t="shared" si="28"/>
        <v>NoData</v>
      </c>
      <c r="BR187" t="s">
        <v>11</v>
      </c>
      <c r="BS187" t="s">
        <v>11</v>
      </c>
      <c r="BT187" t="s">
        <v>11</v>
      </c>
      <c r="BU187" t="s">
        <v>11</v>
      </c>
    </row>
    <row r="188" spans="1:73" x14ac:dyDescent="0.25">
      <c r="A188" s="5">
        <v>31503</v>
      </c>
      <c r="B188">
        <v>1921</v>
      </c>
      <c r="C188" t="s">
        <v>11</v>
      </c>
      <c r="D188" t="s">
        <v>11</v>
      </c>
      <c r="E188" t="s">
        <v>11</v>
      </c>
      <c r="F188">
        <v>8630</v>
      </c>
      <c r="G188" t="s">
        <v>11</v>
      </c>
      <c r="H188">
        <v>4209</v>
      </c>
      <c r="I188" t="s">
        <v>11</v>
      </c>
      <c r="J188">
        <v>1954</v>
      </c>
      <c r="K188" t="s">
        <v>11</v>
      </c>
      <c r="L188">
        <v>58910</v>
      </c>
      <c r="M188">
        <v>35755</v>
      </c>
      <c r="N188">
        <v>267</v>
      </c>
      <c r="O188" t="s">
        <v>11</v>
      </c>
      <c r="P188" t="s">
        <v>11</v>
      </c>
      <c r="Q188" t="s">
        <v>11</v>
      </c>
      <c r="R188" t="s">
        <v>11</v>
      </c>
      <c r="S188" t="s">
        <v>11</v>
      </c>
      <c r="T188" s="34">
        <v>94553</v>
      </c>
      <c r="U188" s="34">
        <v>53798</v>
      </c>
      <c r="V188" s="34">
        <v>3364</v>
      </c>
      <c r="W188">
        <v>3349</v>
      </c>
      <c r="X188">
        <v>6113</v>
      </c>
      <c r="Y188">
        <v>6097</v>
      </c>
      <c r="Z188">
        <v>5948</v>
      </c>
      <c r="AA188">
        <v>2980</v>
      </c>
      <c r="AB188">
        <v>32464</v>
      </c>
      <c r="AC188">
        <v>21558</v>
      </c>
      <c r="AD188">
        <v>3233</v>
      </c>
      <c r="AE188">
        <v>2845</v>
      </c>
      <c r="AF188">
        <v>6280</v>
      </c>
      <c r="AG188">
        <v>6078</v>
      </c>
      <c r="AH188">
        <f t="shared" si="29"/>
        <v>3233</v>
      </c>
      <c r="AI188">
        <f t="shared" si="30"/>
        <v>2845</v>
      </c>
      <c r="AJ188">
        <v>22527</v>
      </c>
      <c r="AK188">
        <v>20296</v>
      </c>
      <c r="AL188">
        <v>50691</v>
      </c>
      <c r="AM188">
        <v>40968</v>
      </c>
      <c r="AN188">
        <v>653</v>
      </c>
      <c r="AO188">
        <v>653</v>
      </c>
      <c r="AP188" t="s">
        <v>11</v>
      </c>
      <c r="AQ188" t="s">
        <v>11</v>
      </c>
      <c r="AR188" t="s">
        <v>11</v>
      </c>
      <c r="AS188" t="s">
        <v>11</v>
      </c>
      <c r="AT188" t="str">
        <f t="shared" si="23"/>
        <v>NoData</v>
      </c>
      <c r="AU188" t="str">
        <f t="shared" si="24"/>
        <v>NoData</v>
      </c>
      <c r="AV188">
        <v>0</v>
      </c>
      <c r="AW188" t="s">
        <v>11</v>
      </c>
      <c r="AX188">
        <v>4</v>
      </c>
      <c r="AY188" t="s">
        <v>11</v>
      </c>
      <c r="AZ188" t="str">
        <f t="shared" si="25"/>
        <v>NoData</v>
      </c>
      <c r="BA188" t="str">
        <f t="shared" si="26"/>
        <v>NoData</v>
      </c>
      <c r="BB188">
        <f t="shared" si="31"/>
        <v>653</v>
      </c>
      <c r="BC188">
        <f t="shared" si="32"/>
        <v>653</v>
      </c>
      <c r="BD188" t="s">
        <v>11</v>
      </c>
      <c r="BE188" t="s">
        <v>11</v>
      </c>
      <c r="BF188" t="s">
        <v>11</v>
      </c>
      <c r="BG188" t="s">
        <v>11</v>
      </c>
      <c r="BH188" t="s">
        <v>11</v>
      </c>
      <c r="BI188" t="s">
        <v>11</v>
      </c>
      <c r="BJ188">
        <v>104</v>
      </c>
      <c r="BK188" t="s">
        <v>11</v>
      </c>
      <c r="BL188" t="s">
        <v>11</v>
      </c>
      <c r="BM188" t="s">
        <v>11</v>
      </c>
      <c r="BN188">
        <v>37</v>
      </c>
      <c r="BO188" t="s">
        <v>11</v>
      </c>
      <c r="BP188" t="str">
        <f t="shared" si="27"/>
        <v>NoData</v>
      </c>
      <c r="BQ188" t="str">
        <f t="shared" si="28"/>
        <v>NoData</v>
      </c>
      <c r="BR188" t="s">
        <v>11</v>
      </c>
      <c r="BS188" t="s">
        <v>11</v>
      </c>
      <c r="BT188" t="s">
        <v>11</v>
      </c>
      <c r="BU188" t="s">
        <v>11</v>
      </c>
    </row>
    <row r="189" spans="1:73" x14ac:dyDescent="0.25">
      <c r="A189" s="5">
        <v>31533</v>
      </c>
      <c r="B189">
        <v>1806</v>
      </c>
      <c r="C189" t="s">
        <v>11</v>
      </c>
      <c r="D189" t="s">
        <v>11</v>
      </c>
      <c r="E189" t="s">
        <v>11</v>
      </c>
      <c r="F189">
        <v>1545</v>
      </c>
      <c r="G189" t="s">
        <v>11</v>
      </c>
      <c r="H189">
        <v>753</v>
      </c>
      <c r="I189" t="s">
        <v>11</v>
      </c>
      <c r="J189">
        <v>2157</v>
      </c>
      <c r="K189" t="s">
        <v>11</v>
      </c>
      <c r="L189">
        <v>63365</v>
      </c>
      <c r="M189">
        <v>39015</v>
      </c>
      <c r="N189">
        <v>465</v>
      </c>
      <c r="O189" t="s">
        <v>11</v>
      </c>
      <c r="P189" t="s">
        <v>11</v>
      </c>
      <c r="Q189" t="s">
        <v>11</v>
      </c>
      <c r="R189" t="s">
        <v>11</v>
      </c>
      <c r="S189" t="s">
        <v>11</v>
      </c>
      <c r="T189" s="34">
        <v>90705</v>
      </c>
      <c r="U189" s="34">
        <v>46804</v>
      </c>
      <c r="V189" s="34">
        <v>2424</v>
      </c>
      <c r="W189">
        <v>2412</v>
      </c>
      <c r="X189">
        <v>5342</v>
      </c>
      <c r="Y189">
        <v>5328</v>
      </c>
      <c r="Z189">
        <v>5919</v>
      </c>
      <c r="AA189">
        <v>2912</v>
      </c>
      <c r="AB189">
        <v>27690</v>
      </c>
      <c r="AC189">
        <v>17397</v>
      </c>
      <c r="AD189">
        <v>3693</v>
      </c>
      <c r="AE189">
        <v>3187</v>
      </c>
      <c r="AF189">
        <v>5315</v>
      </c>
      <c r="AG189">
        <v>5384</v>
      </c>
      <c r="AH189">
        <f t="shared" si="29"/>
        <v>3693</v>
      </c>
      <c r="AI189">
        <f t="shared" si="30"/>
        <v>3187</v>
      </c>
      <c r="AJ189">
        <v>25723</v>
      </c>
      <c r="AK189">
        <v>22821</v>
      </c>
      <c r="AL189">
        <v>45444</v>
      </c>
      <c r="AM189">
        <v>35217</v>
      </c>
      <c r="AN189">
        <v>391</v>
      </c>
      <c r="AO189">
        <v>391</v>
      </c>
      <c r="AP189" t="s">
        <v>11</v>
      </c>
      <c r="AQ189" t="s">
        <v>11</v>
      </c>
      <c r="AR189" t="s">
        <v>11</v>
      </c>
      <c r="AS189" t="s">
        <v>11</v>
      </c>
      <c r="AT189" t="str">
        <f t="shared" ref="AT189:AT244" si="33">AP189</f>
        <v>NoData</v>
      </c>
      <c r="AU189" t="str">
        <f t="shared" ref="AU189:AU244" si="34">AQ189</f>
        <v>NoData</v>
      </c>
      <c r="AV189">
        <v>0</v>
      </c>
      <c r="AW189" t="s">
        <v>11</v>
      </c>
      <c r="AX189">
        <v>4</v>
      </c>
      <c r="AY189" t="s">
        <v>11</v>
      </c>
      <c r="AZ189" t="str">
        <f t="shared" ref="AZ189:AZ244" si="35">AT189</f>
        <v>NoData</v>
      </c>
      <c r="BA189" t="str">
        <f t="shared" ref="BA189:BA244" si="36">AU189</f>
        <v>NoData</v>
      </c>
      <c r="BB189">
        <f t="shared" si="31"/>
        <v>391</v>
      </c>
      <c r="BC189">
        <f t="shared" si="32"/>
        <v>391</v>
      </c>
      <c r="BD189" t="s">
        <v>11</v>
      </c>
      <c r="BE189" t="s">
        <v>11</v>
      </c>
      <c r="BF189" t="s">
        <v>11</v>
      </c>
      <c r="BG189" t="s">
        <v>11</v>
      </c>
      <c r="BH189" t="s">
        <v>11</v>
      </c>
      <c r="BI189" t="s">
        <v>11</v>
      </c>
      <c r="BJ189">
        <v>135</v>
      </c>
      <c r="BK189" t="s">
        <v>11</v>
      </c>
      <c r="BL189" t="s">
        <v>11</v>
      </c>
      <c r="BM189" t="s">
        <v>11</v>
      </c>
      <c r="BN189">
        <v>47</v>
      </c>
      <c r="BO189" t="s">
        <v>11</v>
      </c>
      <c r="BP189" t="str">
        <f t="shared" si="27"/>
        <v>NoData</v>
      </c>
      <c r="BQ189" t="str">
        <f t="shared" si="28"/>
        <v>NoData</v>
      </c>
      <c r="BR189" t="s">
        <v>11</v>
      </c>
      <c r="BS189" t="s">
        <v>11</v>
      </c>
      <c r="BT189" t="s">
        <v>11</v>
      </c>
      <c r="BU189" t="s">
        <v>11</v>
      </c>
    </row>
    <row r="190" spans="1:73" x14ac:dyDescent="0.25">
      <c r="A190" s="5">
        <v>31564</v>
      </c>
      <c r="B190">
        <v>2851</v>
      </c>
      <c r="C190" t="s">
        <v>11</v>
      </c>
      <c r="D190" t="s">
        <v>11</v>
      </c>
      <c r="E190" t="s">
        <v>11</v>
      </c>
      <c r="F190">
        <v>12760</v>
      </c>
      <c r="G190" t="s">
        <v>11</v>
      </c>
      <c r="H190">
        <v>6224</v>
      </c>
      <c r="I190" t="s">
        <v>11</v>
      </c>
      <c r="J190">
        <v>3120</v>
      </c>
      <c r="K190" t="s">
        <v>11</v>
      </c>
      <c r="L190">
        <v>73548</v>
      </c>
      <c r="M190">
        <v>51671</v>
      </c>
      <c r="N190">
        <v>701</v>
      </c>
      <c r="O190" t="s">
        <v>11</v>
      </c>
      <c r="P190" t="s">
        <v>11</v>
      </c>
      <c r="Q190" t="s">
        <v>11</v>
      </c>
      <c r="R190" t="s">
        <v>11</v>
      </c>
      <c r="S190" t="s">
        <v>11</v>
      </c>
      <c r="T190" s="34">
        <v>96735</v>
      </c>
      <c r="U190" s="34">
        <v>53985</v>
      </c>
      <c r="V190" s="34">
        <v>2033</v>
      </c>
      <c r="W190">
        <v>2024</v>
      </c>
      <c r="X190">
        <v>4205</v>
      </c>
      <c r="Y190">
        <v>4193</v>
      </c>
      <c r="Z190">
        <v>4710</v>
      </c>
      <c r="AA190">
        <v>1934</v>
      </c>
      <c r="AB190">
        <v>23094</v>
      </c>
      <c r="AC190">
        <v>14598</v>
      </c>
      <c r="AD190">
        <v>3985</v>
      </c>
      <c r="AE190">
        <v>3783</v>
      </c>
      <c r="AF190">
        <v>4182</v>
      </c>
      <c r="AG190">
        <v>4451</v>
      </c>
      <c r="AH190">
        <f t="shared" si="29"/>
        <v>3985</v>
      </c>
      <c r="AI190">
        <f t="shared" si="30"/>
        <v>3783</v>
      </c>
      <c r="AJ190">
        <v>29220</v>
      </c>
      <c r="AK190">
        <v>28042</v>
      </c>
      <c r="AL190">
        <v>49229</v>
      </c>
      <c r="AM190">
        <v>40204</v>
      </c>
      <c r="AN190">
        <v>515</v>
      </c>
      <c r="AO190">
        <v>515</v>
      </c>
      <c r="AP190" t="s">
        <v>11</v>
      </c>
      <c r="AQ190" t="s">
        <v>11</v>
      </c>
      <c r="AR190" t="s">
        <v>11</v>
      </c>
      <c r="AS190" t="s">
        <v>11</v>
      </c>
      <c r="AT190" t="str">
        <f t="shared" si="33"/>
        <v>NoData</v>
      </c>
      <c r="AU190" t="str">
        <f t="shared" si="34"/>
        <v>NoData</v>
      </c>
      <c r="AV190">
        <v>0</v>
      </c>
      <c r="AW190" t="s">
        <v>11</v>
      </c>
      <c r="AX190">
        <v>4</v>
      </c>
      <c r="AY190" t="s">
        <v>11</v>
      </c>
      <c r="AZ190" t="str">
        <f t="shared" si="35"/>
        <v>NoData</v>
      </c>
      <c r="BA190" t="str">
        <f t="shared" si="36"/>
        <v>NoData</v>
      </c>
      <c r="BB190">
        <f t="shared" si="31"/>
        <v>515</v>
      </c>
      <c r="BC190">
        <f t="shared" si="32"/>
        <v>515</v>
      </c>
      <c r="BD190" t="s">
        <v>11</v>
      </c>
      <c r="BE190" t="s">
        <v>11</v>
      </c>
      <c r="BF190" t="s">
        <v>11</v>
      </c>
      <c r="BG190" t="s">
        <v>11</v>
      </c>
      <c r="BH190" t="s">
        <v>11</v>
      </c>
      <c r="BI190" t="s">
        <v>11</v>
      </c>
      <c r="BJ190">
        <v>125</v>
      </c>
      <c r="BK190" t="s">
        <v>11</v>
      </c>
      <c r="BL190" t="s">
        <v>11</v>
      </c>
      <c r="BM190" t="s">
        <v>11</v>
      </c>
      <c r="BN190">
        <v>42</v>
      </c>
      <c r="BO190" t="s">
        <v>11</v>
      </c>
      <c r="BP190" t="str">
        <f t="shared" si="27"/>
        <v>NoData</v>
      </c>
      <c r="BQ190" t="str">
        <f t="shared" si="28"/>
        <v>NoData</v>
      </c>
      <c r="BR190" t="s">
        <v>11</v>
      </c>
      <c r="BS190" t="s">
        <v>11</v>
      </c>
      <c r="BT190" t="s">
        <v>11</v>
      </c>
      <c r="BU190" t="s">
        <v>11</v>
      </c>
    </row>
    <row r="191" spans="1:73" x14ac:dyDescent="0.25">
      <c r="A191" s="5">
        <v>31594</v>
      </c>
      <c r="B191">
        <v>3464</v>
      </c>
      <c r="C191" t="s">
        <v>11</v>
      </c>
      <c r="D191" t="s">
        <v>11</v>
      </c>
      <c r="E191" t="s">
        <v>11</v>
      </c>
      <c r="F191">
        <v>8999</v>
      </c>
      <c r="G191" t="s">
        <v>11</v>
      </c>
      <c r="H191">
        <v>4389</v>
      </c>
      <c r="I191" t="s">
        <v>11</v>
      </c>
      <c r="J191">
        <v>3263</v>
      </c>
      <c r="K191" t="s">
        <v>11</v>
      </c>
      <c r="L191">
        <v>73719</v>
      </c>
      <c r="M191">
        <v>45221</v>
      </c>
      <c r="N191">
        <v>764</v>
      </c>
      <c r="O191" t="s">
        <v>11</v>
      </c>
      <c r="P191" t="s">
        <v>11</v>
      </c>
      <c r="Q191" t="s">
        <v>11</v>
      </c>
      <c r="R191" t="s">
        <v>11</v>
      </c>
      <c r="S191" t="s">
        <v>11</v>
      </c>
      <c r="T191" s="34">
        <v>102825</v>
      </c>
      <c r="U191" s="34">
        <v>56425</v>
      </c>
      <c r="V191" s="34">
        <v>3335</v>
      </c>
      <c r="W191">
        <v>3318</v>
      </c>
      <c r="X191">
        <v>4690</v>
      </c>
      <c r="Y191">
        <v>4675</v>
      </c>
      <c r="Z191">
        <v>3665</v>
      </c>
      <c r="AA191">
        <v>1303</v>
      </c>
      <c r="AB191">
        <v>25148</v>
      </c>
      <c r="AC191">
        <v>16752</v>
      </c>
      <c r="AD191">
        <v>4193</v>
      </c>
      <c r="AE191">
        <v>3870</v>
      </c>
      <c r="AF191">
        <v>4307</v>
      </c>
      <c r="AG191">
        <v>4845</v>
      </c>
      <c r="AH191">
        <f t="shared" si="29"/>
        <v>4193</v>
      </c>
      <c r="AI191">
        <f t="shared" si="30"/>
        <v>3870</v>
      </c>
      <c r="AJ191">
        <v>28914</v>
      </c>
      <c r="AK191">
        <v>27032</v>
      </c>
      <c r="AL191">
        <v>44002</v>
      </c>
      <c r="AM191">
        <v>35932</v>
      </c>
      <c r="AN191">
        <v>787</v>
      </c>
      <c r="AO191">
        <v>787</v>
      </c>
      <c r="AP191" t="s">
        <v>11</v>
      </c>
      <c r="AQ191" t="s">
        <v>11</v>
      </c>
      <c r="AR191" t="s">
        <v>11</v>
      </c>
      <c r="AS191" t="s">
        <v>11</v>
      </c>
      <c r="AT191" t="str">
        <f t="shared" si="33"/>
        <v>NoData</v>
      </c>
      <c r="AU191" t="str">
        <f t="shared" si="34"/>
        <v>NoData</v>
      </c>
      <c r="AV191">
        <v>0</v>
      </c>
      <c r="AW191" t="s">
        <v>11</v>
      </c>
      <c r="AX191">
        <v>4</v>
      </c>
      <c r="AY191" t="s">
        <v>11</v>
      </c>
      <c r="AZ191" t="str">
        <f t="shared" si="35"/>
        <v>NoData</v>
      </c>
      <c r="BA191" t="str">
        <f t="shared" si="36"/>
        <v>NoData</v>
      </c>
      <c r="BB191">
        <f t="shared" si="31"/>
        <v>787</v>
      </c>
      <c r="BC191">
        <f t="shared" si="32"/>
        <v>787</v>
      </c>
      <c r="BD191" t="s">
        <v>11</v>
      </c>
      <c r="BE191" t="s">
        <v>11</v>
      </c>
      <c r="BF191" t="s">
        <v>11</v>
      </c>
      <c r="BG191" t="s">
        <v>11</v>
      </c>
      <c r="BH191" t="s">
        <v>11</v>
      </c>
      <c r="BI191" t="s">
        <v>11</v>
      </c>
      <c r="BJ191">
        <v>212</v>
      </c>
      <c r="BK191" t="s">
        <v>11</v>
      </c>
      <c r="BL191" t="s">
        <v>11</v>
      </c>
      <c r="BM191" t="s">
        <v>11</v>
      </c>
      <c r="BN191">
        <v>62</v>
      </c>
      <c r="BO191" t="s">
        <v>11</v>
      </c>
      <c r="BP191" t="str">
        <f t="shared" si="27"/>
        <v>NoData</v>
      </c>
      <c r="BQ191" t="str">
        <f t="shared" si="28"/>
        <v>NoData</v>
      </c>
      <c r="BR191" t="s">
        <v>11</v>
      </c>
      <c r="BS191" t="s">
        <v>11</v>
      </c>
      <c r="BT191" t="s">
        <v>11</v>
      </c>
      <c r="BU191" t="s">
        <v>11</v>
      </c>
    </row>
    <row r="192" spans="1:73" x14ac:dyDescent="0.25">
      <c r="A192" s="5">
        <v>31625</v>
      </c>
      <c r="B192">
        <v>2394</v>
      </c>
      <c r="C192" t="s">
        <v>11</v>
      </c>
      <c r="D192" t="s">
        <v>11</v>
      </c>
      <c r="E192" t="s">
        <v>11</v>
      </c>
      <c r="F192">
        <v>9301</v>
      </c>
      <c r="G192" t="s">
        <v>11</v>
      </c>
      <c r="H192">
        <v>4537</v>
      </c>
      <c r="I192" t="s">
        <v>11</v>
      </c>
      <c r="J192">
        <v>2576</v>
      </c>
      <c r="K192" t="s">
        <v>11</v>
      </c>
      <c r="L192">
        <v>70470</v>
      </c>
      <c r="M192">
        <v>42374</v>
      </c>
      <c r="N192">
        <v>821</v>
      </c>
      <c r="O192" t="s">
        <v>11</v>
      </c>
      <c r="P192" t="s">
        <v>11</v>
      </c>
      <c r="Q192" t="s">
        <v>11</v>
      </c>
      <c r="R192" t="s">
        <v>11</v>
      </c>
      <c r="S192" t="s">
        <v>11</v>
      </c>
      <c r="T192" s="34">
        <v>108288</v>
      </c>
      <c r="U192" s="34">
        <v>60545</v>
      </c>
      <c r="V192" s="34">
        <v>2986</v>
      </c>
      <c r="W192">
        <v>2971</v>
      </c>
      <c r="X192">
        <v>4353</v>
      </c>
      <c r="Y192">
        <v>4340</v>
      </c>
      <c r="Z192">
        <v>3449</v>
      </c>
      <c r="AA192">
        <v>1514</v>
      </c>
      <c r="AB192">
        <v>25993</v>
      </c>
      <c r="AC192">
        <v>18142</v>
      </c>
      <c r="AD192">
        <v>3764</v>
      </c>
      <c r="AE192">
        <v>3463</v>
      </c>
      <c r="AF192">
        <v>5267</v>
      </c>
      <c r="AG192">
        <v>5681</v>
      </c>
      <c r="AH192">
        <f t="shared" si="29"/>
        <v>3764</v>
      </c>
      <c r="AI192">
        <f t="shared" si="30"/>
        <v>3463</v>
      </c>
      <c r="AJ192">
        <v>28625</v>
      </c>
      <c r="AK192">
        <v>26882</v>
      </c>
      <c r="AL192">
        <v>50419</v>
      </c>
      <c r="AM192">
        <v>41394</v>
      </c>
      <c r="AN192">
        <v>717</v>
      </c>
      <c r="AO192">
        <v>717</v>
      </c>
      <c r="AP192" t="s">
        <v>11</v>
      </c>
      <c r="AQ192" t="s">
        <v>11</v>
      </c>
      <c r="AR192" t="s">
        <v>11</v>
      </c>
      <c r="AS192" t="s">
        <v>11</v>
      </c>
      <c r="AT192" t="str">
        <f t="shared" si="33"/>
        <v>NoData</v>
      </c>
      <c r="AU192" t="str">
        <f t="shared" si="34"/>
        <v>NoData</v>
      </c>
      <c r="AV192">
        <v>0</v>
      </c>
      <c r="AW192" t="s">
        <v>11</v>
      </c>
      <c r="AX192">
        <v>4</v>
      </c>
      <c r="AY192" t="s">
        <v>11</v>
      </c>
      <c r="AZ192" t="str">
        <f t="shared" si="35"/>
        <v>NoData</v>
      </c>
      <c r="BA192" t="str">
        <f t="shared" si="36"/>
        <v>NoData</v>
      </c>
      <c r="BB192">
        <f t="shared" si="31"/>
        <v>717</v>
      </c>
      <c r="BC192">
        <f t="shared" si="32"/>
        <v>717</v>
      </c>
      <c r="BD192" t="s">
        <v>11</v>
      </c>
      <c r="BE192" t="s">
        <v>11</v>
      </c>
      <c r="BF192" t="s">
        <v>11</v>
      </c>
      <c r="BG192" t="s">
        <v>11</v>
      </c>
      <c r="BH192" t="s">
        <v>11</v>
      </c>
      <c r="BI192" t="s">
        <v>11</v>
      </c>
      <c r="BJ192">
        <v>195</v>
      </c>
      <c r="BK192" t="s">
        <v>11</v>
      </c>
      <c r="BL192" t="s">
        <v>11</v>
      </c>
      <c r="BM192" t="s">
        <v>11</v>
      </c>
      <c r="BN192">
        <v>60</v>
      </c>
      <c r="BO192" t="s">
        <v>11</v>
      </c>
      <c r="BP192" t="str">
        <f t="shared" si="27"/>
        <v>NoData</v>
      </c>
      <c r="BQ192" t="str">
        <f t="shared" si="28"/>
        <v>NoData</v>
      </c>
      <c r="BR192" t="s">
        <v>11</v>
      </c>
      <c r="BS192" t="s">
        <v>11</v>
      </c>
      <c r="BT192" t="s">
        <v>11</v>
      </c>
      <c r="BU192" t="s">
        <v>11</v>
      </c>
    </row>
    <row r="193" spans="1:73" x14ac:dyDescent="0.25">
      <c r="A193" s="5">
        <v>31656</v>
      </c>
      <c r="B193">
        <v>1915</v>
      </c>
      <c r="C193" t="s">
        <v>11</v>
      </c>
      <c r="D193" t="s">
        <v>11</v>
      </c>
      <c r="E193" t="s">
        <v>11</v>
      </c>
      <c r="F193">
        <v>336</v>
      </c>
      <c r="G193" t="s">
        <v>11</v>
      </c>
      <c r="H193">
        <v>164</v>
      </c>
      <c r="I193" t="s">
        <v>11</v>
      </c>
      <c r="J193">
        <v>1506</v>
      </c>
      <c r="K193" t="s">
        <v>11</v>
      </c>
      <c r="L193">
        <v>48040</v>
      </c>
      <c r="M193">
        <v>21997</v>
      </c>
      <c r="N193">
        <v>402</v>
      </c>
      <c r="O193" t="s">
        <v>11</v>
      </c>
      <c r="P193" t="s">
        <v>11</v>
      </c>
      <c r="Q193" t="s">
        <v>11</v>
      </c>
      <c r="R193" t="s">
        <v>11</v>
      </c>
      <c r="S193" t="s">
        <v>11</v>
      </c>
      <c r="T193" s="34">
        <v>81490</v>
      </c>
      <c r="U193" s="34">
        <v>33461</v>
      </c>
      <c r="V193" s="34">
        <v>1667</v>
      </c>
      <c r="W193">
        <v>1658</v>
      </c>
      <c r="X193">
        <v>2824</v>
      </c>
      <c r="Y193">
        <v>2815</v>
      </c>
      <c r="Z193">
        <v>4246</v>
      </c>
      <c r="AA193">
        <v>1721</v>
      </c>
      <c r="AB193">
        <v>26344</v>
      </c>
      <c r="AC193">
        <v>15885</v>
      </c>
      <c r="AD193">
        <v>2977</v>
      </c>
      <c r="AE193">
        <v>2593</v>
      </c>
      <c r="AF193">
        <v>7012</v>
      </c>
      <c r="AG193">
        <v>7239</v>
      </c>
      <c r="AH193">
        <f t="shared" si="29"/>
        <v>2977</v>
      </c>
      <c r="AI193">
        <f t="shared" si="30"/>
        <v>2593</v>
      </c>
      <c r="AJ193">
        <v>20935</v>
      </c>
      <c r="AK193">
        <v>18708</v>
      </c>
      <c r="AL193">
        <v>41782</v>
      </c>
      <c r="AM193">
        <v>32703</v>
      </c>
      <c r="AN193">
        <v>814</v>
      </c>
      <c r="AO193">
        <v>814</v>
      </c>
      <c r="AP193" t="s">
        <v>11</v>
      </c>
      <c r="AQ193" t="s">
        <v>11</v>
      </c>
      <c r="AR193" t="s">
        <v>11</v>
      </c>
      <c r="AS193" t="s">
        <v>11</v>
      </c>
      <c r="AT193" t="str">
        <f t="shared" si="33"/>
        <v>NoData</v>
      </c>
      <c r="AU193" t="str">
        <f t="shared" si="34"/>
        <v>NoData</v>
      </c>
      <c r="AV193">
        <v>0</v>
      </c>
      <c r="AW193" t="s">
        <v>11</v>
      </c>
      <c r="AX193">
        <v>4</v>
      </c>
      <c r="AY193" t="s">
        <v>11</v>
      </c>
      <c r="AZ193" t="str">
        <f t="shared" si="35"/>
        <v>NoData</v>
      </c>
      <c r="BA193" t="str">
        <f t="shared" si="36"/>
        <v>NoData</v>
      </c>
      <c r="BB193">
        <f t="shared" si="31"/>
        <v>814</v>
      </c>
      <c r="BC193">
        <f t="shared" si="32"/>
        <v>814</v>
      </c>
      <c r="BD193" t="s">
        <v>11</v>
      </c>
      <c r="BE193" t="s">
        <v>11</v>
      </c>
      <c r="BF193" t="s">
        <v>11</v>
      </c>
      <c r="BG193" t="s">
        <v>11</v>
      </c>
      <c r="BH193" t="s">
        <v>11</v>
      </c>
      <c r="BI193" t="s">
        <v>11</v>
      </c>
      <c r="BJ193">
        <v>178</v>
      </c>
      <c r="BK193" t="s">
        <v>11</v>
      </c>
      <c r="BL193" t="s">
        <v>11</v>
      </c>
      <c r="BM193" t="s">
        <v>11</v>
      </c>
      <c r="BN193">
        <v>59</v>
      </c>
      <c r="BO193" t="s">
        <v>11</v>
      </c>
      <c r="BP193" t="str">
        <f t="shared" si="27"/>
        <v>NoData</v>
      </c>
      <c r="BQ193" t="str">
        <f t="shared" si="28"/>
        <v>NoData</v>
      </c>
      <c r="BR193" t="s">
        <v>11</v>
      </c>
      <c r="BS193" t="s">
        <v>11</v>
      </c>
      <c r="BT193" t="s">
        <v>11</v>
      </c>
      <c r="BU193" t="s">
        <v>11</v>
      </c>
    </row>
    <row r="194" spans="1:73" x14ac:dyDescent="0.25">
      <c r="A194" s="5">
        <v>31686</v>
      </c>
      <c r="B194">
        <v>1103</v>
      </c>
      <c r="C194" t="s">
        <v>11</v>
      </c>
      <c r="D194" t="s">
        <v>11</v>
      </c>
      <c r="E194" t="s">
        <v>11</v>
      </c>
      <c r="F194">
        <v>7</v>
      </c>
      <c r="G194" t="s">
        <v>11</v>
      </c>
      <c r="H194">
        <v>0</v>
      </c>
      <c r="I194" t="s">
        <v>11</v>
      </c>
      <c r="J194">
        <v>627</v>
      </c>
      <c r="K194" t="s">
        <v>11</v>
      </c>
      <c r="L194">
        <v>29336</v>
      </c>
      <c r="M194">
        <v>5979</v>
      </c>
      <c r="N194">
        <v>291</v>
      </c>
      <c r="O194" t="s">
        <v>11</v>
      </c>
      <c r="P194" t="s">
        <v>11</v>
      </c>
      <c r="Q194" t="s">
        <v>11</v>
      </c>
      <c r="R194" t="s">
        <v>11</v>
      </c>
      <c r="S194" t="s">
        <v>11</v>
      </c>
      <c r="T194" s="34">
        <v>47312</v>
      </c>
      <c r="U194" s="34">
        <v>1556</v>
      </c>
      <c r="V194" s="34">
        <v>3515</v>
      </c>
      <c r="W194">
        <v>3496</v>
      </c>
      <c r="X194">
        <v>3825</v>
      </c>
      <c r="Y194">
        <v>3813</v>
      </c>
      <c r="Z194">
        <v>3753</v>
      </c>
      <c r="AA194">
        <v>711</v>
      </c>
      <c r="AB194">
        <v>31521</v>
      </c>
      <c r="AC194">
        <v>19774</v>
      </c>
      <c r="AD194">
        <v>2576</v>
      </c>
      <c r="AE194">
        <v>2264</v>
      </c>
      <c r="AF194">
        <v>6425</v>
      </c>
      <c r="AG194">
        <v>6358</v>
      </c>
      <c r="AH194">
        <f t="shared" si="29"/>
        <v>2576</v>
      </c>
      <c r="AI194">
        <f t="shared" si="30"/>
        <v>2264</v>
      </c>
      <c r="AJ194">
        <v>16431</v>
      </c>
      <c r="AK194">
        <v>14626</v>
      </c>
      <c r="AL194">
        <v>22191</v>
      </c>
      <c r="AM194">
        <v>11486</v>
      </c>
      <c r="AN194">
        <v>491</v>
      </c>
      <c r="AO194">
        <v>491</v>
      </c>
      <c r="AP194" t="s">
        <v>11</v>
      </c>
      <c r="AQ194" t="s">
        <v>11</v>
      </c>
      <c r="AR194" t="s">
        <v>11</v>
      </c>
      <c r="AS194" t="s">
        <v>11</v>
      </c>
      <c r="AT194" t="str">
        <f t="shared" si="33"/>
        <v>NoData</v>
      </c>
      <c r="AU194" t="str">
        <f t="shared" si="34"/>
        <v>NoData</v>
      </c>
      <c r="AV194">
        <v>1</v>
      </c>
      <c r="AW194" t="s">
        <v>11</v>
      </c>
      <c r="AX194">
        <v>4</v>
      </c>
      <c r="AY194" t="s">
        <v>11</v>
      </c>
      <c r="AZ194" t="str">
        <f t="shared" si="35"/>
        <v>NoData</v>
      </c>
      <c r="BA194" t="str">
        <f t="shared" si="36"/>
        <v>NoData</v>
      </c>
      <c r="BB194">
        <f t="shared" si="31"/>
        <v>491</v>
      </c>
      <c r="BC194">
        <f t="shared" si="32"/>
        <v>491</v>
      </c>
      <c r="BD194" t="s">
        <v>11</v>
      </c>
      <c r="BE194" t="s">
        <v>11</v>
      </c>
      <c r="BF194" t="s">
        <v>11</v>
      </c>
      <c r="BG194" t="s">
        <v>11</v>
      </c>
      <c r="BH194" t="s">
        <v>11</v>
      </c>
      <c r="BI194" t="s">
        <v>11</v>
      </c>
      <c r="BJ194">
        <v>208</v>
      </c>
      <c r="BK194" t="s">
        <v>11</v>
      </c>
      <c r="BL194" t="s">
        <v>11</v>
      </c>
      <c r="BM194" t="s">
        <v>11</v>
      </c>
      <c r="BN194">
        <v>53</v>
      </c>
      <c r="BO194" t="s">
        <v>11</v>
      </c>
      <c r="BP194" t="str">
        <f t="shared" si="27"/>
        <v>NoData</v>
      </c>
      <c r="BQ194" t="str">
        <f t="shared" si="28"/>
        <v>NoData</v>
      </c>
      <c r="BR194" t="s">
        <v>11</v>
      </c>
      <c r="BS194" t="s">
        <v>11</v>
      </c>
      <c r="BT194" t="s">
        <v>11</v>
      </c>
      <c r="BU194" t="s">
        <v>11</v>
      </c>
    </row>
    <row r="195" spans="1:73" x14ac:dyDescent="0.25">
      <c r="A195" s="5">
        <v>31717</v>
      </c>
      <c r="B195">
        <v>837</v>
      </c>
      <c r="C195" t="s">
        <v>11</v>
      </c>
      <c r="D195" t="s">
        <v>11</v>
      </c>
      <c r="E195" t="s">
        <v>11</v>
      </c>
      <c r="F195">
        <v>0</v>
      </c>
      <c r="G195" t="s">
        <v>11</v>
      </c>
      <c r="H195">
        <v>0</v>
      </c>
      <c r="I195" t="s">
        <v>11</v>
      </c>
      <c r="J195">
        <v>436</v>
      </c>
      <c r="K195" t="s">
        <v>11</v>
      </c>
      <c r="L195">
        <v>22786</v>
      </c>
      <c r="M195">
        <v>5712</v>
      </c>
      <c r="N195">
        <v>162</v>
      </c>
      <c r="O195" t="s">
        <v>11</v>
      </c>
      <c r="P195" t="s">
        <v>11</v>
      </c>
      <c r="Q195" t="s">
        <v>11</v>
      </c>
      <c r="R195" t="s">
        <v>11</v>
      </c>
      <c r="S195" t="s">
        <v>11</v>
      </c>
      <c r="T195" s="34">
        <v>42723</v>
      </c>
      <c r="U195" s="34">
        <v>4025</v>
      </c>
      <c r="V195" s="34">
        <v>1533</v>
      </c>
      <c r="W195">
        <v>1525</v>
      </c>
      <c r="X195">
        <v>2586</v>
      </c>
      <c r="Y195">
        <v>25476</v>
      </c>
      <c r="Z195">
        <v>3070</v>
      </c>
      <c r="AA195">
        <v>448</v>
      </c>
      <c r="AB195">
        <v>19910</v>
      </c>
      <c r="AC195">
        <v>7904</v>
      </c>
      <c r="AD195">
        <v>2038</v>
      </c>
      <c r="AE195">
        <v>1728</v>
      </c>
      <c r="AF195">
        <v>5103</v>
      </c>
      <c r="AG195">
        <v>4837</v>
      </c>
      <c r="AH195">
        <f t="shared" si="29"/>
        <v>2038</v>
      </c>
      <c r="AI195">
        <f t="shared" si="30"/>
        <v>1728</v>
      </c>
      <c r="AJ195">
        <v>12151</v>
      </c>
      <c r="AK195">
        <v>10342</v>
      </c>
      <c r="AL195">
        <v>20757</v>
      </c>
      <c r="AM195">
        <v>10264</v>
      </c>
      <c r="AN195">
        <v>469</v>
      </c>
      <c r="AO195">
        <v>469</v>
      </c>
      <c r="AP195" t="s">
        <v>11</v>
      </c>
      <c r="AQ195" t="s">
        <v>11</v>
      </c>
      <c r="AR195" t="s">
        <v>11</v>
      </c>
      <c r="AS195" t="s">
        <v>11</v>
      </c>
      <c r="AT195" t="str">
        <f t="shared" si="33"/>
        <v>NoData</v>
      </c>
      <c r="AU195" t="str">
        <f t="shared" si="34"/>
        <v>NoData</v>
      </c>
      <c r="AV195">
        <v>2</v>
      </c>
      <c r="AW195" t="s">
        <v>11</v>
      </c>
      <c r="AX195">
        <v>4</v>
      </c>
      <c r="AY195" t="s">
        <v>11</v>
      </c>
      <c r="AZ195" t="str">
        <f t="shared" si="35"/>
        <v>NoData</v>
      </c>
      <c r="BA195" t="str">
        <f t="shared" si="36"/>
        <v>NoData</v>
      </c>
      <c r="BB195">
        <f t="shared" si="31"/>
        <v>469</v>
      </c>
      <c r="BC195">
        <f t="shared" si="32"/>
        <v>469</v>
      </c>
      <c r="BD195" t="s">
        <v>11</v>
      </c>
      <c r="BE195" t="s">
        <v>11</v>
      </c>
      <c r="BF195" t="s">
        <v>11</v>
      </c>
      <c r="BG195" t="s">
        <v>11</v>
      </c>
      <c r="BH195" t="s">
        <v>11</v>
      </c>
      <c r="BI195" t="s">
        <v>11</v>
      </c>
      <c r="BJ195">
        <v>82</v>
      </c>
      <c r="BK195" t="s">
        <v>11</v>
      </c>
      <c r="BL195" t="s">
        <v>11</v>
      </c>
      <c r="BM195" t="s">
        <v>11</v>
      </c>
      <c r="BN195">
        <v>0</v>
      </c>
      <c r="BO195" t="s">
        <v>11</v>
      </c>
      <c r="BP195" t="str">
        <f t="shared" si="27"/>
        <v>NoData</v>
      </c>
      <c r="BQ195" t="str">
        <f t="shared" si="28"/>
        <v>NoData</v>
      </c>
      <c r="BR195" t="s">
        <v>11</v>
      </c>
      <c r="BS195" t="s">
        <v>11</v>
      </c>
      <c r="BT195" t="s">
        <v>11</v>
      </c>
      <c r="BU195" t="s">
        <v>11</v>
      </c>
    </row>
    <row r="196" spans="1:73" x14ac:dyDescent="0.25">
      <c r="A196" s="5">
        <v>31747</v>
      </c>
      <c r="B196">
        <v>555</v>
      </c>
      <c r="C196" t="s">
        <v>11</v>
      </c>
      <c r="D196" t="s">
        <v>11</v>
      </c>
      <c r="E196" t="s">
        <v>11</v>
      </c>
      <c r="F196">
        <v>0</v>
      </c>
      <c r="G196" t="s">
        <v>11</v>
      </c>
      <c r="H196">
        <v>0</v>
      </c>
      <c r="I196" t="s">
        <v>11</v>
      </c>
      <c r="J196">
        <v>119</v>
      </c>
      <c r="K196" t="s">
        <v>11</v>
      </c>
      <c r="L196">
        <v>22622</v>
      </c>
      <c r="M196">
        <v>3805</v>
      </c>
      <c r="N196">
        <v>141</v>
      </c>
      <c r="O196" t="s">
        <v>11</v>
      </c>
      <c r="P196" t="s">
        <v>11</v>
      </c>
      <c r="Q196" t="s">
        <v>11</v>
      </c>
      <c r="R196" t="s">
        <v>11</v>
      </c>
      <c r="S196" t="s">
        <v>11</v>
      </c>
      <c r="T196" s="34">
        <v>36986</v>
      </c>
      <c r="U196" s="34">
        <v>8813</v>
      </c>
      <c r="V196" s="34">
        <v>1688</v>
      </c>
      <c r="W196">
        <v>1678</v>
      </c>
      <c r="X196">
        <v>2590</v>
      </c>
      <c r="Y196">
        <v>2581</v>
      </c>
      <c r="Z196">
        <v>1977</v>
      </c>
      <c r="AA196">
        <v>280</v>
      </c>
      <c r="AB196">
        <v>13932</v>
      </c>
      <c r="AC196">
        <v>3878</v>
      </c>
      <c r="AD196">
        <v>1541</v>
      </c>
      <c r="AE196">
        <v>1254</v>
      </c>
      <c r="AF196">
        <v>3566</v>
      </c>
      <c r="AG196">
        <v>3460</v>
      </c>
      <c r="AH196">
        <f t="shared" si="29"/>
        <v>1541</v>
      </c>
      <c r="AI196">
        <f t="shared" si="30"/>
        <v>1254</v>
      </c>
      <c r="AJ196">
        <v>6705</v>
      </c>
      <c r="AK196">
        <v>5044</v>
      </c>
      <c r="AL196">
        <v>14807</v>
      </c>
      <c r="AM196">
        <v>2335</v>
      </c>
      <c r="AN196">
        <v>319</v>
      </c>
      <c r="AO196">
        <v>319</v>
      </c>
      <c r="AP196" t="s">
        <v>11</v>
      </c>
      <c r="AQ196" t="s">
        <v>11</v>
      </c>
      <c r="AR196" t="s">
        <v>11</v>
      </c>
      <c r="AS196" t="s">
        <v>11</v>
      </c>
      <c r="AT196" t="str">
        <f t="shared" si="33"/>
        <v>NoData</v>
      </c>
      <c r="AU196" t="str">
        <f t="shared" si="34"/>
        <v>NoData</v>
      </c>
      <c r="AV196">
        <v>1</v>
      </c>
      <c r="AW196" t="s">
        <v>11</v>
      </c>
      <c r="AX196">
        <v>4</v>
      </c>
      <c r="AY196" t="s">
        <v>11</v>
      </c>
      <c r="AZ196" t="str">
        <f t="shared" si="35"/>
        <v>NoData</v>
      </c>
      <c r="BA196" t="str">
        <f t="shared" si="36"/>
        <v>NoData</v>
      </c>
      <c r="BB196">
        <f t="shared" si="31"/>
        <v>319</v>
      </c>
      <c r="BC196">
        <f t="shared" si="32"/>
        <v>319</v>
      </c>
      <c r="BD196" t="s">
        <v>11</v>
      </c>
      <c r="BE196" t="s">
        <v>11</v>
      </c>
      <c r="BF196" t="s">
        <v>11</v>
      </c>
      <c r="BG196" t="s">
        <v>11</v>
      </c>
      <c r="BH196" t="s">
        <v>11</v>
      </c>
      <c r="BI196" t="s">
        <v>11</v>
      </c>
      <c r="BJ196">
        <v>83</v>
      </c>
      <c r="BK196" t="s">
        <v>11</v>
      </c>
      <c r="BL196" t="s">
        <v>11</v>
      </c>
      <c r="BM196" t="s">
        <v>11</v>
      </c>
      <c r="BN196">
        <v>0</v>
      </c>
      <c r="BO196" t="s">
        <v>11</v>
      </c>
      <c r="BP196" t="str">
        <f t="shared" si="27"/>
        <v>NoData</v>
      </c>
      <c r="BQ196" t="str">
        <f t="shared" si="28"/>
        <v>NoData</v>
      </c>
      <c r="BR196" t="s">
        <v>11</v>
      </c>
      <c r="BS196" t="s">
        <v>11</v>
      </c>
      <c r="BT196" t="s">
        <v>11</v>
      </c>
      <c r="BU196" t="s">
        <v>11</v>
      </c>
    </row>
    <row r="197" spans="1:73" x14ac:dyDescent="0.25">
      <c r="A197" s="5">
        <v>31778</v>
      </c>
      <c r="B197">
        <v>776</v>
      </c>
      <c r="C197">
        <v>776</v>
      </c>
      <c r="D197" t="s">
        <v>11</v>
      </c>
      <c r="E197" t="s">
        <v>11</v>
      </c>
      <c r="F197" t="s">
        <v>11</v>
      </c>
      <c r="G197" t="s">
        <v>11</v>
      </c>
      <c r="H197" t="s">
        <v>11</v>
      </c>
      <c r="I197" t="s">
        <v>11</v>
      </c>
      <c r="J197">
        <v>827</v>
      </c>
      <c r="K197">
        <v>827</v>
      </c>
      <c r="L197">
        <v>20035</v>
      </c>
      <c r="M197">
        <v>3785</v>
      </c>
      <c r="N197">
        <v>475</v>
      </c>
      <c r="O197">
        <v>475</v>
      </c>
      <c r="P197" t="s">
        <v>11</v>
      </c>
      <c r="Q197" t="s">
        <v>11</v>
      </c>
      <c r="R197" t="s">
        <v>11</v>
      </c>
      <c r="S197" t="s">
        <v>11</v>
      </c>
      <c r="T197" s="34">
        <v>33795</v>
      </c>
      <c r="U197" s="34">
        <v>2762</v>
      </c>
      <c r="V197" s="34">
        <v>1382</v>
      </c>
      <c r="W197">
        <v>1370</v>
      </c>
      <c r="X197">
        <v>2930</v>
      </c>
      <c r="Y197">
        <v>2916</v>
      </c>
      <c r="Z197">
        <v>3383</v>
      </c>
      <c r="AA197">
        <v>558</v>
      </c>
      <c r="AB197">
        <v>15163</v>
      </c>
      <c r="AC197">
        <v>5681</v>
      </c>
      <c r="AD197">
        <v>1606</v>
      </c>
      <c r="AE197">
        <v>1426</v>
      </c>
      <c r="AF197">
        <v>3322</v>
      </c>
      <c r="AG197">
        <v>3397</v>
      </c>
      <c r="AH197">
        <f t="shared" si="29"/>
        <v>1606</v>
      </c>
      <c r="AI197">
        <f t="shared" si="30"/>
        <v>1426</v>
      </c>
      <c r="AJ197">
        <v>13604</v>
      </c>
      <c r="AK197">
        <v>12587</v>
      </c>
      <c r="AL197">
        <v>18629</v>
      </c>
      <c r="AM197">
        <v>6534</v>
      </c>
      <c r="AN197">
        <v>61</v>
      </c>
      <c r="AO197">
        <v>61</v>
      </c>
      <c r="AP197" t="s">
        <v>11</v>
      </c>
      <c r="AQ197" t="s">
        <v>11</v>
      </c>
      <c r="AR197" t="s">
        <v>11</v>
      </c>
      <c r="AS197" t="s">
        <v>11</v>
      </c>
      <c r="AT197" t="str">
        <f t="shared" si="33"/>
        <v>NoData</v>
      </c>
      <c r="AU197" t="str">
        <f t="shared" si="34"/>
        <v>NoData</v>
      </c>
      <c r="AV197">
        <v>1</v>
      </c>
      <c r="AW197">
        <v>1</v>
      </c>
      <c r="AX197">
        <v>4</v>
      </c>
      <c r="AY197">
        <v>4</v>
      </c>
      <c r="AZ197" t="str">
        <f t="shared" si="35"/>
        <v>NoData</v>
      </c>
      <c r="BA197" t="str">
        <f t="shared" si="36"/>
        <v>NoData</v>
      </c>
      <c r="BB197">
        <f t="shared" si="31"/>
        <v>61</v>
      </c>
      <c r="BC197">
        <f t="shared" si="32"/>
        <v>61</v>
      </c>
      <c r="BD197" t="s">
        <v>11</v>
      </c>
      <c r="BE197" t="s">
        <v>11</v>
      </c>
      <c r="BF197" t="s">
        <v>11</v>
      </c>
      <c r="BG197" t="s">
        <v>11</v>
      </c>
      <c r="BH197">
        <v>0</v>
      </c>
      <c r="BI197" t="s">
        <v>11</v>
      </c>
      <c r="BJ197">
        <v>106</v>
      </c>
      <c r="BK197" t="s">
        <v>11</v>
      </c>
      <c r="BL197" t="s">
        <v>11</v>
      </c>
      <c r="BM197" t="s">
        <v>11</v>
      </c>
      <c r="BN197">
        <v>0</v>
      </c>
      <c r="BO197" t="s">
        <v>11</v>
      </c>
      <c r="BP197" t="str">
        <f t="shared" ref="BP197:BP260" si="37">BF197</f>
        <v>NoData</v>
      </c>
      <c r="BQ197" t="str">
        <f t="shared" ref="BQ197:BQ260" si="38">BG197</f>
        <v>NoData</v>
      </c>
      <c r="BR197" t="s">
        <v>11</v>
      </c>
      <c r="BS197" t="s">
        <v>11</v>
      </c>
      <c r="BT197" t="s">
        <v>11</v>
      </c>
      <c r="BU197" t="s">
        <v>11</v>
      </c>
    </row>
    <row r="198" spans="1:73" x14ac:dyDescent="0.25">
      <c r="A198" s="5">
        <v>31809</v>
      </c>
      <c r="B198">
        <v>788</v>
      </c>
      <c r="C198">
        <v>788</v>
      </c>
      <c r="D198" t="s">
        <v>11</v>
      </c>
      <c r="E198" t="s">
        <v>11</v>
      </c>
      <c r="F198" t="s">
        <v>11</v>
      </c>
      <c r="G198" t="s">
        <v>11</v>
      </c>
      <c r="H198" t="s">
        <v>11</v>
      </c>
      <c r="I198" t="s">
        <v>11</v>
      </c>
      <c r="J198">
        <v>1647</v>
      </c>
      <c r="K198">
        <v>1647</v>
      </c>
      <c r="L198">
        <v>44418</v>
      </c>
      <c r="M198">
        <v>26892</v>
      </c>
      <c r="N198">
        <v>101</v>
      </c>
      <c r="O198">
        <v>101</v>
      </c>
      <c r="P198" t="s">
        <v>11</v>
      </c>
      <c r="Q198" t="s">
        <v>11</v>
      </c>
      <c r="R198" t="s">
        <v>11</v>
      </c>
      <c r="S198" t="s">
        <v>11</v>
      </c>
      <c r="T198" s="34">
        <v>60098</v>
      </c>
      <c r="U198" s="34">
        <v>30928</v>
      </c>
      <c r="V198" s="34">
        <v>2404</v>
      </c>
      <c r="W198">
        <v>2390</v>
      </c>
      <c r="X198">
        <v>3542</v>
      </c>
      <c r="Y198">
        <v>3529</v>
      </c>
      <c r="Z198">
        <v>3446</v>
      </c>
      <c r="AA198">
        <v>717</v>
      </c>
      <c r="AB198">
        <v>15634</v>
      </c>
      <c r="AC198">
        <v>6688</v>
      </c>
      <c r="AD198">
        <v>1842</v>
      </c>
      <c r="AE198">
        <v>1672</v>
      </c>
      <c r="AF198">
        <v>4360</v>
      </c>
      <c r="AG198">
        <v>4331</v>
      </c>
      <c r="AH198">
        <f t="shared" ref="AH198:AH261" si="39">AD198</f>
        <v>1842</v>
      </c>
      <c r="AI198">
        <f t="shared" ref="AI198:AI261" si="40">AE198</f>
        <v>1672</v>
      </c>
      <c r="AJ198">
        <v>12667</v>
      </c>
      <c r="AK198">
        <v>11706</v>
      </c>
      <c r="AL198">
        <v>29563</v>
      </c>
      <c r="AM198">
        <v>18910</v>
      </c>
      <c r="AN198">
        <v>27</v>
      </c>
      <c r="AO198">
        <v>27</v>
      </c>
      <c r="AP198" t="s">
        <v>11</v>
      </c>
      <c r="AQ198" t="s">
        <v>11</v>
      </c>
      <c r="AR198" t="s">
        <v>11</v>
      </c>
      <c r="AS198" t="s">
        <v>11</v>
      </c>
      <c r="AT198" t="str">
        <f t="shared" si="33"/>
        <v>NoData</v>
      </c>
      <c r="AU198" t="str">
        <f t="shared" si="34"/>
        <v>NoData</v>
      </c>
      <c r="AV198">
        <v>1</v>
      </c>
      <c r="AW198">
        <v>1</v>
      </c>
      <c r="AX198">
        <v>4</v>
      </c>
      <c r="AY198">
        <v>4</v>
      </c>
      <c r="AZ198" t="str">
        <f t="shared" si="35"/>
        <v>NoData</v>
      </c>
      <c r="BA198" t="str">
        <f t="shared" si="36"/>
        <v>NoData</v>
      </c>
      <c r="BB198">
        <f t="shared" ref="BB198:BB261" si="41">AN198</f>
        <v>27</v>
      </c>
      <c r="BC198">
        <f t="shared" ref="BC198:BC261" si="42">AO198</f>
        <v>27</v>
      </c>
      <c r="BD198" t="s">
        <v>11</v>
      </c>
      <c r="BE198" t="s">
        <v>11</v>
      </c>
      <c r="BF198" t="s">
        <v>11</v>
      </c>
      <c r="BG198" t="s">
        <v>11</v>
      </c>
      <c r="BH198">
        <v>0</v>
      </c>
      <c r="BI198" t="s">
        <v>11</v>
      </c>
      <c r="BJ198">
        <v>68</v>
      </c>
      <c r="BK198" t="s">
        <v>11</v>
      </c>
      <c r="BL198" t="s">
        <v>11</v>
      </c>
      <c r="BM198" t="s">
        <v>11</v>
      </c>
      <c r="BN198">
        <v>0</v>
      </c>
      <c r="BO198" t="s">
        <v>11</v>
      </c>
      <c r="BP198" t="str">
        <f t="shared" si="37"/>
        <v>NoData</v>
      </c>
      <c r="BQ198" t="str">
        <f t="shared" si="38"/>
        <v>NoData</v>
      </c>
      <c r="BR198" t="s">
        <v>11</v>
      </c>
      <c r="BS198" t="s">
        <v>11</v>
      </c>
      <c r="BT198" t="s">
        <v>11</v>
      </c>
      <c r="BU198" t="s">
        <v>11</v>
      </c>
    </row>
    <row r="199" spans="1:73" x14ac:dyDescent="0.25">
      <c r="A199" s="5">
        <v>31837</v>
      </c>
      <c r="B199">
        <v>1742</v>
      </c>
      <c r="C199">
        <v>1742</v>
      </c>
      <c r="D199" t="s">
        <v>11</v>
      </c>
      <c r="E199" t="s">
        <v>11</v>
      </c>
      <c r="F199" t="s">
        <v>11</v>
      </c>
      <c r="G199" t="s">
        <v>11</v>
      </c>
      <c r="H199" t="s">
        <v>11</v>
      </c>
      <c r="I199" t="s">
        <v>11</v>
      </c>
      <c r="J199">
        <v>2617</v>
      </c>
      <c r="K199">
        <v>2617</v>
      </c>
      <c r="L199">
        <v>54167</v>
      </c>
      <c r="M199">
        <v>31148</v>
      </c>
      <c r="N199">
        <v>436</v>
      </c>
      <c r="O199">
        <v>436</v>
      </c>
      <c r="P199" t="s">
        <v>11</v>
      </c>
      <c r="Q199" t="s">
        <v>11</v>
      </c>
      <c r="R199" t="s">
        <v>11</v>
      </c>
      <c r="S199" t="s">
        <v>11</v>
      </c>
      <c r="T199" s="34">
        <v>72312</v>
      </c>
      <c r="U199" s="34">
        <v>34008</v>
      </c>
      <c r="V199" s="34">
        <v>2087</v>
      </c>
      <c r="W199">
        <v>2074</v>
      </c>
      <c r="X199">
        <v>4545</v>
      </c>
      <c r="Y199">
        <v>4527</v>
      </c>
      <c r="Z199">
        <v>4094</v>
      </c>
      <c r="AA199">
        <v>1537</v>
      </c>
      <c r="AB199">
        <v>21352</v>
      </c>
      <c r="AC199">
        <v>12254</v>
      </c>
      <c r="AD199">
        <v>2446</v>
      </c>
      <c r="AE199">
        <v>2388</v>
      </c>
      <c r="AF199">
        <v>4512</v>
      </c>
      <c r="AG199">
        <v>4492</v>
      </c>
      <c r="AH199">
        <f t="shared" si="39"/>
        <v>2446</v>
      </c>
      <c r="AI199">
        <f t="shared" si="40"/>
        <v>2388</v>
      </c>
      <c r="AJ199">
        <v>14585</v>
      </c>
      <c r="AK199">
        <v>14257</v>
      </c>
      <c r="AL199">
        <v>36643</v>
      </c>
      <c r="AM199">
        <v>24504</v>
      </c>
      <c r="AN199">
        <v>53</v>
      </c>
      <c r="AO199">
        <v>53</v>
      </c>
      <c r="AP199" t="s">
        <v>11</v>
      </c>
      <c r="AQ199" t="s">
        <v>11</v>
      </c>
      <c r="AR199" t="s">
        <v>11</v>
      </c>
      <c r="AS199" t="s">
        <v>11</v>
      </c>
      <c r="AT199" t="str">
        <f t="shared" si="33"/>
        <v>NoData</v>
      </c>
      <c r="AU199" t="str">
        <f t="shared" si="34"/>
        <v>NoData</v>
      </c>
      <c r="AV199">
        <v>1</v>
      </c>
      <c r="AW199">
        <v>1</v>
      </c>
      <c r="AX199">
        <v>4</v>
      </c>
      <c r="AY199">
        <v>4</v>
      </c>
      <c r="AZ199" t="str">
        <f t="shared" si="35"/>
        <v>NoData</v>
      </c>
      <c r="BA199" t="str">
        <f t="shared" si="36"/>
        <v>NoData</v>
      </c>
      <c r="BB199">
        <f t="shared" si="41"/>
        <v>53</v>
      </c>
      <c r="BC199">
        <f t="shared" si="42"/>
        <v>53</v>
      </c>
      <c r="BD199" t="s">
        <v>11</v>
      </c>
      <c r="BE199" t="s">
        <v>11</v>
      </c>
      <c r="BF199" t="s">
        <v>11</v>
      </c>
      <c r="BG199" t="s">
        <v>11</v>
      </c>
      <c r="BH199">
        <v>0</v>
      </c>
      <c r="BI199" t="s">
        <v>11</v>
      </c>
      <c r="BJ199">
        <v>60</v>
      </c>
      <c r="BK199" t="s">
        <v>11</v>
      </c>
      <c r="BL199" t="s">
        <v>11</v>
      </c>
      <c r="BM199" t="s">
        <v>11</v>
      </c>
      <c r="BN199">
        <v>0</v>
      </c>
      <c r="BO199" t="s">
        <v>11</v>
      </c>
      <c r="BP199" t="str">
        <f t="shared" si="37"/>
        <v>NoData</v>
      </c>
      <c r="BQ199" t="str">
        <f t="shared" si="38"/>
        <v>NoData</v>
      </c>
      <c r="BR199" t="s">
        <v>11</v>
      </c>
      <c r="BS199" t="s">
        <v>11</v>
      </c>
      <c r="BT199" t="s">
        <v>11</v>
      </c>
      <c r="BU199" t="s">
        <v>11</v>
      </c>
    </row>
    <row r="200" spans="1:73" x14ac:dyDescent="0.25">
      <c r="A200" s="5">
        <v>31868</v>
      </c>
      <c r="B200">
        <v>1797</v>
      </c>
      <c r="C200">
        <v>1797</v>
      </c>
      <c r="D200" t="s">
        <v>11</v>
      </c>
      <c r="E200" t="s">
        <v>11</v>
      </c>
      <c r="F200" t="s">
        <v>11</v>
      </c>
      <c r="G200" t="s">
        <v>11</v>
      </c>
      <c r="H200" t="s">
        <v>11</v>
      </c>
      <c r="I200" t="s">
        <v>11</v>
      </c>
      <c r="J200">
        <v>2640</v>
      </c>
      <c r="K200">
        <v>2640</v>
      </c>
      <c r="L200">
        <v>62074</v>
      </c>
      <c r="M200">
        <v>39677</v>
      </c>
      <c r="N200">
        <v>244</v>
      </c>
      <c r="O200">
        <v>244</v>
      </c>
      <c r="P200" t="s">
        <v>11</v>
      </c>
      <c r="Q200" t="s">
        <v>11</v>
      </c>
      <c r="R200" t="s">
        <v>11</v>
      </c>
      <c r="S200" t="s">
        <v>11</v>
      </c>
      <c r="T200" s="34">
        <v>89723</v>
      </c>
      <c r="U200" s="34">
        <v>52922</v>
      </c>
      <c r="V200" s="34">
        <v>3402</v>
      </c>
      <c r="W200">
        <v>3376</v>
      </c>
      <c r="X200">
        <v>5789</v>
      </c>
      <c r="Y200">
        <v>5761</v>
      </c>
      <c r="Z200">
        <v>4212</v>
      </c>
      <c r="AA200">
        <v>1895</v>
      </c>
      <c r="AB200">
        <v>30083</v>
      </c>
      <c r="AC200">
        <v>20827</v>
      </c>
      <c r="AD200">
        <v>3095</v>
      </c>
      <c r="AE200">
        <v>2916</v>
      </c>
      <c r="AF200">
        <v>6016</v>
      </c>
      <c r="AG200">
        <v>6009</v>
      </c>
      <c r="AH200">
        <f t="shared" si="39"/>
        <v>3095</v>
      </c>
      <c r="AI200">
        <f t="shared" si="40"/>
        <v>2916</v>
      </c>
      <c r="AJ200">
        <v>23010</v>
      </c>
      <c r="AK200">
        <v>21998</v>
      </c>
      <c r="AL200">
        <v>41971</v>
      </c>
      <c r="AM200">
        <v>305354</v>
      </c>
      <c r="AN200">
        <v>138</v>
      </c>
      <c r="AO200">
        <v>138</v>
      </c>
      <c r="AP200" t="s">
        <v>11</v>
      </c>
      <c r="AQ200" t="s">
        <v>11</v>
      </c>
      <c r="AR200" t="s">
        <v>11</v>
      </c>
      <c r="AS200" t="s">
        <v>11</v>
      </c>
      <c r="AT200" t="str">
        <f t="shared" si="33"/>
        <v>NoData</v>
      </c>
      <c r="AU200" t="str">
        <f t="shared" si="34"/>
        <v>NoData</v>
      </c>
      <c r="AV200">
        <v>1</v>
      </c>
      <c r="AW200">
        <v>1</v>
      </c>
      <c r="AX200">
        <v>4</v>
      </c>
      <c r="AY200">
        <v>4</v>
      </c>
      <c r="AZ200" t="str">
        <f t="shared" si="35"/>
        <v>NoData</v>
      </c>
      <c r="BA200" t="str">
        <f t="shared" si="36"/>
        <v>NoData</v>
      </c>
      <c r="BB200">
        <f t="shared" si="41"/>
        <v>138</v>
      </c>
      <c r="BC200">
        <f t="shared" si="42"/>
        <v>138</v>
      </c>
      <c r="BD200" t="s">
        <v>11</v>
      </c>
      <c r="BE200" t="s">
        <v>11</v>
      </c>
      <c r="BF200" t="s">
        <v>11</v>
      </c>
      <c r="BG200" t="s">
        <v>11</v>
      </c>
      <c r="BH200">
        <v>0</v>
      </c>
      <c r="BI200" t="s">
        <v>11</v>
      </c>
      <c r="BJ200">
        <v>61</v>
      </c>
      <c r="BK200" t="s">
        <v>11</v>
      </c>
      <c r="BL200" t="s">
        <v>11</v>
      </c>
      <c r="BM200" t="s">
        <v>11</v>
      </c>
      <c r="BN200">
        <v>50</v>
      </c>
      <c r="BO200" t="s">
        <v>11</v>
      </c>
      <c r="BP200" t="str">
        <f t="shared" si="37"/>
        <v>NoData</v>
      </c>
      <c r="BQ200" t="str">
        <f t="shared" si="38"/>
        <v>NoData</v>
      </c>
      <c r="BR200" t="s">
        <v>11</v>
      </c>
      <c r="BS200" t="s">
        <v>11</v>
      </c>
      <c r="BT200" t="s">
        <v>11</v>
      </c>
      <c r="BU200" t="s">
        <v>11</v>
      </c>
    </row>
    <row r="201" spans="1:73" x14ac:dyDescent="0.25">
      <c r="A201" s="5">
        <v>31898</v>
      </c>
      <c r="B201">
        <v>2274</v>
      </c>
      <c r="C201">
        <v>2274</v>
      </c>
      <c r="D201" t="s">
        <v>11</v>
      </c>
      <c r="E201" t="s">
        <v>11</v>
      </c>
      <c r="F201" t="s">
        <v>11</v>
      </c>
      <c r="G201" t="s">
        <v>11</v>
      </c>
      <c r="H201" t="s">
        <v>11</v>
      </c>
      <c r="I201" t="s">
        <v>11</v>
      </c>
      <c r="J201">
        <v>3512</v>
      </c>
      <c r="K201">
        <v>3512</v>
      </c>
      <c r="L201">
        <v>71676</v>
      </c>
      <c r="M201">
        <v>45860</v>
      </c>
      <c r="N201">
        <v>469</v>
      </c>
      <c r="O201">
        <v>469</v>
      </c>
      <c r="P201" t="s">
        <v>11</v>
      </c>
      <c r="Q201" t="s">
        <v>11</v>
      </c>
      <c r="R201" t="s">
        <v>11</v>
      </c>
      <c r="S201" t="s">
        <v>11</v>
      </c>
      <c r="T201" s="34">
        <v>90824</v>
      </c>
      <c r="U201" s="34">
        <v>51801</v>
      </c>
      <c r="V201" s="34">
        <v>2220</v>
      </c>
      <c r="W201">
        <v>2201</v>
      </c>
      <c r="X201">
        <v>4782</v>
      </c>
      <c r="Y201">
        <v>4757</v>
      </c>
      <c r="Z201">
        <v>5752</v>
      </c>
      <c r="AA201">
        <v>2913</v>
      </c>
      <c r="AB201">
        <v>25549</v>
      </c>
      <c r="AC201">
        <v>16470</v>
      </c>
      <c r="AD201">
        <v>3116</v>
      </c>
      <c r="AE201">
        <v>2771</v>
      </c>
      <c r="AF201">
        <v>5686</v>
      </c>
      <c r="AG201">
        <v>5874</v>
      </c>
      <c r="AH201">
        <f t="shared" si="39"/>
        <v>3116</v>
      </c>
      <c r="AI201">
        <f t="shared" si="40"/>
        <v>2771</v>
      </c>
      <c r="AJ201">
        <v>26617</v>
      </c>
      <c r="AK201">
        <v>24664</v>
      </c>
      <c r="AL201">
        <v>45494</v>
      </c>
      <c r="AM201">
        <v>35083</v>
      </c>
      <c r="AN201">
        <v>251</v>
      </c>
      <c r="AO201">
        <v>251</v>
      </c>
      <c r="AP201" t="s">
        <v>11</v>
      </c>
      <c r="AQ201" t="s">
        <v>11</v>
      </c>
      <c r="AR201" t="s">
        <v>11</v>
      </c>
      <c r="AS201" t="s">
        <v>11</v>
      </c>
      <c r="AT201" t="str">
        <f t="shared" si="33"/>
        <v>NoData</v>
      </c>
      <c r="AU201" t="str">
        <f t="shared" si="34"/>
        <v>NoData</v>
      </c>
      <c r="AV201">
        <v>4</v>
      </c>
      <c r="AW201">
        <v>4</v>
      </c>
      <c r="AX201">
        <v>4</v>
      </c>
      <c r="AY201">
        <v>4</v>
      </c>
      <c r="AZ201" t="str">
        <f t="shared" si="35"/>
        <v>NoData</v>
      </c>
      <c r="BA201" t="str">
        <f t="shared" si="36"/>
        <v>NoData</v>
      </c>
      <c r="BB201">
        <f t="shared" si="41"/>
        <v>251</v>
      </c>
      <c r="BC201">
        <f t="shared" si="42"/>
        <v>251</v>
      </c>
      <c r="BD201" t="s">
        <v>11</v>
      </c>
      <c r="BE201" t="s">
        <v>11</v>
      </c>
      <c r="BF201" t="s">
        <v>11</v>
      </c>
      <c r="BG201" t="s">
        <v>11</v>
      </c>
      <c r="BH201">
        <v>0</v>
      </c>
      <c r="BI201" t="s">
        <v>11</v>
      </c>
      <c r="BJ201">
        <v>96</v>
      </c>
      <c r="BK201" t="s">
        <v>11</v>
      </c>
      <c r="BL201" t="s">
        <v>11</v>
      </c>
      <c r="BM201" t="s">
        <v>11</v>
      </c>
      <c r="BN201">
        <v>11</v>
      </c>
      <c r="BO201" t="s">
        <v>11</v>
      </c>
      <c r="BP201" t="str">
        <f t="shared" si="37"/>
        <v>NoData</v>
      </c>
      <c r="BQ201" t="str">
        <f t="shared" si="38"/>
        <v>NoData</v>
      </c>
      <c r="BR201" t="s">
        <v>11</v>
      </c>
      <c r="BS201" t="s">
        <v>11</v>
      </c>
      <c r="BT201" t="s">
        <v>11</v>
      </c>
      <c r="BU201" t="s">
        <v>11</v>
      </c>
    </row>
    <row r="202" spans="1:73" x14ac:dyDescent="0.25">
      <c r="A202" s="5">
        <v>31929</v>
      </c>
      <c r="B202">
        <v>2956</v>
      </c>
      <c r="C202">
        <v>2956</v>
      </c>
      <c r="D202" t="s">
        <v>11</v>
      </c>
      <c r="E202" t="s">
        <v>11</v>
      </c>
      <c r="F202" t="s">
        <v>11</v>
      </c>
      <c r="G202" t="s">
        <v>11</v>
      </c>
      <c r="H202" t="s">
        <v>11</v>
      </c>
      <c r="I202" t="s">
        <v>11</v>
      </c>
      <c r="J202">
        <v>4355</v>
      </c>
      <c r="K202">
        <v>4355</v>
      </c>
      <c r="L202">
        <v>82196</v>
      </c>
      <c r="M202">
        <v>57201</v>
      </c>
      <c r="N202">
        <v>1073</v>
      </c>
      <c r="O202">
        <v>1073</v>
      </c>
      <c r="P202" t="s">
        <v>11</v>
      </c>
      <c r="Q202" t="s">
        <v>11</v>
      </c>
      <c r="R202" t="s">
        <v>11</v>
      </c>
      <c r="S202" t="s">
        <v>11</v>
      </c>
      <c r="T202" s="34">
        <v>102269</v>
      </c>
      <c r="U202" s="34">
        <v>62350</v>
      </c>
      <c r="V202" s="34">
        <v>3004</v>
      </c>
      <c r="W202">
        <v>2978</v>
      </c>
      <c r="X202">
        <v>5116</v>
      </c>
      <c r="Y202">
        <v>5089</v>
      </c>
      <c r="Z202">
        <v>5708</v>
      </c>
      <c r="AA202">
        <v>2754</v>
      </c>
      <c r="AB202">
        <v>26773</v>
      </c>
      <c r="AC202">
        <v>17812</v>
      </c>
      <c r="AD202">
        <v>3797</v>
      </c>
      <c r="AE202">
        <v>3455</v>
      </c>
      <c r="AF202">
        <v>5252</v>
      </c>
      <c r="AG202">
        <v>5510</v>
      </c>
      <c r="AH202">
        <f t="shared" si="39"/>
        <v>3797</v>
      </c>
      <c r="AI202">
        <f t="shared" si="40"/>
        <v>3455</v>
      </c>
      <c r="AJ202">
        <v>28748</v>
      </c>
      <c r="AK202">
        <v>26809</v>
      </c>
      <c r="AL202">
        <v>50352</v>
      </c>
      <c r="AM202">
        <v>38673</v>
      </c>
      <c r="AN202">
        <v>158</v>
      </c>
      <c r="AO202">
        <v>158</v>
      </c>
      <c r="AP202" t="s">
        <v>11</v>
      </c>
      <c r="AQ202" t="s">
        <v>11</v>
      </c>
      <c r="AR202" t="s">
        <v>11</v>
      </c>
      <c r="AS202" t="s">
        <v>11</v>
      </c>
      <c r="AT202" t="str">
        <f t="shared" si="33"/>
        <v>NoData</v>
      </c>
      <c r="AU202" t="str">
        <f t="shared" si="34"/>
        <v>NoData</v>
      </c>
      <c r="AV202">
        <v>5</v>
      </c>
      <c r="AW202">
        <v>5</v>
      </c>
      <c r="AX202">
        <v>4</v>
      </c>
      <c r="AY202">
        <v>4</v>
      </c>
      <c r="AZ202" t="str">
        <f t="shared" si="35"/>
        <v>NoData</v>
      </c>
      <c r="BA202" t="str">
        <f t="shared" si="36"/>
        <v>NoData</v>
      </c>
      <c r="BB202">
        <f t="shared" si="41"/>
        <v>158</v>
      </c>
      <c r="BC202">
        <f t="shared" si="42"/>
        <v>158</v>
      </c>
      <c r="BD202" t="s">
        <v>11</v>
      </c>
      <c r="BE202" t="s">
        <v>11</v>
      </c>
      <c r="BF202" t="s">
        <v>11</v>
      </c>
      <c r="BG202" t="s">
        <v>11</v>
      </c>
      <c r="BH202">
        <v>0</v>
      </c>
      <c r="BI202" t="s">
        <v>11</v>
      </c>
      <c r="BJ202">
        <v>124</v>
      </c>
      <c r="BK202" t="s">
        <v>11</v>
      </c>
      <c r="BL202" t="s">
        <v>11</v>
      </c>
      <c r="BM202" t="s">
        <v>11</v>
      </c>
      <c r="BN202">
        <v>89</v>
      </c>
      <c r="BO202" t="s">
        <v>11</v>
      </c>
      <c r="BP202" t="str">
        <f t="shared" si="37"/>
        <v>NoData</v>
      </c>
      <c r="BQ202" t="str">
        <f t="shared" si="38"/>
        <v>NoData</v>
      </c>
      <c r="BR202" t="s">
        <v>11</v>
      </c>
      <c r="BS202" t="s">
        <v>11</v>
      </c>
      <c r="BT202" t="s">
        <v>11</v>
      </c>
      <c r="BU202" t="s">
        <v>11</v>
      </c>
    </row>
    <row r="203" spans="1:73" x14ac:dyDescent="0.25">
      <c r="A203" s="5">
        <v>31959</v>
      </c>
      <c r="B203">
        <v>3452</v>
      </c>
      <c r="C203">
        <v>3452</v>
      </c>
      <c r="D203" t="s">
        <v>11</v>
      </c>
      <c r="E203" t="s">
        <v>11</v>
      </c>
      <c r="F203" t="s">
        <v>11</v>
      </c>
      <c r="G203" t="s">
        <v>11</v>
      </c>
      <c r="H203" t="s">
        <v>11</v>
      </c>
      <c r="I203" t="s">
        <v>11</v>
      </c>
      <c r="J203">
        <v>3973</v>
      </c>
      <c r="K203">
        <v>3973</v>
      </c>
      <c r="L203">
        <v>89059</v>
      </c>
      <c r="M203">
        <v>63593</v>
      </c>
      <c r="N203">
        <v>772</v>
      </c>
      <c r="O203">
        <v>772</v>
      </c>
      <c r="P203" t="s">
        <v>11</v>
      </c>
      <c r="Q203" t="s">
        <v>11</v>
      </c>
      <c r="R203" t="s">
        <v>11</v>
      </c>
      <c r="S203" t="s">
        <v>11</v>
      </c>
      <c r="T203" s="34">
        <v>107168</v>
      </c>
      <c r="U203" s="34">
        <v>65478</v>
      </c>
      <c r="V203" s="34">
        <v>3971</v>
      </c>
      <c r="W203">
        <v>3935</v>
      </c>
      <c r="X203">
        <v>5263</v>
      </c>
      <c r="Y203">
        <v>5233</v>
      </c>
      <c r="Z203">
        <v>4527</v>
      </c>
      <c r="AA203">
        <v>1911</v>
      </c>
      <c r="AB203">
        <v>29727</v>
      </c>
      <c r="AC203">
        <v>21110</v>
      </c>
      <c r="AD203">
        <v>4427</v>
      </c>
      <c r="AE203">
        <v>4073</v>
      </c>
      <c r="AF203">
        <v>4595</v>
      </c>
      <c r="AG203">
        <v>4970</v>
      </c>
      <c r="AH203">
        <f t="shared" si="39"/>
        <v>4427</v>
      </c>
      <c r="AI203">
        <f t="shared" si="40"/>
        <v>4073</v>
      </c>
      <c r="AJ203">
        <v>32368</v>
      </c>
      <c r="AK203">
        <v>30362</v>
      </c>
      <c r="AL203">
        <v>55060</v>
      </c>
      <c r="AM203">
        <v>41273</v>
      </c>
      <c r="AN203">
        <v>218</v>
      </c>
      <c r="AO203">
        <v>218</v>
      </c>
      <c r="AP203" t="s">
        <v>11</v>
      </c>
      <c r="AQ203" t="s">
        <v>11</v>
      </c>
      <c r="AR203" t="s">
        <v>11</v>
      </c>
      <c r="AS203" t="s">
        <v>11</v>
      </c>
      <c r="AT203" t="str">
        <f t="shared" si="33"/>
        <v>NoData</v>
      </c>
      <c r="AU203" t="str">
        <f t="shared" si="34"/>
        <v>NoData</v>
      </c>
      <c r="AV203">
        <v>2</v>
      </c>
      <c r="AW203">
        <v>2</v>
      </c>
      <c r="AX203">
        <v>4</v>
      </c>
      <c r="AY203">
        <v>4</v>
      </c>
      <c r="AZ203" t="str">
        <f t="shared" si="35"/>
        <v>NoData</v>
      </c>
      <c r="BA203" t="str">
        <f t="shared" si="36"/>
        <v>NoData</v>
      </c>
      <c r="BB203">
        <f t="shared" si="41"/>
        <v>218</v>
      </c>
      <c r="BC203">
        <f t="shared" si="42"/>
        <v>218</v>
      </c>
      <c r="BD203" t="s">
        <v>11</v>
      </c>
      <c r="BE203" t="s">
        <v>11</v>
      </c>
      <c r="BF203" t="s">
        <v>11</v>
      </c>
      <c r="BG203" t="s">
        <v>11</v>
      </c>
      <c r="BH203">
        <v>0</v>
      </c>
      <c r="BI203" t="s">
        <v>11</v>
      </c>
      <c r="BJ203">
        <v>127</v>
      </c>
      <c r="BK203" t="s">
        <v>11</v>
      </c>
      <c r="BL203" t="s">
        <v>11</v>
      </c>
      <c r="BM203" t="s">
        <v>11</v>
      </c>
      <c r="BN203">
        <v>73</v>
      </c>
      <c r="BO203" t="s">
        <v>11</v>
      </c>
      <c r="BP203" t="str">
        <f t="shared" si="37"/>
        <v>NoData</v>
      </c>
      <c r="BQ203" t="str">
        <f t="shared" si="38"/>
        <v>NoData</v>
      </c>
      <c r="BR203" t="s">
        <v>11</v>
      </c>
      <c r="BS203" t="s">
        <v>11</v>
      </c>
      <c r="BT203" t="s">
        <v>11</v>
      </c>
      <c r="BU203" t="s">
        <v>11</v>
      </c>
    </row>
    <row r="204" spans="1:73" x14ac:dyDescent="0.25">
      <c r="A204" s="5">
        <v>31990</v>
      </c>
      <c r="B204">
        <v>3559</v>
      </c>
      <c r="C204">
        <v>3559</v>
      </c>
      <c r="D204" t="s">
        <v>11</v>
      </c>
      <c r="E204" t="s">
        <v>11</v>
      </c>
      <c r="F204" t="s">
        <v>11</v>
      </c>
      <c r="G204" t="s">
        <v>11</v>
      </c>
      <c r="H204" t="s">
        <v>11</v>
      </c>
      <c r="I204" t="s">
        <v>11</v>
      </c>
      <c r="J204">
        <v>4061</v>
      </c>
      <c r="K204">
        <v>4061</v>
      </c>
      <c r="L204">
        <v>79578</v>
      </c>
      <c r="M204">
        <v>50999</v>
      </c>
      <c r="N204">
        <v>1443</v>
      </c>
      <c r="O204">
        <v>1443</v>
      </c>
      <c r="P204" t="s">
        <v>11</v>
      </c>
      <c r="Q204" t="s">
        <v>11</v>
      </c>
      <c r="R204" t="s">
        <v>11</v>
      </c>
      <c r="S204" t="s">
        <v>11</v>
      </c>
      <c r="T204" s="34">
        <v>104550</v>
      </c>
      <c r="U204" s="34">
        <v>62221</v>
      </c>
      <c r="V204" s="34">
        <v>2682</v>
      </c>
      <c r="W204">
        <v>2658</v>
      </c>
      <c r="X204">
        <v>3593</v>
      </c>
      <c r="Y204">
        <v>3571</v>
      </c>
      <c r="Z204">
        <v>2794</v>
      </c>
      <c r="AA204">
        <v>1152</v>
      </c>
      <c r="AB204">
        <v>31473</v>
      </c>
      <c r="AC204">
        <v>22574</v>
      </c>
      <c r="AD204">
        <v>3461</v>
      </c>
      <c r="AE204">
        <v>3047</v>
      </c>
      <c r="AF204">
        <v>5412</v>
      </c>
      <c r="AG204">
        <v>5509</v>
      </c>
      <c r="AH204">
        <f t="shared" si="39"/>
        <v>3461</v>
      </c>
      <c r="AI204">
        <f t="shared" si="40"/>
        <v>3047</v>
      </c>
      <c r="AJ204">
        <v>28135</v>
      </c>
      <c r="AK204">
        <v>25790</v>
      </c>
      <c r="AL204">
        <v>51077</v>
      </c>
      <c r="AM204">
        <v>38615</v>
      </c>
      <c r="AN204">
        <v>42</v>
      </c>
      <c r="AO204">
        <v>42</v>
      </c>
      <c r="AP204" t="s">
        <v>11</v>
      </c>
      <c r="AQ204" t="s">
        <v>11</v>
      </c>
      <c r="AR204" t="s">
        <v>11</v>
      </c>
      <c r="AS204" t="s">
        <v>11</v>
      </c>
      <c r="AT204" t="str">
        <f t="shared" si="33"/>
        <v>NoData</v>
      </c>
      <c r="AU204" t="str">
        <f t="shared" si="34"/>
        <v>NoData</v>
      </c>
      <c r="AV204">
        <v>2</v>
      </c>
      <c r="AW204">
        <v>2</v>
      </c>
      <c r="AX204">
        <v>4</v>
      </c>
      <c r="AY204">
        <v>4</v>
      </c>
      <c r="AZ204" t="str">
        <f t="shared" si="35"/>
        <v>NoData</v>
      </c>
      <c r="BA204" t="str">
        <f t="shared" si="36"/>
        <v>NoData</v>
      </c>
      <c r="BB204">
        <f t="shared" si="41"/>
        <v>42</v>
      </c>
      <c r="BC204">
        <f t="shared" si="42"/>
        <v>42</v>
      </c>
      <c r="BD204" t="s">
        <v>11</v>
      </c>
      <c r="BE204" t="s">
        <v>11</v>
      </c>
      <c r="BF204" t="s">
        <v>11</v>
      </c>
      <c r="BG204" t="s">
        <v>11</v>
      </c>
      <c r="BH204">
        <v>27</v>
      </c>
      <c r="BI204" t="s">
        <v>11</v>
      </c>
      <c r="BJ204">
        <v>152</v>
      </c>
      <c r="BK204" t="s">
        <v>11</v>
      </c>
      <c r="BL204" t="s">
        <v>11</v>
      </c>
      <c r="BM204" t="s">
        <v>11</v>
      </c>
      <c r="BN204">
        <v>47</v>
      </c>
      <c r="BO204" t="s">
        <v>11</v>
      </c>
      <c r="BP204" t="str">
        <f t="shared" si="37"/>
        <v>NoData</v>
      </c>
      <c r="BQ204" t="str">
        <f t="shared" si="38"/>
        <v>NoData</v>
      </c>
      <c r="BR204" t="s">
        <v>11</v>
      </c>
      <c r="BS204" t="s">
        <v>11</v>
      </c>
      <c r="BT204" t="s">
        <v>11</v>
      </c>
      <c r="BU204" t="s">
        <v>11</v>
      </c>
    </row>
    <row r="205" spans="1:73" x14ac:dyDescent="0.25">
      <c r="A205" s="5">
        <v>32021</v>
      </c>
      <c r="B205">
        <v>2466</v>
      </c>
      <c r="C205">
        <v>2466</v>
      </c>
      <c r="D205" t="s">
        <v>11</v>
      </c>
      <c r="E205" t="s">
        <v>11</v>
      </c>
      <c r="F205" t="s">
        <v>11</v>
      </c>
      <c r="G205" t="s">
        <v>11</v>
      </c>
      <c r="H205" t="s">
        <v>11</v>
      </c>
      <c r="I205" t="s">
        <v>11</v>
      </c>
      <c r="J205">
        <v>3023</v>
      </c>
      <c r="K205">
        <v>3023</v>
      </c>
      <c r="L205">
        <v>50659</v>
      </c>
      <c r="M205">
        <v>24212</v>
      </c>
      <c r="N205">
        <v>421</v>
      </c>
      <c r="O205">
        <v>421</v>
      </c>
      <c r="P205" t="s">
        <v>11</v>
      </c>
      <c r="Q205" t="s">
        <v>11</v>
      </c>
      <c r="R205" t="s">
        <v>11</v>
      </c>
      <c r="S205" t="s">
        <v>11</v>
      </c>
      <c r="T205" s="34">
        <v>76513</v>
      </c>
      <c r="U205" s="34">
        <v>37018</v>
      </c>
      <c r="V205" s="34">
        <v>3664</v>
      </c>
      <c r="W205">
        <v>3621</v>
      </c>
      <c r="X205">
        <v>3126</v>
      </c>
      <c r="Y205">
        <v>3103</v>
      </c>
      <c r="Z205">
        <v>4437</v>
      </c>
      <c r="AA205">
        <v>1656</v>
      </c>
      <c r="AB205">
        <v>30250</v>
      </c>
      <c r="AC205">
        <v>20812</v>
      </c>
      <c r="AD205">
        <v>3317</v>
      </c>
      <c r="AE205">
        <v>3065</v>
      </c>
      <c r="AF205">
        <v>6746</v>
      </c>
      <c r="AG205">
        <v>6516</v>
      </c>
      <c r="AH205">
        <f t="shared" si="39"/>
        <v>3317</v>
      </c>
      <c r="AI205">
        <f t="shared" si="40"/>
        <v>3065</v>
      </c>
      <c r="AJ205">
        <v>23450</v>
      </c>
      <c r="AK205">
        <v>22021</v>
      </c>
      <c r="AL205">
        <v>46898</v>
      </c>
      <c r="AM205">
        <v>38833</v>
      </c>
      <c r="AN205">
        <v>106</v>
      </c>
      <c r="AO205">
        <v>106</v>
      </c>
      <c r="AP205" t="s">
        <v>11</v>
      </c>
      <c r="AQ205" t="s">
        <v>11</v>
      </c>
      <c r="AR205" t="s">
        <v>11</v>
      </c>
      <c r="AS205" t="s">
        <v>11</v>
      </c>
      <c r="AT205" t="str">
        <f t="shared" si="33"/>
        <v>NoData</v>
      </c>
      <c r="AU205" t="str">
        <f t="shared" si="34"/>
        <v>NoData</v>
      </c>
      <c r="AV205">
        <v>2</v>
      </c>
      <c r="AW205">
        <v>2</v>
      </c>
      <c r="AX205">
        <v>4</v>
      </c>
      <c r="AY205">
        <v>4</v>
      </c>
      <c r="AZ205" t="str">
        <f t="shared" si="35"/>
        <v>NoData</v>
      </c>
      <c r="BA205" t="str">
        <f t="shared" si="36"/>
        <v>NoData</v>
      </c>
      <c r="BB205">
        <f t="shared" si="41"/>
        <v>106</v>
      </c>
      <c r="BC205">
        <f t="shared" si="42"/>
        <v>106</v>
      </c>
      <c r="BD205" t="s">
        <v>11</v>
      </c>
      <c r="BE205" t="s">
        <v>11</v>
      </c>
      <c r="BF205" t="s">
        <v>11</v>
      </c>
      <c r="BG205" t="s">
        <v>11</v>
      </c>
      <c r="BH205">
        <v>0</v>
      </c>
      <c r="BI205" t="s">
        <v>11</v>
      </c>
      <c r="BJ205">
        <v>83</v>
      </c>
      <c r="BK205" t="s">
        <v>11</v>
      </c>
      <c r="BL205" t="s">
        <v>11</v>
      </c>
      <c r="BM205" t="s">
        <v>11</v>
      </c>
      <c r="BN205">
        <v>14</v>
      </c>
      <c r="BO205" t="s">
        <v>11</v>
      </c>
      <c r="BP205" t="str">
        <f t="shared" si="37"/>
        <v>NoData</v>
      </c>
      <c r="BQ205" t="str">
        <f t="shared" si="38"/>
        <v>NoData</v>
      </c>
      <c r="BR205" t="s">
        <v>11</v>
      </c>
      <c r="BS205" t="s">
        <v>11</v>
      </c>
      <c r="BT205" t="s">
        <v>11</v>
      </c>
      <c r="BU205" t="s">
        <v>11</v>
      </c>
    </row>
    <row r="206" spans="1:73" x14ac:dyDescent="0.25">
      <c r="A206" s="5">
        <v>32051</v>
      </c>
      <c r="B206">
        <v>1343</v>
      </c>
      <c r="C206">
        <v>1343</v>
      </c>
      <c r="D206" t="s">
        <v>11</v>
      </c>
      <c r="E206" t="s">
        <v>11</v>
      </c>
      <c r="F206" t="s">
        <v>11</v>
      </c>
      <c r="G206" t="s">
        <v>11</v>
      </c>
      <c r="H206" t="s">
        <v>11</v>
      </c>
      <c r="I206" t="s">
        <v>11</v>
      </c>
      <c r="J206">
        <v>1151</v>
      </c>
      <c r="K206">
        <v>1151</v>
      </c>
      <c r="L206">
        <v>32640</v>
      </c>
      <c r="M206">
        <v>10782</v>
      </c>
      <c r="N206">
        <v>122</v>
      </c>
      <c r="O206">
        <v>122</v>
      </c>
      <c r="P206" t="s">
        <v>11</v>
      </c>
      <c r="Q206" t="s">
        <v>11</v>
      </c>
      <c r="R206" t="s">
        <v>11</v>
      </c>
      <c r="S206" t="s">
        <v>11</v>
      </c>
      <c r="T206" s="34">
        <v>53701</v>
      </c>
      <c r="U206" s="34">
        <v>14927</v>
      </c>
      <c r="V206" s="34">
        <v>3245</v>
      </c>
      <c r="W206">
        <v>3207</v>
      </c>
      <c r="X206">
        <v>5343</v>
      </c>
      <c r="Y206">
        <v>5306</v>
      </c>
      <c r="Z206">
        <v>4832</v>
      </c>
      <c r="AA206">
        <v>1438</v>
      </c>
      <c r="AB206">
        <v>37045</v>
      </c>
      <c r="AC206">
        <v>25158</v>
      </c>
      <c r="AD206">
        <v>2589</v>
      </c>
      <c r="AE206">
        <v>2235</v>
      </c>
      <c r="AF206">
        <v>5874</v>
      </c>
      <c r="AG206">
        <v>5596</v>
      </c>
      <c r="AH206">
        <f t="shared" si="39"/>
        <v>2589</v>
      </c>
      <c r="AI206">
        <f t="shared" si="40"/>
        <v>2235</v>
      </c>
      <c r="AJ206">
        <v>16485</v>
      </c>
      <c r="AK206">
        <v>14478</v>
      </c>
      <c r="AL206">
        <v>29304</v>
      </c>
      <c r="AM206">
        <v>21299</v>
      </c>
      <c r="AN206">
        <v>436</v>
      </c>
      <c r="AO206">
        <v>436</v>
      </c>
      <c r="AP206" t="s">
        <v>11</v>
      </c>
      <c r="AQ206" t="s">
        <v>11</v>
      </c>
      <c r="AR206" t="s">
        <v>11</v>
      </c>
      <c r="AS206" t="s">
        <v>11</v>
      </c>
      <c r="AT206" t="str">
        <f t="shared" si="33"/>
        <v>NoData</v>
      </c>
      <c r="AU206" t="str">
        <f t="shared" si="34"/>
        <v>NoData</v>
      </c>
      <c r="AV206">
        <v>1</v>
      </c>
      <c r="AW206">
        <v>1</v>
      </c>
      <c r="AX206">
        <v>4</v>
      </c>
      <c r="AY206">
        <v>4</v>
      </c>
      <c r="AZ206" t="str">
        <f t="shared" si="35"/>
        <v>NoData</v>
      </c>
      <c r="BA206" t="str">
        <f t="shared" si="36"/>
        <v>NoData</v>
      </c>
      <c r="BB206">
        <f t="shared" si="41"/>
        <v>436</v>
      </c>
      <c r="BC206">
        <f t="shared" si="42"/>
        <v>436</v>
      </c>
      <c r="BD206" t="s">
        <v>11</v>
      </c>
      <c r="BE206" t="s">
        <v>11</v>
      </c>
      <c r="BF206" t="s">
        <v>11</v>
      </c>
      <c r="BG206" t="s">
        <v>11</v>
      </c>
      <c r="BH206">
        <v>42</v>
      </c>
      <c r="BI206" t="s">
        <v>11</v>
      </c>
      <c r="BJ206">
        <v>75</v>
      </c>
      <c r="BK206" t="s">
        <v>11</v>
      </c>
      <c r="BL206" t="s">
        <v>11</v>
      </c>
      <c r="BM206" t="s">
        <v>11</v>
      </c>
      <c r="BN206">
        <v>79</v>
      </c>
      <c r="BO206" t="s">
        <v>11</v>
      </c>
      <c r="BP206" t="str">
        <f t="shared" si="37"/>
        <v>NoData</v>
      </c>
      <c r="BQ206" t="str">
        <f t="shared" si="38"/>
        <v>NoData</v>
      </c>
      <c r="BR206" t="s">
        <v>11</v>
      </c>
      <c r="BS206" t="s">
        <v>11</v>
      </c>
      <c r="BT206" t="s">
        <v>11</v>
      </c>
      <c r="BU206" t="s">
        <v>11</v>
      </c>
    </row>
    <row r="207" spans="1:73" x14ac:dyDescent="0.25">
      <c r="A207" s="5">
        <v>32082</v>
      </c>
      <c r="B207">
        <v>762</v>
      </c>
      <c r="C207">
        <v>762</v>
      </c>
      <c r="D207" t="s">
        <v>11</v>
      </c>
      <c r="E207" t="s">
        <v>11</v>
      </c>
      <c r="F207" t="s">
        <v>11</v>
      </c>
      <c r="G207" t="s">
        <v>11</v>
      </c>
      <c r="H207" t="s">
        <v>11</v>
      </c>
      <c r="I207" t="s">
        <v>11</v>
      </c>
      <c r="J207">
        <v>53</v>
      </c>
      <c r="K207">
        <v>53</v>
      </c>
      <c r="L207">
        <v>17450</v>
      </c>
      <c r="M207">
        <v>-774</v>
      </c>
      <c r="N207">
        <v>72</v>
      </c>
      <c r="O207">
        <v>72</v>
      </c>
      <c r="P207" t="s">
        <v>11</v>
      </c>
      <c r="Q207" t="s">
        <v>11</v>
      </c>
      <c r="R207" t="s">
        <v>11</v>
      </c>
      <c r="S207" t="s">
        <v>11</v>
      </c>
      <c r="T207" s="34">
        <v>35576</v>
      </c>
      <c r="U207" s="34">
        <v>899</v>
      </c>
      <c r="V207" s="34">
        <v>2447</v>
      </c>
      <c r="W207">
        <v>2408</v>
      </c>
      <c r="X207">
        <v>2614</v>
      </c>
      <c r="Y207">
        <v>2591</v>
      </c>
      <c r="Z207">
        <v>2552</v>
      </c>
      <c r="AA207">
        <v>361</v>
      </c>
      <c r="AB207">
        <v>20802</v>
      </c>
      <c r="AC207">
        <v>9676</v>
      </c>
      <c r="AD207">
        <v>1434</v>
      </c>
      <c r="AE207">
        <v>1156</v>
      </c>
      <c r="AF207">
        <v>4370</v>
      </c>
      <c r="AG207">
        <v>4059</v>
      </c>
      <c r="AH207">
        <f t="shared" si="39"/>
        <v>1434</v>
      </c>
      <c r="AI207">
        <f t="shared" si="40"/>
        <v>1156</v>
      </c>
      <c r="AJ207">
        <v>8400</v>
      </c>
      <c r="AK207">
        <v>6825</v>
      </c>
      <c r="AL207">
        <v>24104</v>
      </c>
      <c r="AM207">
        <v>17293</v>
      </c>
      <c r="AN207">
        <v>35</v>
      </c>
      <c r="AO207">
        <v>35</v>
      </c>
      <c r="AP207" t="s">
        <v>11</v>
      </c>
      <c r="AQ207" t="s">
        <v>11</v>
      </c>
      <c r="AR207" t="s">
        <v>11</v>
      </c>
      <c r="AS207" t="s">
        <v>11</v>
      </c>
      <c r="AT207" t="str">
        <f t="shared" si="33"/>
        <v>NoData</v>
      </c>
      <c r="AU207" t="str">
        <f t="shared" si="34"/>
        <v>NoData</v>
      </c>
      <c r="AV207">
        <v>0</v>
      </c>
      <c r="AW207">
        <v>0</v>
      </c>
      <c r="AX207">
        <v>4</v>
      </c>
      <c r="AY207">
        <v>4</v>
      </c>
      <c r="AZ207" t="str">
        <f t="shared" si="35"/>
        <v>NoData</v>
      </c>
      <c r="BA207" t="str">
        <f t="shared" si="36"/>
        <v>NoData</v>
      </c>
      <c r="BB207">
        <f t="shared" si="41"/>
        <v>35</v>
      </c>
      <c r="BC207">
        <f t="shared" si="42"/>
        <v>35</v>
      </c>
      <c r="BD207" t="s">
        <v>11</v>
      </c>
      <c r="BE207" t="s">
        <v>11</v>
      </c>
      <c r="BF207" t="s">
        <v>11</v>
      </c>
      <c r="BG207" t="s">
        <v>11</v>
      </c>
      <c r="BH207">
        <v>1</v>
      </c>
      <c r="BI207" t="s">
        <v>11</v>
      </c>
      <c r="BJ207">
        <v>64</v>
      </c>
      <c r="BK207" t="s">
        <v>11</v>
      </c>
      <c r="BL207" t="s">
        <v>11</v>
      </c>
      <c r="BM207" t="s">
        <v>11</v>
      </c>
      <c r="BN207">
        <v>3</v>
      </c>
      <c r="BO207" t="s">
        <v>11</v>
      </c>
      <c r="BP207" t="str">
        <f t="shared" si="37"/>
        <v>NoData</v>
      </c>
      <c r="BQ207" t="str">
        <f t="shared" si="38"/>
        <v>NoData</v>
      </c>
      <c r="BR207" t="s">
        <v>11</v>
      </c>
      <c r="BS207" t="s">
        <v>11</v>
      </c>
      <c r="BT207" t="s">
        <v>11</v>
      </c>
      <c r="BU207" t="s">
        <v>11</v>
      </c>
    </row>
    <row r="208" spans="1:73" x14ac:dyDescent="0.25">
      <c r="A208" s="5">
        <v>32112</v>
      </c>
      <c r="B208">
        <v>601</v>
      </c>
      <c r="C208">
        <v>601</v>
      </c>
      <c r="D208" t="s">
        <v>11</v>
      </c>
      <c r="E208" t="s">
        <v>11</v>
      </c>
      <c r="F208" t="s">
        <v>11</v>
      </c>
      <c r="G208" t="s">
        <v>11</v>
      </c>
      <c r="H208" t="s">
        <v>11</v>
      </c>
      <c r="I208" t="s">
        <v>11</v>
      </c>
      <c r="J208">
        <v>363</v>
      </c>
      <c r="K208">
        <v>363</v>
      </c>
      <c r="L208">
        <v>22070</v>
      </c>
      <c r="M208">
        <v>4925</v>
      </c>
      <c r="N208">
        <v>104</v>
      </c>
      <c r="O208">
        <v>104</v>
      </c>
      <c r="P208" t="s">
        <v>11</v>
      </c>
      <c r="Q208" t="s">
        <v>11</v>
      </c>
      <c r="R208" t="s">
        <v>11</v>
      </c>
      <c r="S208" t="s">
        <v>11</v>
      </c>
      <c r="T208" s="34">
        <v>38041</v>
      </c>
      <c r="U208" s="34">
        <v>4822</v>
      </c>
      <c r="V208" s="34">
        <v>1873</v>
      </c>
      <c r="W208">
        <v>1859</v>
      </c>
      <c r="X208">
        <v>2405</v>
      </c>
      <c r="Y208">
        <v>2394</v>
      </c>
      <c r="Z208">
        <v>2868</v>
      </c>
      <c r="AA208">
        <v>660</v>
      </c>
      <c r="AB208">
        <v>14534</v>
      </c>
      <c r="AC208">
        <v>4718</v>
      </c>
      <c r="AD208">
        <v>2031</v>
      </c>
      <c r="AE208">
        <v>1709</v>
      </c>
      <c r="AF208">
        <v>3244</v>
      </c>
      <c r="AG208">
        <v>3430</v>
      </c>
      <c r="AH208">
        <f t="shared" si="39"/>
        <v>2031</v>
      </c>
      <c r="AI208">
        <f t="shared" si="40"/>
        <v>1709</v>
      </c>
      <c r="AJ208">
        <v>14911</v>
      </c>
      <c r="AK208">
        <v>13087</v>
      </c>
      <c r="AL208">
        <v>14609</v>
      </c>
      <c r="AM208">
        <v>8621</v>
      </c>
      <c r="AN208">
        <v>70</v>
      </c>
      <c r="AO208">
        <v>70</v>
      </c>
      <c r="AP208" t="s">
        <v>11</v>
      </c>
      <c r="AQ208" t="s">
        <v>11</v>
      </c>
      <c r="AR208" t="s">
        <v>11</v>
      </c>
      <c r="AS208" t="s">
        <v>11</v>
      </c>
      <c r="AT208" t="str">
        <f t="shared" si="33"/>
        <v>NoData</v>
      </c>
      <c r="AU208" t="str">
        <f t="shared" si="34"/>
        <v>NoData</v>
      </c>
      <c r="AV208">
        <v>1</v>
      </c>
      <c r="AW208">
        <v>1</v>
      </c>
      <c r="AX208">
        <v>4</v>
      </c>
      <c r="AY208">
        <v>4</v>
      </c>
      <c r="AZ208" t="str">
        <f t="shared" si="35"/>
        <v>NoData</v>
      </c>
      <c r="BA208" t="str">
        <f t="shared" si="36"/>
        <v>NoData</v>
      </c>
      <c r="BB208">
        <f t="shared" si="41"/>
        <v>70</v>
      </c>
      <c r="BC208">
        <f t="shared" si="42"/>
        <v>70</v>
      </c>
      <c r="BD208" t="s">
        <v>11</v>
      </c>
      <c r="BE208" t="s">
        <v>11</v>
      </c>
      <c r="BF208" t="s">
        <v>11</v>
      </c>
      <c r="BG208" t="s">
        <v>11</v>
      </c>
      <c r="BH208">
        <v>14</v>
      </c>
      <c r="BI208" t="s">
        <v>11</v>
      </c>
      <c r="BJ208">
        <v>136</v>
      </c>
      <c r="BK208" t="s">
        <v>11</v>
      </c>
      <c r="BL208" t="s">
        <v>11</v>
      </c>
      <c r="BM208" t="s">
        <v>11</v>
      </c>
      <c r="BN208">
        <v>0</v>
      </c>
      <c r="BO208" t="s">
        <v>11</v>
      </c>
      <c r="BP208" t="str">
        <f t="shared" si="37"/>
        <v>NoData</v>
      </c>
      <c r="BQ208" t="str">
        <f t="shared" si="38"/>
        <v>NoData</v>
      </c>
      <c r="BR208" t="s">
        <v>11</v>
      </c>
      <c r="BS208" t="s">
        <v>11</v>
      </c>
      <c r="BT208" t="s">
        <v>11</v>
      </c>
      <c r="BU208" t="s">
        <v>11</v>
      </c>
    </row>
    <row r="209" spans="1:73" x14ac:dyDescent="0.25">
      <c r="A209" s="5">
        <v>32143</v>
      </c>
      <c r="B209">
        <v>531</v>
      </c>
      <c r="C209">
        <v>531</v>
      </c>
      <c r="D209" t="s">
        <v>11</v>
      </c>
      <c r="E209" t="s">
        <v>11</v>
      </c>
      <c r="F209" t="s">
        <v>11</v>
      </c>
      <c r="G209" t="s">
        <v>11</v>
      </c>
      <c r="H209" t="s">
        <v>11</v>
      </c>
      <c r="I209" t="s">
        <v>11</v>
      </c>
      <c r="J209">
        <v>383</v>
      </c>
      <c r="K209">
        <v>383</v>
      </c>
      <c r="L209">
        <v>10431</v>
      </c>
      <c r="M209">
        <v>-3259</v>
      </c>
      <c r="N209">
        <v>131</v>
      </c>
      <c r="O209">
        <v>131</v>
      </c>
      <c r="P209" t="s">
        <v>11</v>
      </c>
      <c r="Q209" t="s">
        <v>11</v>
      </c>
      <c r="R209" t="s">
        <v>11</v>
      </c>
      <c r="S209" t="s">
        <v>11</v>
      </c>
      <c r="T209" s="34">
        <v>29245</v>
      </c>
      <c r="U209" s="34">
        <v>995</v>
      </c>
      <c r="V209" s="34">
        <v>2199</v>
      </c>
      <c r="W209">
        <v>2194</v>
      </c>
      <c r="X209">
        <v>1996</v>
      </c>
      <c r="Y209">
        <v>1993</v>
      </c>
      <c r="Z209">
        <v>2986</v>
      </c>
      <c r="AA209">
        <v>3919</v>
      </c>
      <c r="AB209">
        <v>14506</v>
      </c>
      <c r="AC209">
        <v>4887</v>
      </c>
      <c r="AD209">
        <v>1560</v>
      </c>
      <c r="AE209">
        <v>1242</v>
      </c>
      <c r="AF209">
        <v>2986</v>
      </c>
      <c r="AG209">
        <v>2919</v>
      </c>
      <c r="AH209">
        <f t="shared" si="39"/>
        <v>1560</v>
      </c>
      <c r="AI209">
        <f t="shared" si="40"/>
        <v>1242</v>
      </c>
      <c r="AJ209">
        <v>9151</v>
      </c>
      <c r="AK209">
        <v>7349</v>
      </c>
      <c r="AL209">
        <v>14287</v>
      </c>
      <c r="AM209">
        <v>8463</v>
      </c>
      <c r="AN209">
        <v>59</v>
      </c>
      <c r="AO209">
        <v>60</v>
      </c>
      <c r="AP209" t="s">
        <v>11</v>
      </c>
      <c r="AQ209" t="s">
        <v>11</v>
      </c>
      <c r="AR209" t="s">
        <v>11</v>
      </c>
      <c r="AS209" t="s">
        <v>11</v>
      </c>
      <c r="AT209" t="str">
        <f t="shared" si="33"/>
        <v>NoData</v>
      </c>
      <c r="AU209" t="str">
        <f t="shared" si="34"/>
        <v>NoData</v>
      </c>
      <c r="AV209">
        <v>1</v>
      </c>
      <c r="AW209">
        <v>1</v>
      </c>
      <c r="AX209">
        <v>4</v>
      </c>
      <c r="AY209">
        <v>4</v>
      </c>
      <c r="AZ209" t="str">
        <f t="shared" si="35"/>
        <v>NoData</v>
      </c>
      <c r="BA209" t="str">
        <f t="shared" si="36"/>
        <v>NoData</v>
      </c>
      <c r="BB209">
        <f t="shared" si="41"/>
        <v>59</v>
      </c>
      <c r="BC209">
        <f t="shared" si="42"/>
        <v>60</v>
      </c>
      <c r="BD209" t="s">
        <v>11</v>
      </c>
      <c r="BE209" t="s">
        <v>11</v>
      </c>
      <c r="BF209" t="s">
        <v>11</v>
      </c>
      <c r="BG209" t="s">
        <v>11</v>
      </c>
      <c r="BH209">
        <v>13</v>
      </c>
      <c r="BI209" t="s">
        <v>11</v>
      </c>
      <c r="BJ209">
        <v>112</v>
      </c>
      <c r="BK209" t="s">
        <v>11</v>
      </c>
      <c r="BL209" t="s">
        <v>11</v>
      </c>
      <c r="BM209" t="s">
        <v>11</v>
      </c>
      <c r="BN209">
        <v>0</v>
      </c>
      <c r="BO209" t="s">
        <v>11</v>
      </c>
      <c r="BP209" t="str">
        <f t="shared" si="37"/>
        <v>NoData</v>
      </c>
      <c r="BQ209" t="str">
        <f t="shared" si="38"/>
        <v>NoData</v>
      </c>
      <c r="BR209" t="s">
        <v>11</v>
      </c>
      <c r="BS209" t="s">
        <v>11</v>
      </c>
      <c r="BT209" t="s">
        <v>11</v>
      </c>
      <c r="BU209" t="s">
        <v>11</v>
      </c>
    </row>
    <row r="210" spans="1:73" x14ac:dyDescent="0.25">
      <c r="A210" s="5">
        <v>32174</v>
      </c>
      <c r="B210">
        <v>1145</v>
      </c>
      <c r="C210">
        <v>1145</v>
      </c>
      <c r="D210" t="s">
        <v>11</v>
      </c>
      <c r="E210" t="s">
        <v>11</v>
      </c>
      <c r="F210" t="s">
        <v>11</v>
      </c>
      <c r="G210" t="s">
        <v>11</v>
      </c>
      <c r="H210" t="s">
        <v>11</v>
      </c>
      <c r="I210" t="s">
        <v>11</v>
      </c>
      <c r="J210">
        <v>249</v>
      </c>
      <c r="K210">
        <v>249</v>
      </c>
      <c r="L210">
        <v>35622</v>
      </c>
      <c r="M210">
        <v>19573</v>
      </c>
      <c r="N210">
        <v>119</v>
      </c>
      <c r="O210">
        <v>119</v>
      </c>
      <c r="P210" t="s">
        <v>11</v>
      </c>
      <c r="Q210" t="s">
        <v>11</v>
      </c>
      <c r="R210" t="s">
        <v>11</v>
      </c>
      <c r="S210" t="s">
        <v>11</v>
      </c>
      <c r="T210" s="34">
        <v>53630</v>
      </c>
      <c r="U210" s="34">
        <v>24168</v>
      </c>
      <c r="V210" s="34">
        <v>2844</v>
      </c>
      <c r="W210">
        <v>2812</v>
      </c>
      <c r="X210">
        <v>3273</v>
      </c>
      <c r="Y210">
        <v>3251</v>
      </c>
      <c r="Z210">
        <v>3996</v>
      </c>
      <c r="AA210">
        <v>4052</v>
      </c>
      <c r="AB210">
        <v>18964</v>
      </c>
      <c r="AC210">
        <v>10585</v>
      </c>
      <c r="AD210">
        <v>1953</v>
      </c>
      <c r="AE210">
        <v>1618</v>
      </c>
      <c r="AF210">
        <v>3996</v>
      </c>
      <c r="AG210">
        <v>4052</v>
      </c>
      <c r="AH210">
        <f t="shared" si="39"/>
        <v>1953</v>
      </c>
      <c r="AI210">
        <f t="shared" si="40"/>
        <v>1618</v>
      </c>
      <c r="AJ210">
        <v>11584</v>
      </c>
      <c r="AK210">
        <v>9688</v>
      </c>
      <c r="AL210">
        <v>33612</v>
      </c>
      <c r="AM210">
        <v>24766</v>
      </c>
      <c r="AN210">
        <v>53</v>
      </c>
      <c r="AO210">
        <v>53</v>
      </c>
      <c r="AP210" t="s">
        <v>11</v>
      </c>
      <c r="AQ210" t="s">
        <v>11</v>
      </c>
      <c r="AR210" t="s">
        <v>11</v>
      </c>
      <c r="AS210" t="s">
        <v>11</v>
      </c>
      <c r="AT210" t="str">
        <f t="shared" si="33"/>
        <v>NoData</v>
      </c>
      <c r="AU210" t="str">
        <f t="shared" si="34"/>
        <v>NoData</v>
      </c>
      <c r="AV210">
        <v>0</v>
      </c>
      <c r="AW210">
        <v>0</v>
      </c>
      <c r="AX210">
        <v>4</v>
      </c>
      <c r="AY210">
        <v>4</v>
      </c>
      <c r="AZ210" t="str">
        <f t="shared" si="35"/>
        <v>NoData</v>
      </c>
      <c r="BA210" t="str">
        <f t="shared" si="36"/>
        <v>NoData</v>
      </c>
      <c r="BB210">
        <f t="shared" si="41"/>
        <v>53</v>
      </c>
      <c r="BC210">
        <f t="shared" si="42"/>
        <v>53</v>
      </c>
      <c r="BD210" t="s">
        <v>11</v>
      </c>
      <c r="BE210" t="s">
        <v>11</v>
      </c>
      <c r="BF210" t="s">
        <v>11</v>
      </c>
      <c r="BG210" t="s">
        <v>11</v>
      </c>
      <c r="BH210">
        <v>18</v>
      </c>
      <c r="BI210" t="s">
        <v>11</v>
      </c>
      <c r="BJ210">
        <v>142</v>
      </c>
      <c r="BK210" t="s">
        <v>11</v>
      </c>
      <c r="BL210" t="s">
        <v>11</v>
      </c>
      <c r="BM210" t="s">
        <v>11</v>
      </c>
      <c r="BN210">
        <v>0</v>
      </c>
      <c r="BO210" t="s">
        <v>11</v>
      </c>
      <c r="BP210" t="str">
        <f t="shared" si="37"/>
        <v>NoData</v>
      </c>
      <c r="BQ210" t="str">
        <f t="shared" si="38"/>
        <v>NoData</v>
      </c>
      <c r="BR210" t="s">
        <v>11</v>
      </c>
      <c r="BS210" t="s">
        <v>11</v>
      </c>
      <c r="BT210" t="s">
        <v>11</v>
      </c>
      <c r="BU210" t="s">
        <v>11</v>
      </c>
    </row>
    <row r="211" spans="1:73" x14ac:dyDescent="0.25">
      <c r="A211" s="5">
        <v>32203</v>
      </c>
      <c r="B211">
        <v>2116</v>
      </c>
      <c r="C211">
        <v>2116</v>
      </c>
      <c r="D211" t="s">
        <v>11</v>
      </c>
      <c r="E211" t="s">
        <v>11</v>
      </c>
      <c r="F211" t="s">
        <v>11</v>
      </c>
      <c r="G211" t="s">
        <v>11</v>
      </c>
      <c r="H211" t="s">
        <v>11</v>
      </c>
      <c r="I211" t="s">
        <v>11</v>
      </c>
      <c r="J211">
        <v>3052</v>
      </c>
      <c r="K211">
        <v>3052</v>
      </c>
      <c r="L211">
        <v>61782</v>
      </c>
      <c r="M211">
        <v>40706</v>
      </c>
      <c r="N211">
        <v>220</v>
      </c>
      <c r="O211">
        <v>220</v>
      </c>
      <c r="P211" t="s">
        <v>11</v>
      </c>
      <c r="Q211" t="s">
        <v>11</v>
      </c>
      <c r="R211" t="s">
        <v>11</v>
      </c>
      <c r="S211" t="s">
        <v>11</v>
      </c>
      <c r="T211" s="34">
        <v>87512</v>
      </c>
      <c r="U211" s="34">
        <v>52997</v>
      </c>
      <c r="V211" s="34">
        <v>3249</v>
      </c>
      <c r="W211">
        <v>3222</v>
      </c>
      <c r="X211">
        <v>4587</v>
      </c>
      <c r="Y211">
        <v>4565</v>
      </c>
      <c r="Z211">
        <v>5465</v>
      </c>
      <c r="AA211">
        <v>5161</v>
      </c>
      <c r="AB211">
        <v>25069</v>
      </c>
      <c r="AC211">
        <v>16262</v>
      </c>
      <c r="AD211">
        <v>2687</v>
      </c>
      <c r="AE211">
        <v>2314</v>
      </c>
      <c r="AF211">
        <v>5465</v>
      </c>
      <c r="AG211">
        <v>5161</v>
      </c>
      <c r="AH211">
        <f t="shared" si="39"/>
        <v>2687</v>
      </c>
      <c r="AI211">
        <f t="shared" si="40"/>
        <v>2314</v>
      </c>
      <c r="AJ211">
        <v>6347</v>
      </c>
      <c r="AK211">
        <v>14321</v>
      </c>
      <c r="AL211">
        <v>40941</v>
      </c>
      <c r="AM211">
        <v>30426</v>
      </c>
      <c r="AN211">
        <v>23</v>
      </c>
      <c r="AO211">
        <v>26</v>
      </c>
      <c r="AP211" t="s">
        <v>11</v>
      </c>
      <c r="AQ211" t="s">
        <v>11</v>
      </c>
      <c r="AR211" t="s">
        <v>11</v>
      </c>
      <c r="AS211" t="s">
        <v>11</v>
      </c>
      <c r="AT211" t="str">
        <f t="shared" si="33"/>
        <v>NoData</v>
      </c>
      <c r="AU211" t="str">
        <f t="shared" si="34"/>
        <v>NoData</v>
      </c>
      <c r="AV211">
        <v>3</v>
      </c>
      <c r="AW211">
        <v>3</v>
      </c>
      <c r="AX211">
        <v>4</v>
      </c>
      <c r="AY211">
        <v>4</v>
      </c>
      <c r="AZ211" t="str">
        <f t="shared" si="35"/>
        <v>NoData</v>
      </c>
      <c r="BA211" t="str">
        <f t="shared" si="36"/>
        <v>NoData</v>
      </c>
      <c r="BB211">
        <f t="shared" si="41"/>
        <v>23</v>
      </c>
      <c r="BC211">
        <f t="shared" si="42"/>
        <v>26</v>
      </c>
      <c r="BD211" t="s">
        <v>11</v>
      </c>
      <c r="BE211" t="s">
        <v>11</v>
      </c>
      <c r="BF211" t="s">
        <v>11</v>
      </c>
      <c r="BG211" t="s">
        <v>11</v>
      </c>
      <c r="BH211">
        <v>6</v>
      </c>
      <c r="BI211" t="s">
        <v>11</v>
      </c>
      <c r="BJ211">
        <v>72</v>
      </c>
      <c r="BK211" t="s">
        <v>11</v>
      </c>
      <c r="BL211" t="s">
        <v>11</v>
      </c>
      <c r="BM211" t="s">
        <v>11</v>
      </c>
      <c r="BN211">
        <v>42</v>
      </c>
      <c r="BO211" t="s">
        <v>11</v>
      </c>
      <c r="BP211" t="str">
        <f t="shared" si="37"/>
        <v>NoData</v>
      </c>
      <c r="BQ211" t="str">
        <f t="shared" si="38"/>
        <v>NoData</v>
      </c>
      <c r="BR211" t="s">
        <v>11</v>
      </c>
      <c r="BS211" t="s">
        <v>11</v>
      </c>
      <c r="BT211" t="s">
        <v>11</v>
      </c>
      <c r="BU211" t="s">
        <v>11</v>
      </c>
    </row>
    <row r="212" spans="1:73" x14ac:dyDescent="0.25">
      <c r="A212" s="5">
        <v>32234</v>
      </c>
      <c r="B212">
        <v>2153</v>
      </c>
      <c r="C212">
        <v>2153</v>
      </c>
      <c r="D212" t="s">
        <v>11</v>
      </c>
      <c r="E212" t="s">
        <v>11</v>
      </c>
      <c r="F212" t="s">
        <v>11</v>
      </c>
      <c r="G212" t="s">
        <v>11</v>
      </c>
      <c r="H212" t="s">
        <v>11</v>
      </c>
      <c r="I212" t="s">
        <v>11</v>
      </c>
      <c r="J212">
        <v>1570</v>
      </c>
      <c r="K212">
        <v>1570</v>
      </c>
      <c r="L212">
        <v>51686</v>
      </c>
      <c r="M212">
        <v>29647</v>
      </c>
      <c r="N212">
        <v>313</v>
      </c>
      <c r="O212">
        <v>313</v>
      </c>
      <c r="P212" t="s">
        <v>11</v>
      </c>
      <c r="Q212" t="s">
        <v>11</v>
      </c>
      <c r="R212" t="s">
        <v>11</v>
      </c>
      <c r="S212" t="s">
        <v>11</v>
      </c>
      <c r="T212" s="34">
        <v>71424</v>
      </c>
      <c r="U212" s="34">
        <v>35028</v>
      </c>
      <c r="V212" s="34">
        <v>3182</v>
      </c>
      <c r="W212">
        <v>3152</v>
      </c>
      <c r="X212">
        <v>5164</v>
      </c>
      <c r="Y212">
        <v>5135</v>
      </c>
      <c r="Z212">
        <v>5627</v>
      </c>
      <c r="AA212">
        <v>5498</v>
      </c>
      <c r="AB212">
        <v>24987</v>
      </c>
      <c r="AC212">
        <v>16459</v>
      </c>
      <c r="AD212">
        <v>2543</v>
      </c>
      <c r="AE212">
        <v>2158</v>
      </c>
      <c r="AF212">
        <v>5627</v>
      </c>
      <c r="AG212">
        <v>5498</v>
      </c>
      <c r="AH212">
        <f t="shared" si="39"/>
        <v>2543</v>
      </c>
      <c r="AI212">
        <f t="shared" si="40"/>
        <v>2158</v>
      </c>
      <c r="AJ212">
        <v>17486</v>
      </c>
      <c r="AK212">
        <v>15302</v>
      </c>
      <c r="AL212">
        <v>40415</v>
      </c>
      <c r="AM212">
        <v>29710</v>
      </c>
      <c r="AN212">
        <v>0</v>
      </c>
      <c r="AO212">
        <v>0</v>
      </c>
      <c r="AP212" t="s">
        <v>11</v>
      </c>
      <c r="AQ212" t="s">
        <v>11</v>
      </c>
      <c r="AR212" t="s">
        <v>11</v>
      </c>
      <c r="AS212" t="s">
        <v>11</v>
      </c>
      <c r="AT212" t="str">
        <f t="shared" si="33"/>
        <v>NoData</v>
      </c>
      <c r="AU212" t="str">
        <f t="shared" si="34"/>
        <v>NoData</v>
      </c>
      <c r="AV212">
        <v>2</v>
      </c>
      <c r="AW212">
        <v>2</v>
      </c>
      <c r="AX212">
        <v>4</v>
      </c>
      <c r="AY212">
        <v>4</v>
      </c>
      <c r="AZ212" t="str">
        <f t="shared" si="35"/>
        <v>NoData</v>
      </c>
      <c r="BA212" t="str">
        <f t="shared" si="36"/>
        <v>NoData</v>
      </c>
      <c r="BB212">
        <f t="shared" si="41"/>
        <v>0</v>
      </c>
      <c r="BC212">
        <f t="shared" si="42"/>
        <v>0</v>
      </c>
      <c r="BD212" t="s">
        <v>11</v>
      </c>
      <c r="BE212" t="s">
        <v>11</v>
      </c>
      <c r="BF212" t="s">
        <v>11</v>
      </c>
      <c r="BG212" t="s">
        <v>11</v>
      </c>
      <c r="BH212">
        <v>58</v>
      </c>
      <c r="BI212" t="s">
        <v>11</v>
      </c>
      <c r="BJ212">
        <v>101</v>
      </c>
      <c r="BK212" t="s">
        <v>11</v>
      </c>
      <c r="BL212" t="s">
        <v>11</v>
      </c>
      <c r="BM212" t="s">
        <v>11</v>
      </c>
      <c r="BN212">
        <v>18</v>
      </c>
      <c r="BO212" t="s">
        <v>11</v>
      </c>
      <c r="BP212" t="str">
        <f t="shared" si="37"/>
        <v>NoData</v>
      </c>
      <c r="BQ212" t="str">
        <f t="shared" si="38"/>
        <v>NoData</v>
      </c>
      <c r="BR212" t="s">
        <v>11</v>
      </c>
      <c r="BS212" t="s">
        <v>11</v>
      </c>
      <c r="BT212" t="s">
        <v>11</v>
      </c>
      <c r="BU212" t="s">
        <v>11</v>
      </c>
    </row>
    <row r="213" spans="1:73" x14ac:dyDescent="0.25">
      <c r="A213" s="5">
        <v>32264</v>
      </c>
      <c r="B213">
        <v>2897</v>
      </c>
      <c r="C213">
        <v>2897</v>
      </c>
      <c r="D213" t="s">
        <v>11</v>
      </c>
      <c r="E213" t="s">
        <v>11</v>
      </c>
      <c r="F213" t="s">
        <v>11</v>
      </c>
      <c r="G213" t="s">
        <v>11</v>
      </c>
      <c r="H213" t="s">
        <v>11</v>
      </c>
      <c r="I213" t="s">
        <v>11</v>
      </c>
      <c r="J213">
        <v>2374</v>
      </c>
      <c r="K213">
        <v>2374</v>
      </c>
      <c r="L213">
        <v>73440</v>
      </c>
      <c r="M213">
        <v>49914</v>
      </c>
      <c r="N213">
        <v>325</v>
      </c>
      <c r="O213">
        <v>325</v>
      </c>
      <c r="P213" t="s">
        <v>11</v>
      </c>
      <c r="Q213" t="s">
        <v>11</v>
      </c>
      <c r="R213" t="s">
        <v>11</v>
      </c>
      <c r="S213" t="s">
        <v>11</v>
      </c>
      <c r="T213" s="34">
        <v>98064</v>
      </c>
      <c r="U213" s="34">
        <v>60435</v>
      </c>
      <c r="V213" s="34">
        <v>4480</v>
      </c>
      <c r="W213">
        <v>4412</v>
      </c>
      <c r="X213">
        <v>5791</v>
      </c>
      <c r="Y213">
        <v>5738</v>
      </c>
      <c r="Z213">
        <v>6630</v>
      </c>
      <c r="AA213">
        <v>6766</v>
      </c>
      <c r="AB213">
        <v>32081</v>
      </c>
      <c r="AC213">
        <v>23066</v>
      </c>
      <c r="AD213">
        <v>3613</v>
      </c>
      <c r="AE213">
        <v>3241</v>
      </c>
      <c r="AF213">
        <v>6630</v>
      </c>
      <c r="AG213">
        <v>6766</v>
      </c>
      <c r="AH213">
        <f t="shared" si="39"/>
        <v>3613</v>
      </c>
      <c r="AI213">
        <f t="shared" si="40"/>
        <v>3241</v>
      </c>
      <c r="AJ213">
        <v>25347</v>
      </c>
      <c r="AK213">
        <v>23237</v>
      </c>
      <c r="AL213">
        <v>49771</v>
      </c>
      <c r="AM213">
        <v>39217</v>
      </c>
      <c r="AN213">
        <v>227</v>
      </c>
      <c r="AO213">
        <v>225</v>
      </c>
      <c r="AP213" t="s">
        <v>11</v>
      </c>
      <c r="AQ213" t="s">
        <v>11</v>
      </c>
      <c r="AR213" t="s">
        <v>11</v>
      </c>
      <c r="AS213" t="s">
        <v>11</v>
      </c>
      <c r="AT213" t="str">
        <f t="shared" si="33"/>
        <v>NoData</v>
      </c>
      <c r="AU213" t="str">
        <f t="shared" si="34"/>
        <v>NoData</v>
      </c>
      <c r="AV213">
        <v>1</v>
      </c>
      <c r="AW213">
        <v>1</v>
      </c>
      <c r="AX213">
        <v>4</v>
      </c>
      <c r="AY213">
        <v>4</v>
      </c>
      <c r="AZ213" t="str">
        <f t="shared" si="35"/>
        <v>NoData</v>
      </c>
      <c r="BA213" t="str">
        <f t="shared" si="36"/>
        <v>NoData</v>
      </c>
      <c r="BB213">
        <f t="shared" si="41"/>
        <v>227</v>
      </c>
      <c r="BC213">
        <f t="shared" si="42"/>
        <v>225</v>
      </c>
      <c r="BD213" t="s">
        <v>11</v>
      </c>
      <c r="BE213" t="s">
        <v>11</v>
      </c>
      <c r="BF213" t="s">
        <v>11</v>
      </c>
      <c r="BG213" t="s">
        <v>11</v>
      </c>
      <c r="BH213">
        <v>0</v>
      </c>
      <c r="BI213" t="s">
        <v>11</v>
      </c>
      <c r="BJ213">
        <v>117</v>
      </c>
      <c r="BK213" t="s">
        <v>11</v>
      </c>
      <c r="BL213" t="s">
        <v>11</v>
      </c>
      <c r="BM213" t="s">
        <v>11</v>
      </c>
      <c r="BN213">
        <v>32</v>
      </c>
      <c r="BO213" t="s">
        <v>11</v>
      </c>
      <c r="BP213" t="str">
        <f t="shared" si="37"/>
        <v>NoData</v>
      </c>
      <c r="BQ213" t="str">
        <f t="shared" si="38"/>
        <v>NoData</v>
      </c>
      <c r="BR213" t="s">
        <v>11</v>
      </c>
      <c r="BS213" t="s">
        <v>11</v>
      </c>
      <c r="BT213" t="s">
        <v>11</v>
      </c>
      <c r="BU213" t="s">
        <v>11</v>
      </c>
    </row>
    <row r="214" spans="1:73" x14ac:dyDescent="0.25">
      <c r="A214" s="5">
        <v>32295</v>
      </c>
      <c r="B214">
        <v>3964</v>
      </c>
      <c r="C214">
        <v>3964</v>
      </c>
      <c r="D214" t="s">
        <v>11</v>
      </c>
      <c r="E214" t="s">
        <v>11</v>
      </c>
      <c r="F214" t="s">
        <v>11</v>
      </c>
      <c r="G214" t="s">
        <v>11</v>
      </c>
      <c r="H214" t="s">
        <v>11</v>
      </c>
      <c r="I214" t="s">
        <v>11</v>
      </c>
      <c r="J214">
        <v>4185</v>
      </c>
      <c r="K214">
        <v>4185</v>
      </c>
      <c r="L214">
        <v>82593</v>
      </c>
      <c r="M214">
        <v>61348</v>
      </c>
      <c r="N214">
        <v>469</v>
      </c>
      <c r="O214">
        <v>469</v>
      </c>
      <c r="P214" t="s">
        <v>11</v>
      </c>
      <c r="Q214" t="s">
        <v>11</v>
      </c>
      <c r="R214" t="s">
        <v>11</v>
      </c>
      <c r="S214" t="s">
        <v>11</v>
      </c>
      <c r="T214" s="34">
        <v>110302</v>
      </c>
      <c r="U214" s="34">
        <v>68835</v>
      </c>
      <c r="V214" s="34">
        <v>3708</v>
      </c>
      <c r="W214">
        <v>3667</v>
      </c>
      <c r="X214">
        <v>6196</v>
      </c>
      <c r="Y214">
        <v>6155</v>
      </c>
      <c r="Z214">
        <v>5093</v>
      </c>
      <c r="AA214">
        <v>5415</v>
      </c>
      <c r="AB214">
        <v>28316</v>
      </c>
      <c r="AC214">
        <v>20819</v>
      </c>
      <c r="AD214">
        <v>4042</v>
      </c>
      <c r="AE214">
        <v>3758</v>
      </c>
      <c r="AF214">
        <v>5093</v>
      </c>
      <c r="AG214">
        <v>5415</v>
      </c>
      <c r="AH214">
        <f t="shared" si="39"/>
        <v>4042</v>
      </c>
      <c r="AI214">
        <f t="shared" si="40"/>
        <v>3758</v>
      </c>
      <c r="AJ214">
        <v>29258</v>
      </c>
      <c r="AK214">
        <v>27651</v>
      </c>
      <c r="AL214">
        <v>51678</v>
      </c>
      <c r="AM214">
        <v>41955</v>
      </c>
      <c r="AN214">
        <v>128</v>
      </c>
      <c r="AO214">
        <v>127</v>
      </c>
      <c r="AP214" t="s">
        <v>11</v>
      </c>
      <c r="AQ214" t="s">
        <v>11</v>
      </c>
      <c r="AR214" t="s">
        <v>11</v>
      </c>
      <c r="AS214" t="s">
        <v>11</v>
      </c>
      <c r="AT214" t="str">
        <f t="shared" si="33"/>
        <v>NoData</v>
      </c>
      <c r="AU214" t="str">
        <f t="shared" si="34"/>
        <v>NoData</v>
      </c>
      <c r="AV214">
        <v>3</v>
      </c>
      <c r="AW214">
        <v>3</v>
      </c>
      <c r="AX214">
        <v>4</v>
      </c>
      <c r="AY214">
        <v>4</v>
      </c>
      <c r="AZ214" t="str">
        <f t="shared" si="35"/>
        <v>NoData</v>
      </c>
      <c r="BA214" t="str">
        <f t="shared" si="36"/>
        <v>NoData</v>
      </c>
      <c r="BB214">
        <f t="shared" si="41"/>
        <v>128</v>
      </c>
      <c r="BC214">
        <f t="shared" si="42"/>
        <v>127</v>
      </c>
      <c r="BD214" t="s">
        <v>11</v>
      </c>
      <c r="BE214" t="s">
        <v>11</v>
      </c>
      <c r="BF214" t="s">
        <v>11</v>
      </c>
      <c r="BG214" t="s">
        <v>11</v>
      </c>
      <c r="BH214">
        <v>35</v>
      </c>
      <c r="BI214" t="s">
        <v>11</v>
      </c>
      <c r="BJ214">
        <v>143</v>
      </c>
      <c r="BK214" t="s">
        <v>11</v>
      </c>
      <c r="BL214" t="s">
        <v>11</v>
      </c>
      <c r="BM214" t="s">
        <v>11</v>
      </c>
      <c r="BN214">
        <v>46</v>
      </c>
      <c r="BO214" t="s">
        <v>11</v>
      </c>
      <c r="BP214" t="str">
        <f t="shared" si="37"/>
        <v>NoData</v>
      </c>
      <c r="BQ214" t="str">
        <f t="shared" si="38"/>
        <v>NoData</v>
      </c>
      <c r="BR214" t="s">
        <v>11</v>
      </c>
      <c r="BS214" t="s">
        <v>11</v>
      </c>
      <c r="BT214" t="s">
        <v>11</v>
      </c>
      <c r="BU214" t="s">
        <v>11</v>
      </c>
    </row>
    <row r="215" spans="1:73" x14ac:dyDescent="0.25">
      <c r="A215" s="5">
        <v>32325</v>
      </c>
      <c r="B215">
        <v>4125</v>
      </c>
      <c r="C215">
        <v>4125</v>
      </c>
      <c r="D215" t="s">
        <v>11</v>
      </c>
      <c r="E215" t="s">
        <v>11</v>
      </c>
      <c r="F215" t="s">
        <v>11</v>
      </c>
      <c r="G215" t="s">
        <v>11</v>
      </c>
      <c r="H215" t="s">
        <v>11</v>
      </c>
      <c r="I215" t="s">
        <v>11</v>
      </c>
      <c r="J215">
        <v>4832</v>
      </c>
      <c r="K215">
        <v>4832</v>
      </c>
      <c r="L215">
        <v>88028</v>
      </c>
      <c r="M215">
        <v>63410</v>
      </c>
      <c r="N215">
        <v>629</v>
      </c>
      <c r="O215">
        <v>629</v>
      </c>
      <c r="P215" t="s">
        <v>11</v>
      </c>
      <c r="Q215" t="s">
        <v>11</v>
      </c>
      <c r="R215" t="s">
        <v>11</v>
      </c>
      <c r="S215" t="s">
        <v>11</v>
      </c>
      <c r="T215" s="34">
        <v>128451</v>
      </c>
      <c r="U215" s="34">
        <v>83726</v>
      </c>
      <c r="V215" s="34">
        <v>4670</v>
      </c>
      <c r="W215">
        <v>4608</v>
      </c>
      <c r="X215">
        <v>5657</v>
      </c>
      <c r="Y215">
        <v>5614</v>
      </c>
      <c r="Z215">
        <v>5068</v>
      </c>
      <c r="AA215">
        <v>5514</v>
      </c>
      <c r="AB215">
        <v>31496</v>
      </c>
      <c r="AC215">
        <v>23201</v>
      </c>
      <c r="AD215">
        <v>3923</v>
      </c>
      <c r="AE215">
        <v>3630</v>
      </c>
      <c r="AF215">
        <v>5068</v>
      </c>
      <c r="AG215">
        <v>5514</v>
      </c>
      <c r="AH215">
        <f t="shared" si="39"/>
        <v>3923</v>
      </c>
      <c r="AI215">
        <f t="shared" si="40"/>
        <v>3630</v>
      </c>
      <c r="AJ215">
        <v>32038</v>
      </c>
      <c r="AK215">
        <v>30376</v>
      </c>
      <c r="AL215">
        <v>53739</v>
      </c>
      <c r="AM215">
        <v>44214</v>
      </c>
      <c r="AN215">
        <v>267</v>
      </c>
      <c r="AO215">
        <v>265</v>
      </c>
      <c r="AP215" t="s">
        <v>11</v>
      </c>
      <c r="AQ215" t="s">
        <v>11</v>
      </c>
      <c r="AR215" t="s">
        <v>11</v>
      </c>
      <c r="AS215" t="s">
        <v>11</v>
      </c>
      <c r="AT215" t="str">
        <f t="shared" si="33"/>
        <v>NoData</v>
      </c>
      <c r="AU215" t="str">
        <f t="shared" si="34"/>
        <v>NoData</v>
      </c>
      <c r="AV215">
        <v>5</v>
      </c>
      <c r="AW215">
        <v>5</v>
      </c>
      <c r="AX215">
        <v>4</v>
      </c>
      <c r="AY215">
        <v>4</v>
      </c>
      <c r="AZ215" t="str">
        <f t="shared" si="35"/>
        <v>NoData</v>
      </c>
      <c r="BA215" t="str">
        <f t="shared" si="36"/>
        <v>NoData</v>
      </c>
      <c r="BB215">
        <f t="shared" si="41"/>
        <v>267</v>
      </c>
      <c r="BC215">
        <f t="shared" si="42"/>
        <v>265</v>
      </c>
      <c r="BD215" t="s">
        <v>11</v>
      </c>
      <c r="BE215" t="s">
        <v>11</v>
      </c>
      <c r="BF215" t="s">
        <v>11</v>
      </c>
      <c r="BG215" t="s">
        <v>11</v>
      </c>
      <c r="BH215">
        <v>30</v>
      </c>
      <c r="BI215" t="s">
        <v>11</v>
      </c>
      <c r="BJ215">
        <v>200</v>
      </c>
      <c r="BK215" t="s">
        <v>11</v>
      </c>
      <c r="BL215" t="s">
        <v>11</v>
      </c>
      <c r="BM215" t="s">
        <v>11</v>
      </c>
      <c r="BN215">
        <v>41</v>
      </c>
      <c r="BO215" t="s">
        <v>11</v>
      </c>
      <c r="BP215" t="str">
        <f t="shared" si="37"/>
        <v>NoData</v>
      </c>
      <c r="BQ215" t="str">
        <f t="shared" si="38"/>
        <v>NoData</v>
      </c>
      <c r="BR215" t="s">
        <v>11</v>
      </c>
      <c r="BS215" t="s">
        <v>11</v>
      </c>
      <c r="BT215" t="s">
        <v>11</v>
      </c>
      <c r="BU215" t="s">
        <v>11</v>
      </c>
    </row>
    <row r="216" spans="1:73" x14ac:dyDescent="0.25">
      <c r="A216" s="5">
        <v>32356</v>
      </c>
      <c r="B216">
        <v>3845</v>
      </c>
      <c r="C216">
        <v>3845</v>
      </c>
      <c r="D216" t="s">
        <v>11</v>
      </c>
      <c r="E216" t="s">
        <v>11</v>
      </c>
      <c r="F216" t="s">
        <v>11</v>
      </c>
      <c r="G216" t="s">
        <v>11</v>
      </c>
      <c r="H216" t="s">
        <v>11</v>
      </c>
      <c r="I216" t="s">
        <v>11</v>
      </c>
      <c r="J216">
        <v>2834</v>
      </c>
      <c r="K216">
        <v>2834</v>
      </c>
      <c r="L216">
        <v>72541</v>
      </c>
      <c r="M216">
        <v>43373</v>
      </c>
      <c r="N216">
        <v>676</v>
      </c>
      <c r="O216">
        <v>676</v>
      </c>
      <c r="P216" t="s">
        <v>11</v>
      </c>
      <c r="Q216" t="s">
        <v>11</v>
      </c>
      <c r="R216" t="s">
        <v>11</v>
      </c>
      <c r="S216" t="s">
        <v>11</v>
      </c>
      <c r="T216" s="34">
        <v>99502</v>
      </c>
      <c r="U216" s="34">
        <v>50912</v>
      </c>
      <c r="V216" s="34">
        <v>4415</v>
      </c>
      <c r="W216">
        <v>4373</v>
      </c>
      <c r="X216">
        <v>4285</v>
      </c>
      <c r="Y216">
        <v>4262</v>
      </c>
      <c r="Z216">
        <v>4507</v>
      </c>
      <c r="AA216">
        <v>4568</v>
      </c>
      <c r="AB216">
        <v>28601</v>
      </c>
      <c r="AC216">
        <v>19912</v>
      </c>
      <c r="AD216">
        <v>4069</v>
      </c>
      <c r="AE216">
        <v>3835</v>
      </c>
      <c r="AF216">
        <v>4507</v>
      </c>
      <c r="AG216">
        <v>4568</v>
      </c>
      <c r="AH216">
        <f t="shared" si="39"/>
        <v>4069</v>
      </c>
      <c r="AI216">
        <f t="shared" si="40"/>
        <v>3835</v>
      </c>
      <c r="AJ216">
        <v>28894</v>
      </c>
      <c r="AK216">
        <v>27569</v>
      </c>
      <c r="AL216">
        <v>44985</v>
      </c>
      <c r="AM216">
        <v>32402</v>
      </c>
      <c r="AN216">
        <v>136</v>
      </c>
      <c r="AO216">
        <v>135</v>
      </c>
      <c r="AP216" t="s">
        <v>11</v>
      </c>
      <c r="AQ216" t="s">
        <v>11</v>
      </c>
      <c r="AR216" t="s">
        <v>11</v>
      </c>
      <c r="AS216" t="s">
        <v>11</v>
      </c>
      <c r="AT216" t="str">
        <f t="shared" si="33"/>
        <v>NoData</v>
      </c>
      <c r="AU216" t="str">
        <f t="shared" si="34"/>
        <v>NoData</v>
      </c>
      <c r="AV216">
        <v>3</v>
      </c>
      <c r="AW216">
        <v>3</v>
      </c>
      <c r="AX216">
        <v>4</v>
      </c>
      <c r="AY216">
        <v>4</v>
      </c>
      <c r="AZ216" t="str">
        <f t="shared" si="35"/>
        <v>NoData</v>
      </c>
      <c r="BA216" t="str">
        <f t="shared" si="36"/>
        <v>NoData</v>
      </c>
      <c r="BB216">
        <f t="shared" si="41"/>
        <v>136</v>
      </c>
      <c r="BC216">
        <f t="shared" si="42"/>
        <v>135</v>
      </c>
      <c r="BD216" t="s">
        <v>11</v>
      </c>
      <c r="BE216" t="s">
        <v>11</v>
      </c>
      <c r="BF216" t="s">
        <v>11</v>
      </c>
      <c r="BG216" t="s">
        <v>11</v>
      </c>
      <c r="BH216">
        <v>38</v>
      </c>
      <c r="BI216" t="s">
        <v>11</v>
      </c>
      <c r="BJ216">
        <v>149</v>
      </c>
      <c r="BK216" t="s">
        <v>11</v>
      </c>
      <c r="BL216" t="s">
        <v>11</v>
      </c>
      <c r="BM216" t="s">
        <v>11</v>
      </c>
      <c r="BN216">
        <v>0</v>
      </c>
      <c r="BO216" t="s">
        <v>11</v>
      </c>
      <c r="BP216" t="str">
        <f t="shared" si="37"/>
        <v>NoData</v>
      </c>
      <c r="BQ216" t="str">
        <f t="shared" si="38"/>
        <v>NoData</v>
      </c>
      <c r="BR216" t="s">
        <v>11</v>
      </c>
      <c r="BS216" t="s">
        <v>11</v>
      </c>
      <c r="BT216" t="s">
        <v>11</v>
      </c>
      <c r="BU216" t="s">
        <v>11</v>
      </c>
    </row>
    <row r="217" spans="1:73" x14ac:dyDescent="0.25">
      <c r="A217" s="5">
        <v>32387</v>
      </c>
      <c r="B217">
        <v>3399</v>
      </c>
      <c r="C217">
        <v>3399</v>
      </c>
      <c r="D217" t="s">
        <v>11</v>
      </c>
      <c r="E217" t="s">
        <v>11</v>
      </c>
      <c r="F217" t="s">
        <v>11</v>
      </c>
      <c r="G217" t="s">
        <v>11</v>
      </c>
      <c r="H217" t="s">
        <v>11</v>
      </c>
      <c r="I217" t="s">
        <v>11</v>
      </c>
      <c r="J217">
        <v>2349</v>
      </c>
      <c r="K217">
        <v>2349</v>
      </c>
      <c r="L217">
        <v>56246</v>
      </c>
      <c r="M217">
        <v>32874</v>
      </c>
      <c r="N217">
        <v>418</v>
      </c>
      <c r="O217">
        <v>418</v>
      </c>
      <c r="P217" t="s">
        <v>11</v>
      </c>
      <c r="Q217" t="s">
        <v>11</v>
      </c>
      <c r="R217" t="s">
        <v>11</v>
      </c>
      <c r="S217" t="s">
        <v>11</v>
      </c>
      <c r="T217" s="34">
        <v>69795</v>
      </c>
      <c r="U217" s="34">
        <v>27308</v>
      </c>
      <c r="V217" s="34">
        <v>3964</v>
      </c>
      <c r="W217">
        <v>3872</v>
      </c>
      <c r="X217">
        <v>4669</v>
      </c>
      <c r="Y217">
        <v>4606</v>
      </c>
      <c r="Z217">
        <v>6878</v>
      </c>
      <c r="AA217">
        <v>6117</v>
      </c>
      <c r="AB217">
        <v>30690</v>
      </c>
      <c r="AC217">
        <v>21864</v>
      </c>
      <c r="AD217">
        <v>3207</v>
      </c>
      <c r="AE217">
        <v>2930</v>
      </c>
      <c r="AF217">
        <v>6878</v>
      </c>
      <c r="AG217">
        <v>6117</v>
      </c>
      <c r="AH217">
        <f t="shared" si="39"/>
        <v>3207</v>
      </c>
      <c r="AI217">
        <f t="shared" si="40"/>
        <v>2930</v>
      </c>
      <c r="AJ217">
        <v>23399</v>
      </c>
      <c r="AK217">
        <v>21828</v>
      </c>
      <c r="AL217">
        <v>48924</v>
      </c>
      <c r="AM217">
        <v>36128</v>
      </c>
      <c r="AN217">
        <v>5</v>
      </c>
      <c r="AO217">
        <v>5</v>
      </c>
      <c r="AP217" t="s">
        <v>11</v>
      </c>
      <c r="AQ217" t="s">
        <v>11</v>
      </c>
      <c r="AR217" t="s">
        <v>11</v>
      </c>
      <c r="AS217" t="s">
        <v>11</v>
      </c>
      <c r="AT217" t="str">
        <f t="shared" si="33"/>
        <v>NoData</v>
      </c>
      <c r="AU217" t="str">
        <f t="shared" si="34"/>
        <v>NoData</v>
      </c>
      <c r="AV217">
        <v>4</v>
      </c>
      <c r="AW217">
        <v>4</v>
      </c>
      <c r="AX217">
        <v>4</v>
      </c>
      <c r="AY217">
        <v>4</v>
      </c>
      <c r="AZ217" t="str">
        <f t="shared" si="35"/>
        <v>NoData</v>
      </c>
      <c r="BA217" t="str">
        <f t="shared" si="36"/>
        <v>NoData</v>
      </c>
      <c r="BB217">
        <f t="shared" si="41"/>
        <v>5</v>
      </c>
      <c r="BC217">
        <f t="shared" si="42"/>
        <v>5</v>
      </c>
      <c r="BD217" t="s">
        <v>11</v>
      </c>
      <c r="BE217" t="s">
        <v>11</v>
      </c>
      <c r="BF217" t="s">
        <v>11</v>
      </c>
      <c r="BG217" t="s">
        <v>11</v>
      </c>
      <c r="BH217">
        <v>0</v>
      </c>
      <c r="BI217" t="s">
        <v>11</v>
      </c>
      <c r="BJ217">
        <v>130</v>
      </c>
      <c r="BK217" t="s">
        <v>11</v>
      </c>
      <c r="BL217" t="s">
        <v>11</v>
      </c>
      <c r="BM217" t="s">
        <v>11</v>
      </c>
      <c r="BN217">
        <v>50</v>
      </c>
      <c r="BO217" t="s">
        <v>11</v>
      </c>
      <c r="BP217" t="str">
        <f t="shared" si="37"/>
        <v>NoData</v>
      </c>
      <c r="BQ217" t="str">
        <f t="shared" si="38"/>
        <v>NoData</v>
      </c>
      <c r="BR217" t="s">
        <v>11</v>
      </c>
      <c r="BS217" t="s">
        <v>11</v>
      </c>
      <c r="BT217" t="s">
        <v>11</v>
      </c>
      <c r="BU217" t="s">
        <v>11</v>
      </c>
    </row>
    <row r="218" spans="1:73" x14ac:dyDescent="0.25">
      <c r="A218" s="5">
        <v>32417</v>
      </c>
      <c r="B218">
        <v>2057</v>
      </c>
      <c r="C218">
        <v>2057</v>
      </c>
      <c r="D218" t="s">
        <v>11</v>
      </c>
      <c r="E218" t="s">
        <v>11</v>
      </c>
      <c r="F218" t="s">
        <v>11</v>
      </c>
      <c r="G218" t="s">
        <v>11</v>
      </c>
      <c r="H218" t="s">
        <v>11</v>
      </c>
      <c r="I218" t="s">
        <v>11</v>
      </c>
      <c r="J218">
        <v>1223</v>
      </c>
      <c r="K218">
        <v>1223</v>
      </c>
      <c r="L218">
        <v>38400</v>
      </c>
      <c r="M218">
        <v>14884</v>
      </c>
      <c r="N218">
        <v>450</v>
      </c>
      <c r="O218">
        <v>450</v>
      </c>
      <c r="P218" t="s">
        <v>11</v>
      </c>
      <c r="Q218" t="s">
        <v>11</v>
      </c>
      <c r="R218" t="s">
        <v>11</v>
      </c>
      <c r="S218" t="s">
        <v>11</v>
      </c>
      <c r="T218" s="34">
        <v>51962</v>
      </c>
      <c r="U218" s="34">
        <v>11610</v>
      </c>
      <c r="V218" s="34">
        <v>5590</v>
      </c>
      <c r="W218">
        <v>5520</v>
      </c>
      <c r="X218">
        <v>5378</v>
      </c>
      <c r="Y218">
        <v>5339</v>
      </c>
      <c r="Z218">
        <v>5123</v>
      </c>
      <c r="AA218">
        <v>4831</v>
      </c>
      <c r="AB218">
        <v>37919</v>
      </c>
      <c r="AC218">
        <v>25817</v>
      </c>
      <c r="AD218">
        <v>2837</v>
      </c>
      <c r="AE218">
        <v>2577</v>
      </c>
      <c r="AF218">
        <v>5123</v>
      </c>
      <c r="AG218">
        <v>4831</v>
      </c>
      <c r="AH218">
        <f t="shared" si="39"/>
        <v>2837</v>
      </c>
      <c r="AI218">
        <f t="shared" si="40"/>
        <v>2577</v>
      </c>
      <c r="AJ218">
        <v>15367</v>
      </c>
      <c r="AK218">
        <v>13893</v>
      </c>
      <c r="AL218">
        <v>27448</v>
      </c>
      <c r="AM218">
        <v>15238</v>
      </c>
      <c r="AN218">
        <v>0</v>
      </c>
      <c r="AO218">
        <v>0</v>
      </c>
      <c r="AP218" t="s">
        <v>11</v>
      </c>
      <c r="AQ218" t="s">
        <v>11</v>
      </c>
      <c r="AR218" t="s">
        <v>11</v>
      </c>
      <c r="AS218" t="s">
        <v>11</v>
      </c>
      <c r="AT218" t="str">
        <f t="shared" si="33"/>
        <v>NoData</v>
      </c>
      <c r="AU218" t="str">
        <f t="shared" si="34"/>
        <v>NoData</v>
      </c>
      <c r="AV218">
        <v>3</v>
      </c>
      <c r="AW218">
        <v>3</v>
      </c>
      <c r="AX218">
        <v>4</v>
      </c>
      <c r="AY218">
        <v>4</v>
      </c>
      <c r="AZ218" t="str">
        <f t="shared" si="35"/>
        <v>NoData</v>
      </c>
      <c r="BA218" t="str">
        <f t="shared" si="36"/>
        <v>NoData</v>
      </c>
      <c r="BB218">
        <f t="shared" si="41"/>
        <v>0</v>
      </c>
      <c r="BC218">
        <f t="shared" si="42"/>
        <v>0</v>
      </c>
      <c r="BD218" t="s">
        <v>11</v>
      </c>
      <c r="BE218" t="s">
        <v>11</v>
      </c>
      <c r="BF218" t="s">
        <v>11</v>
      </c>
      <c r="BG218" t="s">
        <v>11</v>
      </c>
      <c r="BH218">
        <v>0</v>
      </c>
      <c r="BI218" t="s">
        <v>11</v>
      </c>
      <c r="BJ218">
        <v>103</v>
      </c>
      <c r="BK218" t="s">
        <v>11</v>
      </c>
      <c r="BL218" t="s">
        <v>11</v>
      </c>
      <c r="BM218" t="s">
        <v>11</v>
      </c>
      <c r="BN218">
        <v>46</v>
      </c>
      <c r="BO218" t="s">
        <v>11</v>
      </c>
      <c r="BP218" t="str">
        <f t="shared" si="37"/>
        <v>NoData</v>
      </c>
      <c r="BQ218" t="str">
        <f t="shared" si="38"/>
        <v>NoData</v>
      </c>
      <c r="BR218" t="s">
        <v>11</v>
      </c>
      <c r="BS218" t="s">
        <v>11</v>
      </c>
      <c r="BT218" t="s">
        <v>11</v>
      </c>
      <c r="BU218" t="s">
        <v>11</v>
      </c>
    </row>
    <row r="219" spans="1:73" x14ac:dyDescent="0.25">
      <c r="A219" s="5">
        <v>32448</v>
      </c>
      <c r="B219">
        <v>1246</v>
      </c>
      <c r="C219">
        <v>1246</v>
      </c>
      <c r="D219" t="s">
        <v>11</v>
      </c>
      <c r="E219" t="s">
        <v>11</v>
      </c>
      <c r="F219" t="s">
        <v>11</v>
      </c>
      <c r="G219" t="s">
        <v>11</v>
      </c>
      <c r="H219" t="s">
        <v>11</v>
      </c>
      <c r="I219" t="s">
        <v>11</v>
      </c>
      <c r="J219">
        <v>625</v>
      </c>
      <c r="K219">
        <v>625</v>
      </c>
      <c r="L219">
        <v>28156</v>
      </c>
      <c r="M219">
        <v>9356</v>
      </c>
      <c r="N219">
        <v>235</v>
      </c>
      <c r="O219">
        <v>235</v>
      </c>
      <c r="P219" t="s">
        <v>11</v>
      </c>
      <c r="Q219" t="s">
        <v>11</v>
      </c>
      <c r="R219" t="s">
        <v>11</v>
      </c>
      <c r="S219" t="s">
        <v>11</v>
      </c>
      <c r="T219" s="34">
        <v>47299</v>
      </c>
      <c r="U219" s="34">
        <v>12060</v>
      </c>
      <c r="V219" s="34">
        <v>3482</v>
      </c>
      <c r="W219">
        <v>3439</v>
      </c>
      <c r="X219">
        <v>3166</v>
      </c>
      <c r="Y219">
        <v>3143</v>
      </c>
      <c r="Z219">
        <v>4548</v>
      </c>
      <c r="AA219">
        <v>4492</v>
      </c>
      <c r="AB219">
        <v>23117</v>
      </c>
      <c r="AC219">
        <v>12329</v>
      </c>
      <c r="AD219">
        <v>2293</v>
      </c>
      <c r="AE219">
        <v>2160</v>
      </c>
      <c r="AF219">
        <v>4548</v>
      </c>
      <c r="AG219">
        <v>4492</v>
      </c>
      <c r="AH219">
        <f t="shared" si="39"/>
        <v>2293</v>
      </c>
      <c r="AI219">
        <f t="shared" si="40"/>
        <v>2160</v>
      </c>
      <c r="AJ219">
        <v>14333</v>
      </c>
      <c r="AK219">
        <v>13580</v>
      </c>
      <c r="AL219">
        <v>23263</v>
      </c>
      <c r="AM219">
        <v>10886</v>
      </c>
      <c r="AN219">
        <v>264</v>
      </c>
      <c r="AO219">
        <v>269</v>
      </c>
      <c r="AP219" t="s">
        <v>11</v>
      </c>
      <c r="AQ219" t="s">
        <v>11</v>
      </c>
      <c r="AR219" t="s">
        <v>11</v>
      </c>
      <c r="AS219" t="s">
        <v>11</v>
      </c>
      <c r="AT219" t="str">
        <f t="shared" si="33"/>
        <v>NoData</v>
      </c>
      <c r="AU219" t="str">
        <f t="shared" si="34"/>
        <v>NoData</v>
      </c>
      <c r="AV219">
        <v>0</v>
      </c>
      <c r="AW219">
        <v>0</v>
      </c>
      <c r="AX219">
        <v>4</v>
      </c>
      <c r="AY219">
        <v>4</v>
      </c>
      <c r="AZ219" t="str">
        <f t="shared" si="35"/>
        <v>NoData</v>
      </c>
      <c r="BA219" t="str">
        <f t="shared" si="36"/>
        <v>NoData</v>
      </c>
      <c r="BB219">
        <f t="shared" si="41"/>
        <v>264</v>
      </c>
      <c r="BC219">
        <f t="shared" si="42"/>
        <v>269</v>
      </c>
      <c r="BD219" t="s">
        <v>11</v>
      </c>
      <c r="BE219" t="s">
        <v>11</v>
      </c>
      <c r="BF219" t="s">
        <v>11</v>
      </c>
      <c r="BG219" t="s">
        <v>11</v>
      </c>
      <c r="BH219">
        <v>195</v>
      </c>
      <c r="BI219" t="s">
        <v>11</v>
      </c>
      <c r="BJ219">
        <v>71</v>
      </c>
      <c r="BK219" t="s">
        <v>11</v>
      </c>
      <c r="BL219" t="s">
        <v>11</v>
      </c>
      <c r="BM219" t="s">
        <v>11</v>
      </c>
      <c r="BN219">
        <v>20</v>
      </c>
      <c r="BO219" t="s">
        <v>11</v>
      </c>
      <c r="BP219" t="str">
        <f t="shared" si="37"/>
        <v>NoData</v>
      </c>
      <c r="BQ219" t="str">
        <f t="shared" si="38"/>
        <v>NoData</v>
      </c>
      <c r="BR219" t="s">
        <v>11</v>
      </c>
      <c r="BS219" t="s">
        <v>11</v>
      </c>
      <c r="BT219" t="s">
        <v>11</v>
      </c>
      <c r="BU219" t="s">
        <v>11</v>
      </c>
    </row>
    <row r="220" spans="1:73" x14ac:dyDescent="0.25">
      <c r="A220" s="5">
        <v>32478</v>
      </c>
      <c r="B220">
        <v>1384</v>
      </c>
      <c r="C220">
        <v>1384</v>
      </c>
      <c r="D220" t="s">
        <v>11</v>
      </c>
      <c r="E220" t="s">
        <v>11</v>
      </c>
      <c r="F220" t="s">
        <v>11</v>
      </c>
      <c r="G220" t="s">
        <v>11</v>
      </c>
      <c r="H220" t="s">
        <v>11</v>
      </c>
      <c r="I220" t="s">
        <v>11</v>
      </c>
      <c r="J220">
        <v>660</v>
      </c>
      <c r="K220">
        <v>660</v>
      </c>
      <c r="L220">
        <v>26180</v>
      </c>
      <c r="M220">
        <v>8254</v>
      </c>
      <c r="N220">
        <v>220</v>
      </c>
      <c r="O220">
        <v>220</v>
      </c>
      <c r="P220" t="s">
        <v>11</v>
      </c>
      <c r="Q220" t="s">
        <v>11</v>
      </c>
      <c r="R220" t="s">
        <v>11</v>
      </c>
      <c r="S220" t="s">
        <v>11</v>
      </c>
      <c r="T220" s="34">
        <v>51464</v>
      </c>
      <c r="U220" s="34">
        <v>15747</v>
      </c>
      <c r="V220" s="34">
        <v>2105</v>
      </c>
      <c r="W220">
        <v>2053</v>
      </c>
      <c r="X220">
        <v>3064</v>
      </c>
      <c r="Y220">
        <v>3023</v>
      </c>
      <c r="Z220">
        <v>3646</v>
      </c>
      <c r="AA220">
        <v>3553</v>
      </c>
      <c r="AB220">
        <v>18337</v>
      </c>
      <c r="AC220">
        <v>7356</v>
      </c>
      <c r="AD220">
        <v>2463</v>
      </c>
      <c r="AE220">
        <v>2221</v>
      </c>
      <c r="AF220">
        <v>3646</v>
      </c>
      <c r="AG220">
        <v>3553</v>
      </c>
      <c r="AH220">
        <f t="shared" si="39"/>
        <v>2463</v>
      </c>
      <c r="AI220">
        <f t="shared" si="40"/>
        <v>2221</v>
      </c>
      <c r="AJ220">
        <v>14842</v>
      </c>
      <c r="AK220">
        <v>13468</v>
      </c>
      <c r="AL220">
        <v>21657</v>
      </c>
      <c r="AM220">
        <v>8713</v>
      </c>
      <c r="AN220">
        <v>27</v>
      </c>
      <c r="AO220">
        <v>27</v>
      </c>
      <c r="AP220" t="s">
        <v>11</v>
      </c>
      <c r="AQ220" t="s">
        <v>11</v>
      </c>
      <c r="AR220" t="s">
        <v>11</v>
      </c>
      <c r="AS220" t="s">
        <v>11</v>
      </c>
      <c r="AT220" t="str">
        <f t="shared" si="33"/>
        <v>NoData</v>
      </c>
      <c r="AU220" t="str">
        <f t="shared" si="34"/>
        <v>NoData</v>
      </c>
      <c r="AV220">
        <v>2</v>
      </c>
      <c r="AW220">
        <v>2</v>
      </c>
      <c r="AX220">
        <v>4</v>
      </c>
      <c r="AY220">
        <v>4</v>
      </c>
      <c r="AZ220" t="str">
        <f t="shared" si="35"/>
        <v>NoData</v>
      </c>
      <c r="BA220" t="str">
        <f t="shared" si="36"/>
        <v>NoData</v>
      </c>
      <c r="BB220">
        <f t="shared" si="41"/>
        <v>27</v>
      </c>
      <c r="BC220">
        <f t="shared" si="42"/>
        <v>27</v>
      </c>
      <c r="BD220" t="s">
        <v>11</v>
      </c>
      <c r="BE220" t="s">
        <v>11</v>
      </c>
      <c r="BF220" t="s">
        <v>11</v>
      </c>
      <c r="BG220" t="s">
        <v>11</v>
      </c>
      <c r="BH220">
        <v>13</v>
      </c>
      <c r="BI220" t="s">
        <v>11</v>
      </c>
      <c r="BJ220">
        <v>101</v>
      </c>
      <c r="BK220" t="s">
        <v>11</v>
      </c>
      <c r="BL220" t="s">
        <v>11</v>
      </c>
      <c r="BM220" t="s">
        <v>11</v>
      </c>
      <c r="BN220">
        <v>17</v>
      </c>
      <c r="BO220" t="s">
        <v>11</v>
      </c>
      <c r="BP220" t="str">
        <f t="shared" si="37"/>
        <v>NoData</v>
      </c>
      <c r="BQ220" t="str">
        <f t="shared" si="38"/>
        <v>NoData</v>
      </c>
      <c r="BR220" t="s">
        <v>11</v>
      </c>
      <c r="BS220" t="s">
        <v>11</v>
      </c>
      <c r="BT220" t="s">
        <v>11</v>
      </c>
      <c r="BU220" t="s">
        <v>11</v>
      </c>
    </row>
    <row r="221" spans="1:73" x14ac:dyDescent="0.25">
      <c r="A221" s="5">
        <v>32509</v>
      </c>
      <c r="B221">
        <v>737</v>
      </c>
      <c r="C221">
        <v>737</v>
      </c>
      <c r="D221" t="s">
        <v>11</v>
      </c>
      <c r="E221" t="s">
        <v>11</v>
      </c>
      <c r="F221" t="s">
        <v>11</v>
      </c>
      <c r="G221" t="s">
        <v>11</v>
      </c>
      <c r="H221" t="s">
        <v>11</v>
      </c>
      <c r="I221" t="s">
        <v>11</v>
      </c>
      <c r="J221">
        <v>387</v>
      </c>
      <c r="K221">
        <v>387</v>
      </c>
      <c r="L221">
        <v>14760</v>
      </c>
      <c r="M221">
        <v>-1189</v>
      </c>
      <c r="N221">
        <v>132</v>
      </c>
      <c r="O221">
        <v>132</v>
      </c>
      <c r="P221" t="s">
        <v>11</v>
      </c>
      <c r="Q221" t="s">
        <v>11</v>
      </c>
      <c r="R221" t="s">
        <v>11</v>
      </c>
      <c r="S221" t="s">
        <v>11</v>
      </c>
      <c r="T221" s="34">
        <v>27210</v>
      </c>
      <c r="U221" s="34">
        <v>278</v>
      </c>
      <c r="V221" s="34">
        <v>3330</v>
      </c>
      <c r="W221">
        <v>3252</v>
      </c>
      <c r="X221">
        <v>2013</v>
      </c>
      <c r="Y221">
        <v>1978</v>
      </c>
      <c r="Z221">
        <v>2512</v>
      </c>
      <c r="AA221">
        <v>787</v>
      </c>
      <c r="AB221">
        <v>11963</v>
      </c>
      <c r="AC221">
        <v>2862</v>
      </c>
      <c r="AD221">
        <v>1584</v>
      </c>
      <c r="AE221">
        <v>987</v>
      </c>
      <c r="AF221">
        <v>2271</v>
      </c>
      <c r="AG221">
        <v>2794</v>
      </c>
      <c r="AH221">
        <f t="shared" si="39"/>
        <v>1584</v>
      </c>
      <c r="AI221">
        <f t="shared" si="40"/>
        <v>987</v>
      </c>
      <c r="AJ221">
        <v>9188</v>
      </c>
      <c r="AK221">
        <v>5803</v>
      </c>
      <c r="AL221">
        <v>14365</v>
      </c>
      <c r="AM221">
        <v>1233</v>
      </c>
      <c r="AN221">
        <v>41</v>
      </c>
      <c r="AO221">
        <v>43</v>
      </c>
      <c r="AP221" t="s">
        <v>11</v>
      </c>
      <c r="AQ221" t="s">
        <v>11</v>
      </c>
      <c r="AR221" t="s">
        <v>11</v>
      </c>
      <c r="AS221" t="s">
        <v>11</v>
      </c>
      <c r="AT221" t="str">
        <f t="shared" si="33"/>
        <v>NoData</v>
      </c>
      <c r="AU221" t="str">
        <f t="shared" si="34"/>
        <v>NoData</v>
      </c>
      <c r="AV221">
        <v>0</v>
      </c>
      <c r="AW221">
        <v>0</v>
      </c>
      <c r="AX221">
        <v>4</v>
      </c>
      <c r="AY221">
        <v>4</v>
      </c>
      <c r="AZ221" t="str">
        <f t="shared" si="35"/>
        <v>NoData</v>
      </c>
      <c r="BA221" t="str">
        <f t="shared" si="36"/>
        <v>NoData</v>
      </c>
      <c r="BB221">
        <f t="shared" si="41"/>
        <v>41</v>
      </c>
      <c r="BC221">
        <f t="shared" si="42"/>
        <v>43</v>
      </c>
      <c r="BD221" t="s">
        <v>11</v>
      </c>
      <c r="BE221" t="s">
        <v>11</v>
      </c>
      <c r="BF221" t="s">
        <v>11</v>
      </c>
      <c r="BG221" t="s">
        <v>11</v>
      </c>
      <c r="BH221">
        <v>11</v>
      </c>
      <c r="BI221" t="s">
        <v>11</v>
      </c>
      <c r="BJ221">
        <v>155</v>
      </c>
      <c r="BK221" t="s">
        <v>11</v>
      </c>
      <c r="BL221" t="s">
        <v>11</v>
      </c>
      <c r="BM221" t="s">
        <v>11</v>
      </c>
      <c r="BN221">
        <v>0</v>
      </c>
      <c r="BO221" t="s">
        <v>11</v>
      </c>
      <c r="BP221" t="str">
        <f t="shared" si="37"/>
        <v>NoData</v>
      </c>
      <c r="BQ221" t="str">
        <f t="shared" si="38"/>
        <v>NoData</v>
      </c>
      <c r="BR221" t="s">
        <v>11</v>
      </c>
      <c r="BS221" t="s">
        <v>11</v>
      </c>
      <c r="BT221" t="s">
        <v>11</v>
      </c>
      <c r="BU221" t="s">
        <v>11</v>
      </c>
    </row>
    <row r="222" spans="1:73" x14ac:dyDescent="0.25">
      <c r="A222" s="5">
        <v>32540</v>
      </c>
      <c r="B222">
        <v>1420</v>
      </c>
      <c r="C222">
        <v>1420</v>
      </c>
      <c r="D222" t="s">
        <v>11</v>
      </c>
      <c r="E222" t="s">
        <v>11</v>
      </c>
      <c r="F222" t="s">
        <v>11</v>
      </c>
      <c r="G222" t="s">
        <v>11</v>
      </c>
      <c r="H222" t="s">
        <v>11</v>
      </c>
      <c r="I222" t="s">
        <v>11</v>
      </c>
      <c r="J222">
        <v>1482</v>
      </c>
      <c r="K222">
        <v>1482</v>
      </c>
      <c r="L222">
        <v>35320</v>
      </c>
      <c r="M222">
        <v>19937</v>
      </c>
      <c r="N222">
        <v>457</v>
      </c>
      <c r="O222">
        <v>457</v>
      </c>
      <c r="P222" t="s">
        <v>11</v>
      </c>
      <c r="Q222" t="s">
        <v>11</v>
      </c>
      <c r="R222" t="s">
        <v>11</v>
      </c>
      <c r="S222" t="s">
        <v>11</v>
      </c>
      <c r="T222" s="34">
        <v>57920</v>
      </c>
      <c r="U222" s="34">
        <v>27720</v>
      </c>
      <c r="V222" s="34">
        <v>4419</v>
      </c>
      <c r="W222">
        <v>4380</v>
      </c>
      <c r="X222">
        <v>2735</v>
      </c>
      <c r="Y222">
        <v>2719</v>
      </c>
      <c r="Z222">
        <v>3149</v>
      </c>
      <c r="AA222">
        <v>1204</v>
      </c>
      <c r="AB222">
        <v>17510</v>
      </c>
      <c r="AC222">
        <v>9676</v>
      </c>
      <c r="AD222">
        <v>1676</v>
      </c>
      <c r="AE222">
        <v>908</v>
      </c>
      <c r="AF222">
        <v>3574</v>
      </c>
      <c r="AG222">
        <v>3822</v>
      </c>
      <c r="AH222">
        <f t="shared" si="39"/>
        <v>1676</v>
      </c>
      <c r="AI222">
        <f t="shared" si="40"/>
        <v>908</v>
      </c>
      <c r="AJ222">
        <v>12008</v>
      </c>
      <c r="AK222">
        <v>7655</v>
      </c>
      <c r="AL222">
        <v>28252</v>
      </c>
      <c r="AM222">
        <v>16490</v>
      </c>
      <c r="AN222">
        <v>49</v>
      </c>
      <c r="AO222">
        <v>50</v>
      </c>
      <c r="AP222" t="s">
        <v>11</v>
      </c>
      <c r="AQ222" t="s">
        <v>11</v>
      </c>
      <c r="AR222" t="s">
        <v>11</v>
      </c>
      <c r="AS222" t="s">
        <v>11</v>
      </c>
      <c r="AT222" t="str">
        <f t="shared" si="33"/>
        <v>NoData</v>
      </c>
      <c r="AU222" t="str">
        <f t="shared" si="34"/>
        <v>NoData</v>
      </c>
      <c r="AV222">
        <v>2</v>
      </c>
      <c r="AW222">
        <v>2</v>
      </c>
      <c r="AX222">
        <v>4</v>
      </c>
      <c r="AY222">
        <v>4</v>
      </c>
      <c r="AZ222" t="str">
        <f t="shared" si="35"/>
        <v>NoData</v>
      </c>
      <c r="BA222" t="str">
        <f t="shared" si="36"/>
        <v>NoData</v>
      </c>
      <c r="BB222">
        <f t="shared" si="41"/>
        <v>49</v>
      </c>
      <c r="BC222">
        <f t="shared" si="42"/>
        <v>50</v>
      </c>
      <c r="BD222" t="s">
        <v>11</v>
      </c>
      <c r="BE222" t="s">
        <v>11</v>
      </c>
      <c r="BF222" t="s">
        <v>11</v>
      </c>
      <c r="BG222" t="s">
        <v>11</v>
      </c>
      <c r="BH222">
        <v>12</v>
      </c>
      <c r="BI222" t="s">
        <v>11</v>
      </c>
      <c r="BJ222">
        <v>112</v>
      </c>
      <c r="BK222" t="s">
        <v>11</v>
      </c>
      <c r="BL222" t="s">
        <v>11</v>
      </c>
      <c r="BM222" t="s">
        <v>11</v>
      </c>
      <c r="BN222">
        <v>0</v>
      </c>
      <c r="BO222" t="s">
        <v>11</v>
      </c>
      <c r="BP222" t="str">
        <f t="shared" si="37"/>
        <v>NoData</v>
      </c>
      <c r="BQ222" t="str">
        <f t="shared" si="38"/>
        <v>NoData</v>
      </c>
      <c r="BR222" t="s">
        <v>11</v>
      </c>
      <c r="BS222" t="s">
        <v>11</v>
      </c>
      <c r="BT222" t="s">
        <v>11</v>
      </c>
      <c r="BU222" t="s">
        <v>11</v>
      </c>
    </row>
    <row r="223" spans="1:73" x14ac:dyDescent="0.25">
      <c r="A223" s="5">
        <v>32568</v>
      </c>
      <c r="B223">
        <v>3152</v>
      </c>
      <c r="C223">
        <v>3152</v>
      </c>
      <c r="D223" t="s">
        <v>11</v>
      </c>
      <c r="E223" t="s">
        <v>11</v>
      </c>
      <c r="F223" t="s">
        <v>11</v>
      </c>
      <c r="G223" t="s">
        <v>11</v>
      </c>
      <c r="H223" t="s">
        <v>11</v>
      </c>
      <c r="I223" t="s">
        <v>11</v>
      </c>
      <c r="J223">
        <v>3323</v>
      </c>
      <c r="K223">
        <v>3323</v>
      </c>
      <c r="L223">
        <v>82090</v>
      </c>
      <c r="M223">
        <v>58908</v>
      </c>
      <c r="N223">
        <v>396</v>
      </c>
      <c r="O223">
        <v>396</v>
      </c>
      <c r="P223" t="s">
        <v>11</v>
      </c>
      <c r="Q223" t="s">
        <v>11</v>
      </c>
      <c r="R223" t="s">
        <v>11</v>
      </c>
      <c r="S223" t="s">
        <v>11</v>
      </c>
      <c r="T223" s="34">
        <v>82375</v>
      </c>
      <c r="U223" s="34">
        <v>47444</v>
      </c>
      <c r="V223" s="34">
        <v>4834</v>
      </c>
      <c r="W223">
        <v>4788</v>
      </c>
      <c r="X223">
        <v>3211</v>
      </c>
      <c r="Y223">
        <v>3190</v>
      </c>
      <c r="Z223">
        <v>4880</v>
      </c>
      <c r="AA223">
        <v>2277</v>
      </c>
      <c r="AB223">
        <v>30320</v>
      </c>
      <c r="AC223">
        <v>21239</v>
      </c>
      <c r="AD223">
        <v>2495</v>
      </c>
      <c r="AE223">
        <v>1478</v>
      </c>
      <c r="AF223">
        <v>4787</v>
      </c>
      <c r="AG223">
        <v>5455</v>
      </c>
      <c r="AH223">
        <f t="shared" si="39"/>
        <v>2495</v>
      </c>
      <c r="AI223">
        <f t="shared" si="40"/>
        <v>1478</v>
      </c>
      <c r="AJ223">
        <v>16695</v>
      </c>
      <c r="AK223">
        <v>10929</v>
      </c>
      <c r="AL223">
        <v>48715</v>
      </c>
      <c r="AM223">
        <v>37722</v>
      </c>
      <c r="AN223">
        <v>105</v>
      </c>
      <c r="AO223">
        <v>106</v>
      </c>
      <c r="AP223" t="s">
        <v>11</v>
      </c>
      <c r="AQ223" t="s">
        <v>11</v>
      </c>
      <c r="AR223" t="s">
        <v>11</v>
      </c>
      <c r="AS223" t="s">
        <v>11</v>
      </c>
      <c r="AT223" t="str">
        <f t="shared" si="33"/>
        <v>NoData</v>
      </c>
      <c r="AU223" t="str">
        <f t="shared" si="34"/>
        <v>NoData</v>
      </c>
      <c r="AV223">
        <v>3</v>
      </c>
      <c r="AW223">
        <v>3</v>
      </c>
      <c r="AX223">
        <v>4</v>
      </c>
      <c r="AY223">
        <v>4</v>
      </c>
      <c r="AZ223" t="str">
        <f t="shared" si="35"/>
        <v>NoData</v>
      </c>
      <c r="BA223" t="str">
        <f t="shared" si="36"/>
        <v>NoData</v>
      </c>
      <c r="BB223">
        <f t="shared" si="41"/>
        <v>105</v>
      </c>
      <c r="BC223">
        <f t="shared" si="42"/>
        <v>106</v>
      </c>
      <c r="BD223" t="s">
        <v>11</v>
      </c>
      <c r="BE223" t="s">
        <v>11</v>
      </c>
      <c r="BF223" t="s">
        <v>11</v>
      </c>
      <c r="BG223" t="s">
        <v>11</v>
      </c>
      <c r="BH223">
        <v>3</v>
      </c>
      <c r="BI223" t="s">
        <v>11</v>
      </c>
      <c r="BJ223">
        <v>100</v>
      </c>
      <c r="BK223" t="s">
        <v>11</v>
      </c>
      <c r="BL223" t="s">
        <v>11</v>
      </c>
      <c r="BM223" t="s">
        <v>11</v>
      </c>
      <c r="BN223">
        <v>0</v>
      </c>
      <c r="BO223" t="s">
        <v>11</v>
      </c>
      <c r="BP223" t="str">
        <f t="shared" si="37"/>
        <v>NoData</v>
      </c>
      <c r="BQ223" t="str">
        <f t="shared" si="38"/>
        <v>NoData</v>
      </c>
      <c r="BR223" t="s">
        <v>11</v>
      </c>
      <c r="BS223" t="s">
        <v>11</v>
      </c>
      <c r="BT223" t="s">
        <v>11</v>
      </c>
      <c r="BU223" t="s">
        <v>11</v>
      </c>
    </row>
    <row r="224" spans="1:73" x14ac:dyDescent="0.25">
      <c r="A224" s="5">
        <v>32599</v>
      </c>
      <c r="B224">
        <v>2843</v>
      </c>
      <c r="C224">
        <v>2843</v>
      </c>
      <c r="D224" t="s">
        <v>11</v>
      </c>
      <c r="E224" t="s">
        <v>11</v>
      </c>
      <c r="F224" t="s">
        <v>11</v>
      </c>
      <c r="G224" t="s">
        <v>11</v>
      </c>
      <c r="H224" t="s">
        <v>11</v>
      </c>
      <c r="I224" t="s">
        <v>11</v>
      </c>
      <c r="J224">
        <v>2320</v>
      </c>
      <c r="K224">
        <v>2320</v>
      </c>
      <c r="L224">
        <v>69650</v>
      </c>
      <c r="M224">
        <v>46966</v>
      </c>
      <c r="N224">
        <v>375</v>
      </c>
      <c r="O224">
        <v>375</v>
      </c>
      <c r="P224" t="s">
        <v>11</v>
      </c>
      <c r="Q224" t="s">
        <v>11</v>
      </c>
      <c r="R224" t="s">
        <v>11</v>
      </c>
      <c r="S224" t="s">
        <v>11</v>
      </c>
      <c r="T224" s="34">
        <v>95129</v>
      </c>
      <c r="U224" s="34">
        <v>57614</v>
      </c>
      <c r="V224" s="34">
        <v>6349</v>
      </c>
      <c r="W224">
        <v>6293</v>
      </c>
      <c r="X224">
        <v>4640</v>
      </c>
      <c r="Y224">
        <v>4612</v>
      </c>
      <c r="Z224">
        <v>5813</v>
      </c>
      <c r="AA224">
        <v>2900</v>
      </c>
      <c r="AB224">
        <v>39777</v>
      </c>
      <c r="AC224">
        <v>30799</v>
      </c>
      <c r="AD224">
        <v>3260</v>
      </c>
      <c r="AE224">
        <v>2300</v>
      </c>
      <c r="AF224">
        <v>5728</v>
      </c>
      <c r="AG224">
        <v>5981</v>
      </c>
      <c r="AH224">
        <f t="shared" si="39"/>
        <v>3260</v>
      </c>
      <c r="AI224">
        <f t="shared" si="40"/>
        <v>2300</v>
      </c>
      <c r="AJ224">
        <v>24827</v>
      </c>
      <c r="AK224">
        <v>19386</v>
      </c>
      <c r="AL224">
        <v>51797</v>
      </c>
      <c r="AM224">
        <v>41787</v>
      </c>
      <c r="AN224">
        <v>109</v>
      </c>
      <c r="AO224">
        <v>110</v>
      </c>
      <c r="AP224" t="s">
        <v>11</v>
      </c>
      <c r="AQ224" t="s">
        <v>11</v>
      </c>
      <c r="AR224" t="s">
        <v>11</v>
      </c>
      <c r="AS224" t="s">
        <v>11</v>
      </c>
      <c r="AT224" t="str">
        <f t="shared" si="33"/>
        <v>NoData</v>
      </c>
      <c r="AU224" t="str">
        <f t="shared" si="34"/>
        <v>NoData</v>
      </c>
      <c r="AV224">
        <v>5</v>
      </c>
      <c r="AW224">
        <v>5</v>
      </c>
      <c r="AX224">
        <v>4</v>
      </c>
      <c r="AY224">
        <v>4</v>
      </c>
      <c r="AZ224" t="str">
        <f t="shared" si="35"/>
        <v>NoData</v>
      </c>
      <c r="BA224" t="str">
        <f t="shared" si="36"/>
        <v>NoData</v>
      </c>
      <c r="BB224">
        <f t="shared" si="41"/>
        <v>109</v>
      </c>
      <c r="BC224">
        <f t="shared" si="42"/>
        <v>110</v>
      </c>
      <c r="BD224" t="s">
        <v>11</v>
      </c>
      <c r="BE224" t="s">
        <v>11</v>
      </c>
      <c r="BF224" t="s">
        <v>11</v>
      </c>
      <c r="BG224" t="s">
        <v>11</v>
      </c>
      <c r="BH224">
        <v>43</v>
      </c>
      <c r="BI224" t="s">
        <v>11</v>
      </c>
      <c r="BJ224">
        <v>104</v>
      </c>
      <c r="BK224" t="s">
        <v>11</v>
      </c>
      <c r="BL224" t="s">
        <v>11</v>
      </c>
      <c r="BM224" t="s">
        <v>11</v>
      </c>
      <c r="BN224">
        <v>49</v>
      </c>
      <c r="BO224" t="s">
        <v>11</v>
      </c>
      <c r="BP224" t="str">
        <f t="shared" si="37"/>
        <v>NoData</v>
      </c>
      <c r="BQ224" t="str">
        <f t="shared" si="38"/>
        <v>NoData</v>
      </c>
      <c r="BR224" t="s">
        <v>11</v>
      </c>
      <c r="BS224" t="s">
        <v>11</v>
      </c>
      <c r="BT224" t="s">
        <v>11</v>
      </c>
      <c r="BU224" t="s">
        <v>11</v>
      </c>
    </row>
    <row r="225" spans="1:73" x14ac:dyDescent="0.25">
      <c r="A225" s="5">
        <v>32629</v>
      </c>
      <c r="B225">
        <v>3345</v>
      </c>
      <c r="C225">
        <v>3345</v>
      </c>
      <c r="D225" t="s">
        <v>11</v>
      </c>
      <c r="E225" t="s">
        <v>11</v>
      </c>
      <c r="F225" t="s">
        <v>11</v>
      </c>
      <c r="G225" t="s">
        <v>11</v>
      </c>
      <c r="H225" t="s">
        <v>11</v>
      </c>
      <c r="I225" t="s">
        <v>11</v>
      </c>
      <c r="J225">
        <v>2198</v>
      </c>
      <c r="K225">
        <v>2198</v>
      </c>
      <c r="L225">
        <v>76880</v>
      </c>
      <c r="M225">
        <v>53420</v>
      </c>
      <c r="N225">
        <v>472</v>
      </c>
      <c r="O225">
        <v>472</v>
      </c>
      <c r="P225" t="s">
        <v>11</v>
      </c>
      <c r="Q225" t="s">
        <v>11</v>
      </c>
      <c r="R225" t="s">
        <v>11</v>
      </c>
      <c r="S225" t="s">
        <v>11</v>
      </c>
      <c r="T225" s="34">
        <v>96200</v>
      </c>
      <c r="U225" s="34">
        <v>51426</v>
      </c>
      <c r="V225" s="34">
        <v>5664</v>
      </c>
      <c r="W225">
        <v>5617</v>
      </c>
      <c r="X225">
        <v>4877</v>
      </c>
      <c r="Y225">
        <v>4849</v>
      </c>
      <c r="Z225">
        <v>5834</v>
      </c>
      <c r="AA225">
        <v>2743</v>
      </c>
      <c r="AB225">
        <v>30250</v>
      </c>
      <c r="AC225">
        <v>21864</v>
      </c>
      <c r="AD225">
        <v>3658</v>
      </c>
      <c r="AE225">
        <v>2699</v>
      </c>
      <c r="AF225">
        <v>4396</v>
      </c>
      <c r="AG225">
        <v>5507</v>
      </c>
      <c r="AH225">
        <f t="shared" si="39"/>
        <v>3658</v>
      </c>
      <c r="AI225">
        <f t="shared" si="40"/>
        <v>2699</v>
      </c>
      <c r="AJ225">
        <v>27057</v>
      </c>
      <c r="AK225">
        <v>21625</v>
      </c>
      <c r="AL225">
        <v>46080</v>
      </c>
      <c r="AM225">
        <v>35440</v>
      </c>
      <c r="AN225">
        <v>135</v>
      </c>
      <c r="AO225">
        <v>136</v>
      </c>
      <c r="AP225" t="s">
        <v>11</v>
      </c>
      <c r="AQ225" t="s">
        <v>11</v>
      </c>
      <c r="AR225" t="s">
        <v>11</v>
      </c>
      <c r="AS225" t="s">
        <v>11</v>
      </c>
      <c r="AT225" t="str">
        <f t="shared" si="33"/>
        <v>NoData</v>
      </c>
      <c r="AU225" t="str">
        <f t="shared" si="34"/>
        <v>NoData</v>
      </c>
      <c r="AV225">
        <v>4</v>
      </c>
      <c r="AW225">
        <v>4</v>
      </c>
      <c r="AX225">
        <v>4</v>
      </c>
      <c r="AY225">
        <v>4</v>
      </c>
      <c r="AZ225" t="str">
        <f t="shared" si="35"/>
        <v>NoData</v>
      </c>
      <c r="BA225" t="str">
        <f t="shared" si="36"/>
        <v>NoData</v>
      </c>
      <c r="BB225">
        <f t="shared" si="41"/>
        <v>135</v>
      </c>
      <c r="BC225">
        <f t="shared" si="42"/>
        <v>136</v>
      </c>
      <c r="BD225" t="s">
        <v>11</v>
      </c>
      <c r="BE225" t="s">
        <v>11</v>
      </c>
      <c r="BF225" t="s">
        <v>11</v>
      </c>
      <c r="BG225" t="s">
        <v>11</v>
      </c>
      <c r="BH225">
        <v>42</v>
      </c>
      <c r="BI225" t="s">
        <v>11</v>
      </c>
      <c r="BJ225">
        <v>109</v>
      </c>
      <c r="BK225" t="s">
        <v>11</v>
      </c>
      <c r="BL225" t="s">
        <v>11</v>
      </c>
      <c r="BM225" t="s">
        <v>11</v>
      </c>
      <c r="BN225">
        <v>65</v>
      </c>
      <c r="BO225" t="s">
        <v>11</v>
      </c>
      <c r="BP225" t="str">
        <f t="shared" si="37"/>
        <v>NoData</v>
      </c>
      <c r="BQ225" t="str">
        <f t="shared" si="38"/>
        <v>NoData</v>
      </c>
      <c r="BR225" t="s">
        <v>11</v>
      </c>
      <c r="BS225" t="s">
        <v>11</v>
      </c>
      <c r="BT225" t="s">
        <v>11</v>
      </c>
      <c r="BU225" t="s">
        <v>11</v>
      </c>
    </row>
    <row r="226" spans="1:73" x14ac:dyDescent="0.25">
      <c r="A226" s="5">
        <v>32660</v>
      </c>
      <c r="B226">
        <v>4171</v>
      </c>
      <c r="C226">
        <v>4171</v>
      </c>
      <c r="D226" t="s">
        <v>11</v>
      </c>
      <c r="E226" t="s">
        <v>11</v>
      </c>
      <c r="F226" t="s">
        <v>11</v>
      </c>
      <c r="G226" t="s">
        <v>11</v>
      </c>
      <c r="H226" t="s">
        <v>11</v>
      </c>
      <c r="I226" t="s">
        <v>11</v>
      </c>
      <c r="J226">
        <v>3967</v>
      </c>
      <c r="K226">
        <v>3967</v>
      </c>
      <c r="L226">
        <v>87910</v>
      </c>
      <c r="M226">
        <v>67720</v>
      </c>
      <c r="N226">
        <v>430</v>
      </c>
      <c r="O226">
        <v>430</v>
      </c>
      <c r="P226" t="s">
        <v>11</v>
      </c>
      <c r="Q226" t="s">
        <v>11</v>
      </c>
      <c r="R226" t="s">
        <v>11</v>
      </c>
      <c r="S226" t="s">
        <v>11</v>
      </c>
      <c r="T226" s="34">
        <v>107486</v>
      </c>
      <c r="U226" s="34">
        <v>51046</v>
      </c>
      <c r="V226" s="34">
        <v>6173</v>
      </c>
      <c r="W226">
        <v>6083</v>
      </c>
      <c r="X226">
        <v>4199</v>
      </c>
      <c r="Y226">
        <v>4157</v>
      </c>
      <c r="Z226">
        <v>4330</v>
      </c>
      <c r="AA226">
        <v>2040</v>
      </c>
      <c r="AB226">
        <v>25794</v>
      </c>
      <c r="AC226">
        <v>18803</v>
      </c>
      <c r="AD226">
        <v>3953</v>
      </c>
      <c r="AE226">
        <v>3273</v>
      </c>
      <c r="AF226">
        <v>3938</v>
      </c>
      <c r="AG226">
        <v>5463</v>
      </c>
      <c r="AH226">
        <f t="shared" si="39"/>
        <v>3953</v>
      </c>
      <c r="AI226">
        <f t="shared" si="40"/>
        <v>3273</v>
      </c>
      <c r="AJ226">
        <v>30224</v>
      </c>
      <c r="AK226">
        <v>26371</v>
      </c>
      <c r="AL226">
        <v>46979</v>
      </c>
      <c r="AM226">
        <v>39307</v>
      </c>
      <c r="AN226">
        <v>91</v>
      </c>
      <c r="AO226">
        <v>92</v>
      </c>
      <c r="AP226" t="s">
        <v>11</v>
      </c>
      <c r="AQ226" t="s">
        <v>11</v>
      </c>
      <c r="AR226" t="s">
        <v>11</v>
      </c>
      <c r="AS226" t="s">
        <v>11</v>
      </c>
      <c r="AT226" t="str">
        <f t="shared" si="33"/>
        <v>NoData</v>
      </c>
      <c r="AU226" t="str">
        <f t="shared" si="34"/>
        <v>NoData</v>
      </c>
      <c r="AV226">
        <v>4</v>
      </c>
      <c r="AW226">
        <v>4</v>
      </c>
      <c r="AX226">
        <v>4</v>
      </c>
      <c r="AY226">
        <v>4</v>
      </c>
      <c r="AZ226" t="str">
        <f t="shared" si="35"/>
        <v>NoData</v>
      </c>
      <c r="BA226" t="str">
        <f t="shared" si="36"/>
        <v>NoData</v>
      </c>
      <c r="BB226">
        <f t="shared" si="41"/>
        <v>91</v>
      </c>
      <c r="BC226">
        <f t="shared" si="42"/>
        <v>92</v>
      </c>
      <c r="BD226" t="s">
        <v>11</v>
      </c>
      <c r="BE226" t="s">
        <v>11</v>
      </c>
      <c r="BF226" t="s">
        <v>11</v>
      </c>
      <c r="BG226" t="s">
        <v>11</v>
      </c>
      <c r="BH226">
        <v>71</v>
      </c>
      <c r="BI226" t="s">
        <v>11</v>
      </c>
      <c r="BJ226">
        <v>223</v>
      </c>
      <c r="BK226" t="s">
        <v>11</v>
      </c>
      <c r="BL226" t="s">
        <v>11</v>
      </c>
      <c r="BM226" t="s">
        <v>11</v>
      </c>
      <c r="BN226">
        <v>27</v>
      </c>
      <c r="BO226" t="s">
        <v>11</v>
      </c>
      <c r="BP226" t="str">
        <f t="shared" si="37"/>
        <v>NoData</v>
      </c>
      <c r="BQ226" t="str">
        <f t="shared" si="38"/>
        <v>NoData</v>
      </c>
      <c r="BR226" t="s">
        <v>11</v>
      </c>
      <c r="BS226" t="s">
        <v>11</v>
      </c>
      <c r="BT226" t="s">
        <v>11</v>
      </c>
      <c r="BU226" t="s">
        <v>11</v>
      </c>
    </row>
    <row r="227" spans="1:73" x14ac:dyDescent="0.25">
      <c r="A227" s="5">
        <v>32690</v>
      </c>
      <c r="B227">
        <v>5291</v>
      </c>
      <c r="C227">
        <v>5291</v>
      </c>
      <c r="D227" t="s">
        <v>11</v>
      </c>
      <c r="E227" t="s">
        <v>11</v>
      </c>
      <c r="F227" t="s">
        <v>11</v>
      </c>
      <c r="G227" t="s">
        <v>11</v>
      </c>
      <c r="H227" t="s">
        <v>11</v>
      </c>
      <c r="I227" t="s">
        <v>11</v>
      </c>
      <c r="J227">
        <v>4493</v>
      </c>
      <c r="K227">
        <v>4493</v>
      </c>
      <c r="L227">
        <v>91660</v>
      </c>
      <c r="M227">
        <v>66901</v>
      </c>
      <c r="N227">
        <v>719</v>
      </c>
      <c r="O227">
        <v>719</v>
      </c>
      <c r="P227" t="s">
        <v>11</v>
      </c>
      <c r="Q227" t="s">
        <v>11</v>
      </c>
      <c r="R227" t="s">
        <v>11</v>
      </c>
      <c r="S227" t="s">
        <v>11</v>
      </c>
      <c r="T227" s="34">
        <v>121192</v>
      </c>
      <c r="U227" s="34">
        <v>75070</v>
      </c>
      <c r="V227" s="34">
        <v>5613</v>
      </c>
      <c r="W227">
        <v>5533</v>
      </c>
      <c r="X227">
        <v>3949</v>
      </c>
      <c r="Y227">
        <v>3910</v>
      </c>
      <c r="Z227">
        <v>3097</v>
      </c>
      <c r="AA227">
        <v>1294</v>
      </c>
      <c r="AB227">
        <v>23901</v>
      </c>
      <c r="AC227">
        <v>16070</v>
      </c>
      <c r="AD227">
        <v>3651</v>
      </c>
      <c r="AE227">
        <v>2877</v>
      </c>
      <c r="AF227">
        <v>3411</v>
      </c>
      <c r="AG227">
        <v>4774</v>
      </c>
      <c r="AH227">
        <f t="shared" si="39"/>
        <v>3651</v>
      </c>
      <c r="AI227">
        <f t="shared" si="40"/>
        <v>2877</v>
      </c>
      <c r="AJ227">
        <v>29784</v>
      </c>
      <c r="AK227">
        <v>25399</v>
      </c>
      <c r="AL227">
        <v>48595</v>
      </c>
      <c r="AM227">
        <v>38372</v>
      </c>
      <c r="AN227">
        <v>248</v>
      </c>
      <c r="AO227">
        <v>248</v>
      </c>
      <c r="AP227" t="s">
        <v>11</v>
      </c>
      <c r="AQ227" t="s">
        <v>11</v>
      </c>
      <c r="AR227" t="s">
        <v>11</v>
      </c>
      <c r="AS227" t="s">
        <v>11</v>
      </c>
      <c r="AT227" t="str">
        <f t="shared" si="33"/>
        <v>NoData</v>
      </c>
      <c r="AU227" t="str">
        <f t="shared" si="34"/>
        <v>NoData</v>
      </c>
      <c r="AV227">
        <v>3</v>
      </c>
      <c r="AW227">
        <v>3</v>
      </c>
      <c r="AX227">
        <v>4</v>
      </c>
      <c r="AY227">
        <v>4</v>
      </c>
      <c r="AZ227" t="str">
        <f t="shared" si="35"/>
        <v>NoData</v>
      </c>
      <c r="BA227" t="str">
        <f t="shared" si="36"/>
        <v>NoData</v>
      </c>
      <c r="BB227">
        <f t="shared" si="41"/>
        <v>248</v>
      </c>
      <c r="BC227">
        <f t="shared" si="42"/>
        <v>248</v>
      </c>
      <c r="BD227" t="s">
        <v>11</v>
      </c>
      <c r="BE227" t="s">
        <v>11</v>
      </c>
      <c r="BF227" t="s">
        <v>11</v>
      </c>
      <c r="BG227" t="s">
        <v>11</v>
      </c>
      <c r="BH227">
        <v>37</v>
      </c>
      <c r="BI227" t="s">
        <v>11</v>
      </c>
      <c r="BJ227">
        <v>236</v>
      </c>
      <c r="BK227" t="s">
        <v>11</v>
      </c>
      <c r="BL227" t="s">
        <v>11</v>
      </c>
      <c r="BM227" t="s">
        <v>11</v>
      </c>
      <c r="BN227">
        <v>59</v>
      </c>
      <c r="BO227" t="s">
        <v>11</v>
      </c>
      <c r="BP227" t="str">
        <f t="shared" si="37"/>
        <v>NoData</v>
      </c>
      <c r="BQ227" t="str">
        <f t="shared" si="38"/>
        <v>NoData</v>
      </c>
      <c r="BR227" t="s">
        <v>11</v>
      </c>
      <c r="BS227" t="s">
        <v>11</v>
      </c>
      <c r="BT227" t="s">
        <v>11</v>
      </c>
      <c r="BU227" t="s">
        <v>11</v>
      </c>
    </row>
    <row r="228" spans="1:73" x14ac:dyDescent="0.25">
      <c r="A228" s="5">
        <v>32721</v>
      </c>
      <c r="B228">
        <v>4586</v>
      </c>
      <c r="C228">
        <v>4586</v>
      </c>
      <c r="D228" t="s">
        <v>11</v>
      </c>
      <c r="E228" t="s">
        <v>11</v>
      </c>
      <c r="F228" t="s">
        <v>11</v>
      </c>
      <c r="G228" t="s">
        <v>11</v>
      </c>
      <c r="H228" t="s">
        <v>11</v>
      </c>
      <c r="I228" t="s">
        <v>11</v>
      </c>
      <c r="J228">
        <v>3637</v>
      </c>
      <c r="K228">
        <v>3637</v>
      </c>
      <c r="L228">
        <v>75990</v>
      </c>
      <c r="M228">
        <v>49240</v>
      </c>
      <c r="N228">
        <v>591</v>
      </c>
      <c r="O228">
        <v>591</v>
      </c>
      <c r="P228" t="s">
        <v>11</v>
      </c>
      <c r="Q228" t="s">
        <v>11</v>
      </c>
      <c r="R228" t="s">
        <v>11</v>
      </c>
      <c r="S228" t="s">
        <v>11</v>
      </c>
      <c r="T228" s="34">
        <v>107248</v>
      </c>
      <c r="U228" s="34">
        <v>62851</v>
      </c>
      <c r="V228" s="34">
        <v>2813</v>
      </c>
      <c r="W228">
        <v>2792</v>
      </c>
      <c r="X228">
        <v>2426</v>
      </c>
      <c r="Y228">
        <v>2413</v>
      </c>
      <c r="Z228">
        <v>1706</v>
      </c>
      <c r="AA228">
        <v>554</v>
      </c>
      <c r="AB228">
        <v>24536</v>
      </c>
      <c r="AC228">
        <v>16659</v>
      </c>
      <c r="AD228">
        <v>3105</v>
      </c>
      <c r="AE228">
        <v>2442</v>
      </c>
      <c r="AF228">
        <v>3195</v>
      </c>
      <c r="AG228">
        <v>3332</v>
      </c>
      <c r="AH228">
        <f t="shared" si="39"/>
        <v>3105</v>
      </c>
      <c r="AI228">
        <f t="shared" si="40"/>
        <v>2442</v>
      </c>
      <c r="AJ228">
        <v>23723</v>
      </c>
      <c r="AK228">
        <v>19969</v>
      </c>
      <c r="AL228">
        <v>41335</v>
      </c>
      <c r="AM228">
        <v>30380</v>
      </c>
      <c r="AN228">
        <v>19</v>
      </c>
      <c r="AO228">
        <v>19</v>
      </c>
      <c r="AP228" t="s">
        <v>11</v>
      </c>
      <c r="AQ228" t="s">
        <v>11</v>
      </c>
      <c r="AR228" t="s">
        <v>11</v>
      </c>
      <c r="AS228" t="s">
        <v>11</v>
      </c>
      <c r="AT228" t="str">
        <f t="shared" si="33"/>
        <v>NoData</v>
      </c>
      <c r="AU228" t="str">
        <f t="shared" si="34"/>
        <v>NoData</v>
      </c>
      <c r="AV228">
        <v>0</v>
      </c>
      <c r="AW228">
        <v>0</v>
      </c>
      <c r="AX228">
        <v>4</v>
      </c>
      <c r="AY228">
        <v>4</v>
      </c>
      <c r="AZ228" t="str">
        <f t="shared" si="35"/>
        <v>NoData</v>
      </c>
      <c r="BA228" t="str">
        <f t="shared" si="36"/>
        <v>NoData</v>
      </c>
      <c r="BB228">
        <f t="shared" si="41"/>
        <v>19</v>
      </c>
      <c r="BC228">
        <f t="shared" si="42"/>
        <v>19</v>
      </c>
      <c r="BD228" t="s">
        <v>11</v>
      </c>
      <c r="BE228" t="s">
        <v>11</v>
      </c>
      <c r="BF228" t="s">
        <v>11</v>
      </c>
      <c r="BG228" t="s">
        <v>11</v>
      </c>
      <c r="BH228">
        <v>0</v>
      </c>
      <c r="BI228" t="s">
        <v>11</v>
      </c>
      <c r="BJ228">
        <v>102</v>
      </c>
      <c r="BK228" t="s">
        <v>11</v>
      </c>
      <c r="BL228" t="s">
        <v>11</v>
      </c>
      <c r="BM228" t="s">
        <v>11</v>
      </c>
      <c r="BN228">
        <v>46</v>
      </c>
      <c r="BO228" t="s">
        <v>11</v>
      </c>
      <c r="BP228" t="str">
        <f t="shared" si="37"/>
        <v>NoData</v>
      </c>
      <c r="BQ228" t="str">
        <f t="shared" si="38"/>
        <v>NoData</v>
      </c>
      <c r="BR228" t="s">
        <v>11</v>
      </c>
      <c r="BS228" t="s">
        <v>11</v>
      </c>
      <c r="BT228" t="s">
        <v>11</v>
      </c>
      <c r="BU228" t="s">
        <v>11</v>
      </c>
    </row>
    <row r="229" spans="1:73" x14ac:dyDescent="0.25">
      <c r="A229" s="5">
        <v>32752</v>
      </c>
      <c r="B229">
        <v>3921</v>
      </c>
      <c r="C229">
        <v>3921</v>
      </c>
      <c r="D229" t="s">
        <v>11</v>
      </c>
      <c r="E229" t="s">
        <v>11</v>
      </c>
      <c r="F229" t="s">
        <v>11</v>
      </c>
      <c r="G229" t="s">
        <v>11</v>
      </c>
      <c r="H229" t="s">
        <v>11</v>
      </c>
      <c r="I229" t="s">
        <v>11</v>
      </c>
      <c r="J229">
        <v>2516</v>
      </c>
      <c r="K229">
        <v>2516</v>
      </c>
      <c r="L229">
        <v>61530</v>
      </c>
      <c r="M229">
        <v>35637</v>
      </c>
      <c r="N229">
        <v>522</v>
      </c>
      <c r="O229">
        <v>522</v>
      </c>
      <c r="P229" t="s">
        <v>11</v>
      </c>
      <c r="Q229" t="s">
        <v>11</v>
      </c>
      <c r="R229" t="s">
        <v>11</v>
      </c>
      <c r="S229" t="s">
        <v>11</v>
      </c>
      <c r="T229" s="34">
        <v>82732</v>
      </c>
      <c r="U229" s="34">
        <v>39097</v>
      </c>
      <c r="V229" s="34">
        <v>5850</v>
      </c>
      <c r="W229">
        <v>5757</v>
      </c>
      <c r="X229">
        <v>2914</v>
      </c>
      <c r="Y229">
        <v>2881</v>
      </c>
      <c r="Z229">
        <v>3607</v>
      </c>
      <c r="AA229">
        <v>1332</v>
      </c>
      <c r="AB229">
        <v>31046</v>
      </c>
      <c r="AC229">
        <v>22533</v>
      </c>
      <c r="AD229">
        <v>2812</v>
      </c>
      <c r="AE229">
        <v>2153</v>
      </c>
      <c r="AF229">
        <v>5454</v>
      </c>
      <c r="AG229">
        <v>5135</v>
      </c>
      <c r="AH229">
        <f t="shared" si="39"/>
        <v>2812</v>
      </c>
      <c r="AI229">
        <f t="shared" si="40"/>
        <v>2153</v>
      </c>
      <c r="AJ229">
        <v>22003</v>
      </c>
      <c r="AK229">
        <v>18270</v>
      </c>
      <c r="AL229">
        <v>50823</v>
      </c>
      <c r="AM229">
        <v>38349</v>
      </c>
      <c r="AN229">
        <v>241</v>
      </c>
      <c r="AO229">
        <v>245</v>
      </c>
      <c r="AP229" t="s">
        <v>11</v>
      </c>
      <c r="AQ229" t="s">
        <v>11</v>
      </c>
      <c r="AR229" t="s">
        <v>11</v>
      </c>
      <c r="AS229" t="s">
        <v>11</v>
      </c>
      <c r="AT229" t="str">
        <f t="shared" si="33"/>
        <v>NoData</v>
      </c>
      <c r="AU229" t="str">
        <f t="shared" si="34"/>
        <v>NoData</v>
      </c>
      <c r="AV229">
        <v>1</v>
      </c>
      <c r="AW229">
        <v>1</v>
      </c>
      <c r="AX229">
        <v>4</v>
      </c>
      <c r="AY229">
        <v>4</v>
      </c>
      <c r="AZ229" t="str">
        <f t="shared" si="35"/>
        <v>NoData</v>
      </c>
      <c r="BA229" t="str">
        <f t="shared" si="36"/>
        <v>NoData</v>
      </c>
      <c r="BB229">
        <f t="shared" si="41"/>
        <v>241</v>
      </c>
      <c r="BC229">
        <f t="shared" si="42"/>
        <v>245</v>
      </c>
      <c r="BD229" t="s">
        <v>11</v>
      </c>
      <c r="BE229" t="s">
        <v>11</v>
      </c>
      <c r="BF229" t="s">
        <v>11</v>
      </c>
      <c r="BG229" t="s">
        <v>11</v>
      </c>
      <c r="BH229">
        <v>45</v>
      </c>
      <c r="BI229" t="s">
        <v>11</v>
      </c>
      <c r="BJ229">
        <v>84</v>
      </c>
      <c r="BK229" t="s">
        <v>11</v>
      </c>
      <c r="BL229" t="s">
        <v>11</v>
      </c>
      <c r="BM229" t="s">
        <v>11</v>
      </c>
      <c r="BN229">
        <v>0</v>
      </c>
      <c r="BO229" t="s">
        <v>11</v>
      </c>
      <c r="BP229" t="str">
        <f t="shared" si="37"/>
        <v>NoData</v>
      </c>
      <c r="BQ229" t="str">
        <f t="shared" si="38"/>
        <v>NoData</v>
      </c>
      <c r="BR229" t="s">
        <v>11</v>
      </c>
      <c r="BS229" t="s">
        <v>11</v>
      </c>
      <c r="BT229" t="s">
        <v>11</v>
      </c>
      <c r="BU229" t="s">
        <v>11</v>
      </c>
    </row>
    <row r="230" spans="1:73" x14ac:dyDescent="0.25">
      <c r="A230" s="5">
        <v>32782</v>
      </c>
      <c r="B230">
        <v>2255</v>
      </c>
      <c r="C230">
        <v>2255</v>
      </c>
      <c r="D230" t="s">
        <v>11</v>
      </c>
      <c r="E230" t="s">
        <v>11</v>
      </c>
      <c r="F230" t="s">
        <v>11</v>
      </c>
      <c r="G230" t="s">
        <v>11</v>
      </c>
      <c r="H230" t="s">
        <v>11</v>
      </c>
      <c r="I230" t="s">
        <v>11</v>
      </c>
      <c r="J230">
        <v>828</v>
      </c>
      <c r="K230">
        <v>828</v>
      </c>
      <c r="L230">
        <v>38242</v>
      </c>
      <c r="M230">
        <v>14381</v>
      </c>
      <c r="N230">
        <v>457</v>
      </c>
      <c r="O230">
        <v>457</v>
      </c>
      <c r="P230" t="s">
        <v>11</v>
      </c>
      <c r="Q230" t="s">
        <v>11</v>
      </c>
      <c r="R230" t="s">
        <v>11</v>
      </c>
      <c r="S230" t="s">
        <v>11</v>
      </c>
      <c r="T230" s="34">
        <v>58743</v>
      </c>
      <c r="U230" s="34">
        <v>16845</v>
      </c>
      <c r="V230" s="34">
        <v>9373</v>
      </c>
      <c r="W230">
        <v>9242</v>
      </c>
      <c r="X230">
        <v>4613</v>
      </c>
      <c r="Y230">
        <v>4568</v>
      </c>
      <c r="Z230">
        <v>5464</v>
      </c>
      <c r="AA230">
        <v>2322</v>
      </c>
      <c r="AB230">
        <v>39336</v>
      </c>
      <c r="AC230">
        <v>28234</v>
      </c>
      <c r="AD230">
        <v>3118</v>
      </c>
      <c r="AE230">
        <v>2786</v>
      </c>
      <c r="AF230">
        <v>4863</v>
      </c>
      <c r="AG230">
        <v>4806</v>
      </c>
      <c r="AH230">
        <f t="shared" si="39"/>
        <v>3118</v>
      </c>
      <c r="AI230">
        <f t="shared" si="40"/>
        <v>2786</v>
      </c>
      <c r="AJ230">
        <v>18672</v>
      </c>
      <c r="AK230">
        <v>16792</v>
      </c>
      <c r="AL230">
        <v>33127</v>
      </c>
      <c r="AM230">
        <v>20173</v>
      </c>
      <c r="AN230">
        <v>323</v>
      </c>
      <c r="AO230">
        <v>323</v>
      </c>
      <c r="AP230" t="s">
        <v>11</v>
      </c>
      <c r="AQ230" t="s">
        <v>11</v>
      </c>
      <c r="AR230" t="s">
        <v>11</v>
      </c>
      <c r="AS230" t="s">
        <v>11</v>
      </c>
      <c r="AT230" t="str">
        <f t="shared" si="33"/>
        <v>NoData</v>
      </c>
      <c r="AU230" t="str">
        <f t="shared" si="34"/>
        <v>NoData</v>
      </c>
      <c r="AV230">
        <v>1</v>
      </c>
      <c r="AW230">
        <v>1</v>
      </c>
      <c r="AX230">
        <v>4</v>
      </c>
      <c r="AY230">
        <v>4</v>
      </c>
      <c r="AZ230" t="str">
        <f t="shared" si="35"/>
        <v>NoData</v>
      </c>
      <c r="BA230" t="str">
        <f t="shared" si="36"/>
        <v>NoData</v>
      </c>
      <c r="BB230">
        <f t="shared" si="41"/>
        <v>323</v>
      </c>
      <c r="BC230">
        <f t="shared" si="42"/>
        <v>323</v>
      </c>
      <c r="BD230" t="s">
        <v>11</v>
      </c>
      <c r="BE230" t="s">
        <v>11</v>
      </c>
      <c r="BF230" t="s">
        <v>11</v>
      </c>
      <c r="BG230" t="s">
        <v>11</v>
      </c>
      <c r="BH230">
        <v>98</v>
      </c>
      <c r="BI230" t="s">
        <v>11</v>
      </c>
      <c r="BJ230">
        <v>100</v>
      </c>
      <c r="BK230" t="s">
        <v>11</v>
      </c>
      <c r="BL230" t="s">
        <v>11</v>
      </c>
      <c r="BM230" t="s">
        <v>11</v>
      </c>
      <c r="BN230">
        <v>0</v>
      </c>
      <c r="BO230" t="s">
        <v>11</v>
      </c>
      <c r="BP230" t="str">
        <f t="shared" si="37"/>
        <v>NoData</v>
      </c>
      <c r="BQ230" t="str">
        <f t="shared" si="38"/>
        <v>NoData</v>
      </c>
      <c r="BR230" t="s">
        <v>11</v>
      </c>
      <c r="BS230" t="s">
        <v>11</v>
      </c>
      <c r="BT230" t="s">
        <v>11</v>
      </c>
      <c r="BU230" t="s">
        <v>11</v>
      </c>
    </row>
    <row r="231" spans="1:73" x14ac:dyDescent="0.25">
      <c r="A231" s="5">
        <v>32813</v>
      </c>
      <c r="B231">
        <v>1838</v>
      </c>
      <c r="C231">
        <v>1838</v>
      </c>
      <c r="D231" t="s">
        <v>11</v>
      </c>
      <c r="E231" t="s">
        <v>11</v>
      </c>
      <c r="F231" t="s">
        <v>11</v>
      </c>
      <c r="G231" t="s">
        <v>11</v>
      </c>
      <c r="H231" t="s">
        <v>11</v>
      </c>
      <c r="I231" t="s">
        <v>11</v>
      </c>
      <c r="J231">
        <v>487</v>
      </c>
      <c r="K231">
        <v>487</v>
      </c>
      <c r="L231">
        <v>26694</v>
      </c>
      <c r="M231">
        <v>6416</v>
      </c>
      <c r="N231">
        <v>588</v>
      </c>
      <c r="O231">
        <v>588</v>
      </c>
      <c r="P231" t="s">
        <v>11</v>
      </c>
      <c r="Q231" t="s">
        <v>11</v>
      </c>
      <c r="R231" t="s">
        <v>11</v>
      </c>
      <c r="S231" t="s">
        <v>11</v>
      </c>
      <c r="T231" s="34">
        <v>48322</v>
      </c>
      <c r="U231" s="34">
        <v>9517</v>
      </c>
      <c r="V231" s="34">
        <v>5879</v>
      </c>
      <c r="W231">
        <v>5722</v>
      </c>
      <c r="X231">
        <v>2534</v>
      </c>
      <c r="Y231">
        <v>2488</v>
      </c>
      <c r="Z231">
        <v>4517</v>
      </c>
      <c r="AA231">
        <v>1728</v>
      </c>
      <c r="AB231">
        <v>25188</v>
      </c>
      <c r="AC231">
        <v>13983</v>
      </c>
      <c r="AD231">
        <v>1840</v>
      </c>
      <c r="AE231">
        <v>1484</v>
      </c>
      <c r="AF231">
        <v>3651</v>
      </c>
      <c r="AG231">
        <v>3608</v>
      </c>
      <c r="AH231">
        <f t="shared" si="39"/>
        <v>1840</v>
      </c>
      <c r="AI231">
        <f t="shared" si="40"/>
        <v>1484</v>
      </c>
      <c r="AJ231">
        <v>12984</v>
      </c>
      <c r="AK231">
        <v>10966</v>
      </c>
      <c r="AL231">
        <v>28109</v>
      </c>
      <c r="AM231">
        <v>14977</v>
      </c>
      <c r="AN231">
        <v>69</v>
      </c>
      <c r="AO231">
        <v>69</v>
      </c>
      <c r="AP231" t="s">
        <v>11</v>
      </c>
      <c r="AQ231" t="s">
        <v>11</v>
      </c>
      <c r="AR231" t="s">
        <v>11</v>
      </c>
      <c r="AS231" t="s">
        <v>11</v>
      </c>
      <c r="AT231" t="str">
        <f t="shared" si="33"/>
        <v>NoData</v>
      </c>
      <c r="AU231" t="str">
        <f t="shared" si="34"/>
        <v>NoData</v>
      </c>
      <c r="AV231">
        <v>1</v>
      </c>
      <c r="AW231">
        <v>1</v>
      </c>
      <c r="AX231">
        <v>4</v>
      </c>
      <c r="AY231">
        <v>4</v>
      </c>
      <c r="AZ231" t="str">
        <f t="shared" si="35"/>
        <v>NoData</v>
      </c>
      <c r="BA231" t="str">
        <f t="shared" si="36"/>
        <v>NoData</v>
      </c>
      <c r="BB231">
        <f t="shared" si="41"/>
        <v>69</v>
      </c>
      <c r="BC231">
        <f t="shared" si="42"/>
        <v>69</v>
      </c>
      <c r="BD231" t="s">
        <v>11</v>
      </c>
      <c r="BE231" t="s">
        <v>11</v>
      </c>
      <c r="BF231" t="s">
        <v>11</v>
      </c>
      <c r="BG231" t="s">
        <v>11</v>
      </c>
      <c r="BH231">
        <v>38</v>
      </c>
      <c r="BI231" t="s">
        <v>11</v>
      </c>
      <c r="BJ231">
        <v>74</v>
      </c>
      <c r="BK231" t="s">
        <v>11</v>
      </c>
      <c r="BL231" t="s">
        <v>11</v>
      </c>
      <c r="BM231" t="s">
        <v>11</v>
      </c>
      <c r="BN231">
        <v>0</v>
      </c>
      <c r="BO231" t="s">
        <v>11</v>
      </c>
      <c r="BP231" t="str">
        <f t="shared" si="37"/>
        <v>NoData</v>
      </c>
      <c r="BQ231" t="str">
        <f t="shared" si="38"/>
        <v>NoData</v>
      </c>
      <c r="BR231" t="s">
        <v>11</v>
      </c>
      <c r="BS231" t="s">
        <v>11</v>
      </c>
      <c r="BT231" t="s">
        <v>11</v>
      </c>
      <c r="BU231" t="s">
        <v>11</v>
      </c>
    </row>
    <row r="232" spans="1:73" x14ac:dyDescent="0.25">
      <c r="A232" s="5">
        <v>32843</v>
      </c>
      <c r="B232">
        <v>1757</v>
      </c>
      <c r="C232">
        <v>1757</v>
      </c>
      <c r="D232" t="s">
        <v>11</v>
      </c>
      <c r="E232" t="s">
        <v>11</v>
      </c>
      <c r="F232" t="s">
        <v>11</v>
      </c>
      <c r="G232" t="s">
        <v>11</v>
      </c>
      <c r="H232" t="s">
        <v>11</v>
      </c>
      <c r="I232" t="s">
        <v>11</v>
      </c>
      <c r="J232">
        <v>554</v>
      </c>
      <c r="K232">
        <v>554</v>
      </c>
      <c r="L232">
        <v>28884</v>
      </c>
      <c r="M232">
        <v>9516</v>
      </c>
      <c r="N232">
        <v>340</v>
      </c>
      <c r="O232">
        <v>340</v>
      </c>
      <c r="P232" t="s">
        <v>11</v>
      </c>
      <c r="Q232" t="s">
        <v>11</v>
      </c>
      <c r="R232" t="s">
        <v>11</v>
      </c>
      <c r="S232" t="s">
        <v>11</v>
      </c>
      <c r="T232" s="34">
        <v>50869</v>
      </c>
      <c r="U232" s="34">
        <v>13141</v>
      </c>
      <c r="V232" s="34">
        <v>3261</v>
      </c>
      <c r="W232">
        <v>3216</v>
      </c>
      <c r="X232">
        <v>1906</v>
      </c>
      <c r="Y232">
        <v>1888</v>
      </c>
      <c r="Z232">
        <v>3106</v>
      </c>
      <c r="AA232">
        <v>928</v>
      </c>
      <c r="AB232">
        <v>17078</v>
      </c>
      <c r="AC232">
        <v>7697</v>
      </c>
      <c r="AD232">
        <v>2045</v>
      </c>
      <c r="AE232">
        <v>1294</v>
      </c>
      <c r="AF232">
        <v>3697</v>
      </c>
      <c r="AG232">
        <v>3853</v>
      </c>
      <c r="AH232">
        <f t="shared" si="39"/>
        <v>2045</v>
      </c>
      <c r="AI232">
        <f t="shared" si="40"/>
        <v>1294</v>
      </c>
      <c r="AJ232">
        <v>12040</v>
      </c>
      <c r="AK232">
        <v>7787</v>
      </c>
      <c r="AL232">
        <v>21055</v>
      </c>
      <c r="AM232">
        <v>7978</v>
      </c>
      <c r="AN232">
        <v>55</v>
      </c>
      <c r="AO232">
        <v>57</v>
      </c>
      <c r="AP232" t="s">
        <v>11</v>
      </c>
      <c r="AQ232" t="s">
        <v>11</v>
      </c>
      <c r="AR232" t="s">
        <v>11</v>
      </c>
      <c r="AS232" t="s">
        <v>11</v>
      </c>
      <c r="AT232" t="str">
        <f t="shared" si="33"/>
        <v>NoData</v>
      </c>
      <c r="AU232" t="str">
        <f t="shared" si="34"/>
        <v>NoData</v>
      </c>
      <c r="AV232">
        <v>1</v>
      </c>
      <c r="AW232">
        <v>1</v>
      </c>
      <c r="AX232">
        <v>4</v>
      </c>
      <c r="AY232">
        <v>4</v>
      </c>
      <c r="AZ232" t="str">
        <f t="shared" si="35"/>
        <v>NoData</v>
      </c>
      <c r="BA232" t="str">
        <f t="shared" si="36"/>
        <v>NoData</v>
      </c>
      <c r="BB232">
        <f t="shared" si="41"/>
        <v>55</v>
      </c>
      <c r="BC232">
        <f t="shared" si="42"/>
        <v>57</v>
      </c>
      <c r="BD232" t="s">
        <v>11</v>
      </c>
      <c r="BE232" t="s">
        <v>11</v>
      </c>
      <c r="BF232" t="s">
        <v>11</v>
      </c>
      <c r="BG232" t="s">
        <v>11</v>
      </c>
      <c r="BH232">
        <v>24</v>
      </c>
      <c r="BI232" t="s">
        <v>11</v>
      </c>
      <c r="BJ232">
        <v>131</v>
      </c>
      <c r="BK232" t="s">
        <v>11</v>
      </c>
      <c r="BL232" t="s">
        <v>11</v>
      </c>
      <c r="BM232" t="s">
        <v>11</v>
      </c>
      <c r="BN232">
        <v>15</v>
      </c>
      <c r="BO232" t="s">
        <v>11</v>
      </c>
      <c r="BP232" t="str">
        <f t="shared" si="37"/>
        <v>NoData</v>
      </c>
      <c r="BQ232" t="str">
        <f t="shared" si="38"/>
        <v>NoData</v>
      </c>
      <c r="BR232" t="s">
        <v>11</v>
      </c>
      <c r="BS232" t="s">
        <v>11</v>
      </c>
      <c r="BT232" t="s">
        <v>11</v>
      </c>
      <c r="BU232" t="s">
        <v>11</v>
      </c>
    </row>
    <row r="233" spans="1:73" x14ac:dyDescent="0.25">
      <c r="A233" s="5">
        <v>32874</v>
      </c>
      <c r="B233">
        <v>1158</v>
      </c>
      <c r="C233" t="s">
        <v>11</v>
      </c>
      <c r="D233" t="s">
        <v>11</v>
      </c>
      <c r="E233" t="s">
        <v>11</v>
      </c>
      <c r="F233">
        <v>3138</v>
      </c>
      <c r="G233" t="s">
        <v>11</v>
      </c>
      <c r="H233">
        <v>1109</v>
      </c>
      <c r="I233" t="s">
        <v>11</v>
      </c>
      <c r="J233">
        <v>527</v>
      </c>
      <c r="K233" t="s">
        <v>11</v>
      </c>
      <c r="L233">
        <v>5800</v>
      </c>
      <c r="M233">
        <v>-7499</v>
      </c>
      <c r="N233">
        <v>191</v>
      </c>
      <c r="O233">
        <v>191</v>
      </c>
      <c r="P233" t="s">
        <v>11</v>
      </c>
      <c r="Q233" t="s">
        <v>11</v>
      </c>
      <c r="R233" t="s">
        <v>11</v>
      </c>
      <c r="S233" t="s">
        <v>11</v>
      </c>
      <c r="T233" s="34">
        <v>30920</v>
      </c>
      <c r="U233" s="34">
        <v>2646</v>
      </c>
      <c r="V233" s="34">
        <v>2467</v>
      </c>
      <c r="W233">
        <v>2401</v>
      </c>
      <c r="X233">
        <v>2169</v>
      </c>
      <c r="Y233">
        <v>2136</v>
      </c>
      <c r="Z233">
        <v>2803</v>
      </c>
      <c r="AA233">
        <v>1184</v>
      </c>
      <c r="AB233">
        <v>13226</v>
      </c>
      <c r="AC233">
        <v>5287</v>
      </c>
      <c r="AD233">
        <v>1798</v>
      </c>
      <c r="AE233">
        <v>1155</v>
      </c>
      <c r="AF233">
        <v>2617</v>
      </c>
      <c r="AG233">
        <v>2394</v>
      </c>
      <c r="AH233">
        <f t="shared" si="39"/>
        <v>1798</v>
      </c>
      <c r="AI233">
        <f t="shared" si="40"/>
        <v>1155</v>
      </c>
      <c r="AJ233">
        <v>12586</v>
      </c>
      <c r="AK233">
        <v>8942</v>
      </c>
      <c r="AL233">
        <v>13564</v>
      </c>
      <c r="AM233">
        <v>214</v>
      </c>
      <c r="AN233">
        <v>6</v>
      </c>
      <c r="AO233">
        <v>6</v>
      </c>
      <c r="AP233" t="s">
        <v>11</v>
      </c>
      <c r="AQ233" t="s">
        <v>11</v>
      </c>
      <c r="AR233">
        <v>152</v>
      </c>
      <c r="AS233" t="s">
        <v>11</v>
      </c>
      <c r="AT233" t="str">
        <f t="shared" si="33"/>
        <v>NoData</v>
      </c>
      <c r="AU233" t="str">
        <f t="shared" si="34"/>
        <v>NoData</v>
      </c>
      <c r="AV233">
        <v>2</v>
      </c>
      <c r="AW233" t="s">
        <v>11</v>
      </c>
      <c r="AX233">
        <v>4</v>
      </c>
      <c r="AY233" t="s">
        <v>11</v>
      </c>
      <c r="AZ233" t="str">
        <f t="shared" si="35"/>
        <v>NoData</v>
      </c>
      <c r="BA233" t="str">
        <f t="shared" si="36"/>
        <v>NoData</v>
      </c>
      <c r="BB233">
        <f t="shared" si="41"/>
        <v>6</v>
      </c>
      <c r="BC233">
        <f t="shared" si="42"/>
        <v>6</v>
      </c>
      <c r="BD233" t="s">
        <v>11</v>
      </c>
      <c r="BE233" t="s">
        <v>11</v>
      </c>
      <c r="BF233" t="s">
        <v>11</v>
      </c>
      <c r="BG233" t="s">
        <v>11</v>
      </c>
      <c r="BH233">
        <v>23</v>
      </c>
      <c r="BI233" t="s">
        <v>11</v>
      </c>
      <c r="BJ233">
        <v>145</v>
      </c>
      <c r="BK233" t="s">
        <v>11</v>
      </c>
      <c r="BL233" t="s">
        <v>11</v>
      </c>
      <c r="BM233" t="s">
        <v>11</v>
      </c>
      <c r="BN233">
        <v>32</v>
      </c>
      <c r="BO233" t="s">
        <v>11</v>
      </c>
      <c r="BP233" t="str">
        <f t="shared" si="37"/>
        <v>NoData</v>
      </c>
      <c r="BQ233" t="str">
        <f t="shared" si="38"/>
        <v>NoData</v>
      </c>
      <c r="BR233">
        <v>38</v>
      </c>
      <c r="BS233" t="s">
        <v>11</v>
      </c>
      <c r="BT233">
        <v>25</v>
      </c>
      <c r="BU233" t="s">
        <v>11</v>
      </c>
    </row>
    <row r="234" spans="1:73" x14ac:dyDescent="0.25">
      <c r="A234" s="5">
        <v>32905</v>
      </c>
      <c r="B234">
        <v>1985</v>
      </c>
      <c r="C234" t="s">
        <v>11</v>
      </c>
      <c r="D234" t="s">
        <v>11</v>
      </c>
      <c r="E234" t="s">
        <v>11</v>
      </c>
      <c r="F234">
        <v>2510</v>
      </c>
      <c r="G234" t="s">
        <v>11</v>
      </c>
      <c r="H234">
        <v>887</v>
      </c>
      <c r="I234" t="s">
        <v>11</v>
      </c>
      <c r="J234">
        <v>1355</v>
      </c>
      <c r="K234" t="s">
        <v>11</v>
      </c>
      <c r="L234">
        <v>38530</v>
      </c>
      <c r="M234">
        <v>22945</v>
      </c>
      <c r="N234">
        <v>352</v>
      </c>
      <c r="O234">
        <v>352</v>
      </c>
      <c r="P234" t="s">
        <v>11</v>
      </c>
      <c r="Q234" t="s">
        <v>11</v>
      </c>
      <c r="R234" t="s">
        <v>11</v>
      </c>
      <c r="S234" t="s">
        <v>11</v>
      </c>
      <c r="T234" s="34">
        <v>54930</v>
      </c>
      <c r="U234" s="34">
        <v>25160</v>
      </c>
      <c r="V234" s="34">
        <v>2794</v>
      </c>
      <c r="W234">
        <v>2760</v>
      </c>
      <c r="X234">
        <v>2999</v>
      </c>
      <c r="Y234">
        <v>2978</v>
      </c>
      <c r="Z234">
        <v>3233</v>
      </c>
      <c r="AA234">
        <v>1499</v>
      </c>
      <c r="AB234">
        <v>18996</v>
      </c>
      <c r="AC234">
        <v>12460</v>
      </c>
      <c r="AD234">
        <v>1597</v>
      </c>
      <c r="AE234">
        <v>815</v>
      </c>
      <c r="AF234">
        <v>3580</v>
      </c>
      <c r="AG234">
        <v>3278</v>
      </c>
      <c r="AH234">
        <f t="shared" si="39"/>
        <v>1597</v>
      </c>
      <c r="AI234">
        <f t="shared" si="40"/>
        <v>815</v>
      </c>
      <c r="AJ234">
        <v>11469</v>
      </c>
      <c r="AK234">
        <v>7038</v>
      </c>
      <c r="AL234">
        <v>26364</v>
      </c>
      <c r="AM234">
        <v>14064</v>
      </c>
      <c r="AN234">
        <v>63</v>
      </c>
      <c r="AO234">
        <v>64</v>
      </c>
      <c r="AP234" t="s">
        <v>11</v>
      </c>
      <c r="AQ234" t="s">
        <v>11</v>
      </c>
      <c r="AR234">
        <v>121</v>
      </c>
      <c r="AS234" t="s">
        <v>11</v>
      </c>
      <c r="AT234" t="str">
        <f t="shared" si="33"/>
        <v>NoData</v>
      </c>
      <c r="AU234" t="str">
        <f t="shared" si="34"/>
        <v>NoData</v>
      </c>
      <c r="AV234">
        <v>2</v>
      </c>
      <c r="AW234" t="s">
        <v>11</v>
      </c>
      <c r="AX234">
        <v>4</v>
      </c>
      <c r="AY234" t="s">
        <v>11</v>
      </c>
      <c r="AZ234" t="str">
        <f t="shared" si="35"/>
        <v>NoData</v>
      </c>
      <c r="BA234" t="str">
        <f t="shared" si="36"/>
        <v>NoData</v>
      </c>
      <c r="BB234">
        <f t="shared" si="41"/>
        <v>63</v>
      </c>
      <c r="BC234">
        <f t="shared" si="42"/>
        <v>64</v>
      </c>
      <c r="BD234" t="s">
        <v>11</v>
      </c>
      <c r="BE234" t="s">
        <v>11</v>
      </c>
      <c r="BF234" t="s">
        <v>11</v>
      </c>
      <c r="BG234" t="s">
        <v>11</v>
      </c>
      <c r="BH234">
        <v>16</v>
      </c>
      <c r="BI234" t="s">
        <v>11</v>
      </c>
      <c r="BJ234">
        <v>161</v>
      </c>
      <c r="BK234" t="s">
        <v>11</v>
      </c>
      <c r="BL234" t="s">
        <v>11</v>
      </c>
      <c r="BM234" t="s">
        <v>11</v>
      </c>
      <c r="BN234">
        <v>23</v>
      </c>
      <c r="BO234" t="s">
        <v>11</v>
      </c>
      <c r="BP234" t="str">
        <f t="shared" si="37"/>
        <v>NoData</v>
      </c>
      <c r="BQ234" t="str">
        <f t="shared" si="38"/>
        <v>NoData</v>
      </c>
      <c r="BR234">
        <v>30</v>
      </c>
      <c r="BS234" t="s">
        <v>11</v>
      </c>
      <c r="BT234">
        <v>20</v>
      </c>
      <c r="BU234" t="s">
        <v>11</v>
      </c>
    </row>
    <row r="235" spans="1:73" x14ac:dyDescent="0.25">
      <c r="A235" s="5">
        <v>32933</v>
      </c>
      <c r="B235">
        <v>2705</v>
      </c>
      <c r="C235" t="s">
        <v>11</v>
      </c>
      <c r="D235" t="s">
        <v>11</v>
      </c>
      <c r="E235" t="s">
        <v>11</v>
      </c>
      <c r="F235">
        <v>4279</v>
      </c>
      <c r="G235" t="s">
        <v>11</v>
      </c>
      <c r="H235">
        <v>1512</v>
      </c>
      <c r="I235" t="s">
        <v>11</v>
      </c>
      <c r="J235">
        <v>3074</v>
      </c>
      <c r="K235" t="s">
        <v>11</v>
      </c>
      <c r="L235">
        <v>64830</v>
      </c>
      <c r="M235">
        <v>44681</v>
      </c>
      <c r="N235">
        <v>277</v>
      </c>
      <c r="O235">
        <v>277</v>
      </c>
      <c r="P235" t="s">
        <v>11</v>
      </c>
      <c r="Q235" t="s">
        <v>11</v>
      </c>
      <c r="R235" t="s">
        <v>11</v>
      </c>
      <c r="S235" t="s">
        <v>11</v>
      </c>
      <c r="T235" s="34">
        <v>74300</v>
      </c>
      <c r="U235" s="34">
        <v>38300</v>
      </c>
      <c r="V235" s="34">
        <v>3730</v>
      </c>
      <c r="W235">
        <v>3692</v>
      </c>
      <c r="X235">
        <v>4611</v>
      </c>
      <c r="Y235">
        <v>4584</v>
      </c>
      <c r="Z235">
        <v>3760</v>
      </c>
      <c r="AA235">
        <v>1760</v>
      </c>
      <c r="AB235">
        <v>30653</v>
      </c>
      <c r="AC235">
        <v>23121</v>
      </c>
      <c r="AD235">
        <v>2555</v>
      </c>
      <c r="AE235">
        <v>1546</v>
      </c>
      <c r="AF235">
        <v>5802</v>
      </c>
      <c r="AG235">
        <v>5177</v>
      </c>
      <c r="AH235">
        <f t="shared" si="39"/>
        <v>2555</v>
      </c>
      <c r="AI235">
        <f t="shared" si="40"/>
        <v>1546</v>
      </c>
      <c r="AJ235">
        <v>17803</v>
      </c>
      <c r="AK235">
        <v>12088</v>
      </c>
      <c r="AL235">
        <v>40037</v>
      </c>
      <c r="AM235">
        <v>27227</v>
      </c>
      <c r="AN235">
        <v>229</v>
      </c>
      <c r="AO235">
        <v>232</v>
      </c>
      <c r="AP235" t="s">
        <v>11</v>
      </c>
      <c r="AQ235" t="s">
        <v>11</v>
      </c>
      <c r="AR235">
        <v>207</v>
      </c>
      <c r="AS235" t="s">
        <v>11</v>
      </c>
      <c r="AT235" t="str">
        <f t="shared" si="33"/>
        <v>NoData</v>
      </c>
      <c r="AU235" t="str">
        <f t="shared" si="34"/>
        <v>NoData</v>
      </c>
      <c r="AV235">
        <v>5</v>
      </c>
      <c r="AW235" t="s">
        <v>11</v>
      </c>
      <c r="AX235">
        <v>4</v>
      </c>
      <c r="AY235" t="s">
        <v>11</v>
      </c>
      <c r="AZ235" t="str">
        <f t="shared" si="35"/>
        <v>NoData</v>
      </c>
      <c r="BA235" t="str">
        <f t="shared" si="36"/>
        <v>NoData</v>
      </c>
      <c r="BB235">
        <f t="shared" si="41"/>
        <v>229</v>
      </c>
      <c r="BC235">
        <f t="shared" si="42"/>
        <v>232</v>
      </c>
      <c r="BD235" t="s">
        <v>11</v>
      </c>
      <c r="BE235" t="s">
        <v>11</v>
      </c>
      <c r="BF235" t="s">
        <v>11</v>
      </c>
      <c r="BG235" t="s">
        <v>11</v>
      </c>
      <c r="BH235">
        <v>2</v>
      </c>
      <c r="BI235" t="s">
        <v>11</v>
      </c>
      <c r="BJ235">
        <v>108</v>
      </c>
      <c r="BK235" t="s">
        <v>11</v>
      </c>
      <c r="BL235" t="s">
        <v>11</v>
      </c>
      <c r="BM235" t="s">
        <v>11</v>
      </c>
      <c r="BN235">
        <v>51</v>
      </c>
      <c r="BO235" t="s">
        <v>11</v>
      </c>
      <c r="BP235" t="str">
        <f t="shared" si="37"/>
        <v>NoData</v>
      </c>
      <c r="BQ235" t="str">
        <f t="shared" si="38"/>
        <v>NoData</v>
      </c>
      <c r="BR235">
        <v>52</v>
      </c>
      <c r="BS235" t="s">
        <v>11</v>
      </c>
      <c r="BT235">
        <v>35</v>
      </c>
      <c r="BU235" t="s">
        <v>11</v>
      </c>
    </row>
    <row r="236" spans="1:73" x14ac:dyDescent="0.25">
      <c r="A236" s="5">
        <v>32964</v>
      </c>
      <c r="B236">
        <v>3395</v>
      </c>
      <c r="C236" t="s">
        <v>11</v>
      </c>
      <c r="D236" t="s">
        <v>11</v>
      </c>
      <c r="E236" t="s">
        <v>11</v>
      </c>
      <c r="F236">
        <v>4621</v>
      </c>
      <c r="G236" t="s">
        <v>11</v>
      </c>
      <c r="H236">
        <v>1633</v>
      </c>
      <c r="I236" t="s">
        <v>11</v>
      </c>
      <c r="J236">
        <v>1807</v>
      </c>
      <c r="K236" t="s">
        <v>11</v>
      </c>
      <c r="L236">
        <v>59610</v>
      </c>
      <c r="M236">
        <v>38738</v>
      </c>
      <c r="N236">
        <v>479</v>
      </c>
      <c r="O236">
        <v>479</v>
      </c>
      <c r="P236" t="s">
        <v>11</v>
      </c>
      <c r="Q236" t="s">
        <v>11</v>
      </c>
      <c r="R236" t="s">
        <v>11</v>
      </c>
      <c r="S236" t="s">
        <v>11</v>
      </c>
      <c r="T236" s="34">
        <v>82800</v>
      </c>
      <c r="U236" s="34">
        <v>46705</v>
      </c>
      <c r="V236" s="34">
        <v>3419</v>
      </c>
      <c r="W236">
        <v>3369</v>
      </c>
      <c r="X236">
        <v>5908</v>
      </c>
      <c r="Y236">
        <v>5857</v>
      </c>
      <c r="Z236">
        <v>4580</v>
      </c>
      <c r="AA236">
        <v>2295</v>
      </c>
      <c r="AB236">
        <v>36430</v>
      </c>
      <c r="AC236">
        <v>28040</v>
      </c>
      <c r="AD236">
        <v>2872</v>
      </c>
      <c r="AE236">
        <v>2058</v>
      </c>
      <c r="AF236">
        <v>5426</v>
      </c>
      <c r="AG236">
        <v>4938</v>
      </c>
      <c r="AH236">
        <f t="shared" si="39"/>
        <v>2872</v>
      </c>
      <c r="AI236">
        <f t="shared" si="40"/>
        <v>2058</v>
      </c>
      <c r="AJ236">
        <v>24164</v>
      </c>
      <c r="AK236">
        <v>19550</v>
      </c>
      <c r="AL236">
        <v>44762</v>
      </c>
      <c r="AM236">
        <v>32462</v>
      </c>
      <c r="AN236">
        <v>214</v>
      </c>
      <c r="AO236">
        <v>214</v>
      </c>
      <c r="AP236" t="s">
        <v>11</v>
      </c>
      <c r="AQ236" t="s">
        <v>11</v>
      </c>
      <c r="AR236">
        <v>224</v>
      </c>
      <c r="AS236" t="s">
        <v>11</v>
      </c>
      <c r="AT236" t="str">
        <f t="shared" si="33"/>
        <v>NoData</v>
      </c>
      <c r="AU236" t="str">
        <f t="shared" si="34"/>
        <v>NoData</v>
      </c>
      <c r="AV236">
        <v>2</v>
      </c>
      <c r="AW236" t="s">
        <v>11</v>
      </c>
      <c r="AX236">
        <v>4</v>
      </c>
      <c r="AY236" t="s">
        <v>11</v>
      </c>
      <c r="AZ236" t="str">
        <f t="shared" si="35"/>
        <v>NoData</v>
      </c>
      <c r="BA236" t="str">
        <f t="shared" si="36"/>
        <v>NoData</v>
      </c>
      <c r="BB236">
        <f t="shared" si="41"/>
        <v>214</v>
      </c>
      <c r="BC236">
        <f t="shared" si="42"/>
        <v>214</v>
      </c>
      <c r="BD236" t="s">
        <v>11</v>
      </c>
      <c r="BE236" t="s">
        <v>11</v>
      </c>
      <c r="BF236" t="s">
        <v>11</v>
      </c>
      <c r="BG236" t="s">
        <v>11</v>
      </c>
      <c r="BH236">
        <v>0</v>
      </c>
      <c r="BI236" t="s">
        <v>11</v>
      </c>
      <c r="BJ236">
        <v>78</v>
      </c>
      <c r="BK236" t="s">
        <v>11</v>
      </c>
      <c r="BL236" t="s">
        <v>11</v>
      </c>
      <c r="BM236" t="s">
        <v>11</v>
      </c>
      <c r="BN236">
        <v>62</v>
      </c>
      <c r="BO236" t="s">
        <v>11</v>
      </c>
      <c r="BP236" t="str">
        <f t="shared" si="37"/>
        <v>NoData</v>
      </c>
      <c r="BQ236" t="str">
        <f t="shared" si="38"/>
        <v>NoData</v>
      </c>
      <c r="BR236">
        <v>56</v>
      </c>
      <c r="BS236" t="s">
        <v>11</v>
      </c>
      <c r="BT236">
        <v>37</v>
      </c>
      <c r="BU236" t="s">
        <v>11</v>
      </c>
    </row>
    <row r="237" spans="1:73" x14ac:dyDescent="0.25">
      <c r="A237" s="5">
        <v>32994</v>
      </c>
      <c r="B237">
        <v>2885</v>
      </c>
      <c r="C237" t="s">
        <v>11</v>
      </c>
      <c r="D237" t="s">
        <v>11</v>
      </c>
      <c r="E237" t="s">
        <v>11</v>
      </c>
      <c r="F237">
        <v>5648</v>
      </c>
      <c r="G237" t="s">
        <v>11</v>
      </c>
      <c r="H237">
        <v>1995</v>
      </c>
      <c r="I237" t="s">
        <v>11</v>
      </c>
      <c r="J237">
        <v>2365</v>
      </c>
      <c r="K237" t="s">
        <v>11</v>
      </c>
      <c r="L237">
        <v>75420</v>
      </c>
      <c r="M237">
        <v>53955</v>
      </c>
      <c r="N237">
        <v>508</v>
      </c>
      <c r="O237">
        <v>508</v>
      </c>
      <c r="P237" t="s">
        <v>11</v>
      </c>
      <c r="Q237" t="s">
        <v>11</v>
      </c>
      <c r="R237" t="s">
        <v>11</v>
      </c>
      <c r="S237" t="s">
        <v>11</v>
      </c>
      <c r="T237" s="34">
        <v>100900</v>
      </c>
      <c r="U237" s="34">
        <v>59871</v>
      </c>
      <c r="V237" s="34">
        <v>3935</v>
      </c>
      <c r="W237">
        <v>3889</v>
      </c>
      <c r="X237">
        <v>6596</v>
      </c>
      <c r="Y237">
        <v>6548</v>
      </c>
      <c r="Z237">
        <v>6048</v>
      </c>
      <c r="AA237">
        <v>3091</v>
      </c>
      <c r="AB237">
        <v>34878</v>
      </c>
      <c r="AC237">
        <v>25936</v>
      </c>
      <c r="AD237">
        <v>3681</v>
      </c>
      <c r="AE237">
        <v>2974</v>
      </c>
      <c r="AF237">
        <v>6177</v>
      </c>
      <c r="AG237">
        <v>5707</v>
      </c>
      <c r="AH237">
        <f t="shared" si="39"/>
        <v>3681</v>
      </c>
      <c r="AI237">
        <f t="shared" si="40"/>
        <v>2974</v>
      </c>
      <c r="AJ237">
        <v>28421</v>
      </c>
      <c r="AK237">
        <v>24412</v>
      </c>
      <c r="AL237">
        <v>52546</v>
      </c>
      <c r="AM237">
        <v>43026</v>
      </c>
      <c r="AN237">
        <v>88</v>
      </c>
      <c r="AO237">
        <v>89</v>
      </c>
      <c r="AP237" t="s">
        <v>11</v>
      </c>
      <c r="AQ237" t="s">
        <v>11</v>
      </c>
      <c r="AR237">
        <v>273</v>
      </c>
      <c r="AS237" t="s">
        <v>11</v>
      </c>
      <c r="AT237" t="str">
        <f t="shared" si="33"/>
        <v>NoData</v>
      </c>
      <c r="AU237" t="str">
        <f t="shared" si="34"/>
        <v>NoData</v>
      </c>
      <c r="AV237">
        <v>2</v>
      </c>
      <c r="AW237" t="s">
        <v>11</v>
      </c>
      <c r="AX237">
        <v>4</v>
      </c>
      <c r="AY237" t="s">
        <v>11</v>
      </c>
      <c r="AZ237" t="str">
        <f t="shared" si="35"/>
        <v>NoData</v>
      </c>
      <c r="BA237" t="str">
        <f t="shared" si="36"/>
        <v>NoData</v>
      </c>
      <c r="BB237">
        <f t="shared" si="41"/>
        <v>88</v>
      </c>
      <c r="BC237">
        <f t="shared" si="42"/>
        <v>89</v>
      </c>
      <c r="BD237" t="s">
        <v>11</v>
      </c>
      <c r="BE237" t="s">
        <v>11</v>
      </c>
      <c r="BF237" t="s">
        <v>11</v>
      </c>
      <c r="BG237" t="s">
        <v>11</v>
      </c>
      <c r="BH237">
        <v>0</v>
      </c>
      <c r="BI237" t="s">
        <v>11</v>
      </c>
      <c r="BJ237">
        <v>125</v>
      </c>
      <c r="BK237" t="s">
        <v>11</v>
      </c>
      <c r="BL237" t="s">
        <v>11</v>
      </c>
      <c r="BM237" t="s">
        <v>11</v>
      </c>
      <c r="BN237">
        <v>23</v>
      </c>
      <c r="BO237" t="s">
        <v>11</v>
      </c>
      <c r="BP237" t="str">
        <f t="shared" si="37"/>
        <v>NoData</v>
      </c>
      <c r="BQ237" t="str">
        <f t="shared" si="38"/>
        <v>NoData</v>
      </c>
      <c r="BR237">
        <v>69</v>
      </c>
      <c r="BS237" t="s">
        <v>11</v>
      </c>
      <c r="BT237">
        <v>46</v>
      </c>
      <c r="BU237" t="s">
        <v>11</v>
      </c>
    </row>
    <row r="238" spans="1:73" x14ac:dyDescent="0.25">
      <c r="A238" s="5">
        <v>33025</v>
      </c>
      <c r="B238">
        <v>4590</v>
      </c>
      <c r="C238" t="s">
        <v>11</v>
      </c>
      <c r="D238" t="s">
        <v>11</v>
      </c>
      <c r="E238" t="s">
        <v>11</v>
      </c>
      <c r="F238">
        <v>6846</v>
      </c>
      <c r="G238" t="s">
        <v>11</v>
      </c>
      <c r="H238">
        <v>2419</v>
      </c>
      <c r="I238" t="s">
        <v>11</v>
      </c>
      <c r="J238">
        <v>4292</v>
      </c>
      <c r="K238" t="s">
        <v>11</v>
      </c>
      <c r="L238">
        <v>91450</v>
      </c>
      <c r="M238">
        <v>68723</v>
      </c>
      <c r="N238">
        <v>560</v>
      </c>
      <c r="O238">
        <v>560</v>
      </c>
      <c r="P238" t="s">
        <v>11</v>
      </c>
      <c r="Q238" t="s">
        <v>11</v>
      </c>
      <c r="R238" t="s">
        <v>11</v>
      </c>
      <c r="S238" t="s">
        <v>11</v>
      </c>
      <c r="T238" s="34">
        <v>111700</v>
      </c>
      <c r="U238" s="34">
        <v>70110</v>
      </c>
      <c r="V238" s="34">
        <v>4111</v>
      </c>
      <c r="W238">
        <v>4091</v>
      </c>
      <c r="X238">
        <v>5956</v>
      </c>
      <c r="Y238">
        <v>5938</v>
      </c>
      <c r="Z238">
        <v>5456</v>
      </c>
      <c r="AA238">
        <v>2690</v>
      </c>
      <c r="AB238">
        <v>26488</v>
      </c>
      <c r="AC238">
        <v>18931</v>
      </c>
      <c r="AD238">
        <v>4081</v>
      </c>
      <c r="AE238">
        <v>3340</v>
      </c>
      <c r="AF238">
        <v>4046</v>
      </c>
      <c r="AG238">
        <v>3852</v>
      </c>
      <c r="AH238">
        <f t="shared" si="39"/>
        <v>4081</v>
      </c>
      <c r="AI238">
        <f t="shared" si="40"/>
        <v>3340</v>
      </c>
      <c r="AJ238">
        <v>30321</v>
      </c>
      <c r="AK238">
        <v>26122</v>
      </c>
      <c r="AL238">
        <v>54480</v>
      </c>
      <c r="AM238">
        <v>45180</v>
      </c>
      <c r="AN238">
        <v>38</v>
      </c>
      <c r="AO238">
        <v>39</v>
      </c>
      <c r="AP238" t="s">
        <v>11</v>
      </c>
      <c r="AQ238" t="s">
        <v>11</v>
      </c>
      <c r="AR238">
        <v>332</v>
      </c>
      <c r="AS238" t="s">
        <v>11</v>
      </c>
      <c r="AT238" t="str">
        <f t="shared" si="33"/>
        <v>NoData</v>
      </c>
      <c r="AU238" t="str">
        <f t="shared" si="34"/>
        <v>NoData</v>
      </c>
      <c r="AV238">
        <v>4</v>
      </c>
      <c r="AW238" t="s">
        <v>11</v>
      </c>
      <c r="AX238">
        <v>4</v>
      </c>
      <c r="AY238" t="s">
        <v>11</v>
      </c>
      <c r="AZ238" t="str">
        <f t="shared" si="35"/>
        <v>NoData</v>
      </c>
      <c r="BA238" t="str">
        <f t="shared" si="36"/>
        <v>NoData</v>
      </c>
      <c r="BB238">
        <f t="shared" si="41"/>
        <v>38</v>
      </c>
      <c r="BC238">
        <f t="shared" si="42"/>
        <v>39</v>
      </c>
      <c r="BD238" t="s">
        <v>11</v>
      </c>
      <c r="BE238" t="s">
        <v>11</v>
      </c>
      <c r="BF238" t="s">
        <v>11</v>
      </c>
      <c r="BG238" t="s">
        <v>11</v>
      </c>
      <c r="BH238">
        <v>43</v>
      </c>
      <c r="BI238" t="s">
        <v>11</v>
      </c>
      <c r="BJ238">
        <v>148</v>
      </c>
      <c r="BK238" t="s">
        <v>11</v>
      </c>
      <c r="BL238" t="s">
        <v>11</v>
      </c>
      <c r="BM238" t="s">
        <v>11</v>
      </c>
      <c r="BN238">
        <v>0</v>
      </c>
      <c r="BO238" t="s">
        <v>11</v>
      </c>
      <c r="BP238" t="str">
        <f t="shared" si="37"/>
        <v>NoData</v>
      </c>
      <c r="BQ238" t="str">
        <f t="shared" si="38"/>
        <v>NoData</v>
      </c>
      <c r="BR238">
        <v>83</v>
      </c>
      <c r="BS238" t="s">
        <v>11</v>
      </c>
      <c r="BT238">
        <v>55</v>
      </c>
      <c r="BU238" t="s">
        <v>11</v>
      </c>
    </row>
    <row r="239" spans="1:73" x14ac:dyDescent="0.25">
      <c r="A239" s="5">
        <v>33055</v>
      </c>
      <c r="B239">
        <v>4338</v>
      </c>
      <c r="C239" t="s">
        <v>11</v>
      </c>
      <c r="D239" t="s">
        <v>11</v>
      </c>
      <c r="E239" t="s">
        <v>11</v>
      </c>
      <c r="F239">
        <v>7474</v>
      </c>
      <c r="G239" t="s">
        <v>11</v>
      </c>
      <c r="H239">
        <v>2640</v>
      </c>
      <c r="I239" t="s">
        <v>11</v>
      </c>
      <c r="J239">
        <v>4669</v>
      </c>
      <c r="K239" t="s">
        <v>11</v>
      </c>
      <c r="L239">
        <v>99290</v>
      </c>
      <c r="M239">
        <v>72090</v>
      </c>
      <c r="N239">
        <v>699</v>
      </c>
      <c r="O239">
        <v>699</v>
      </c>
      <c r="P239" t="s">
        <v>11</v>
      </c>
      <c r="Q239" t="s">
        <v>11</v>
      </c>
      <c r="R239" t="s">
        <v>11</v>
      </c>
      <c r="S239" t="s">
        <v>11</v>
      </c>
      <c r="T239" s="34">
        <v>116400</v>
      </c>
      <c r="U239" s="34">
        <v>72028</v>
      </c>
      <c r="V239" s="34">
        <v>5214</v>
      </c>
      <c r="W239">
        <v>5129</v>
      </c>
      <c r="X239">
        <v>5626</v>
      </c>
      <c r="Y239">
        <v>5574</v>
      </c>
      <c r="Z239">
        <v>2740</v>
      </c>
      <c r="AA239">
        <v>1164</v>
      </c>
      <c r="AB239">
        <v>27213</v>
      </c>
      <c r="AC239">
        <v>19319</v>
      </c>
      <c r="AD239">
        <v>4193</v>
      </c>
      <c r="AE239">
        <v>3629</v>
      </c>
      <c r="AF239">
        <v>4528</v>
      </c>
      <c r="AG239">
        <v>4264</v>
      </c>
      <c r="AH239">
        <f t="shared" si="39"/>
        <v>4193</v>
      </c>
      <c r="AI239">
        <f t="shared" si="40"/>
        <v>3629</v>
      </c>
      <c r="AJ239">
        <v>30795</v>
      </c>
      <c r="AK239">
        <v>27599</v>
      </c>
      <c r="AL239">
        <v>52782</v>
      </c>
      <c r="AM239">
        <v>43272</v>
      </c>
      <c r="AN239">
        <v>67</v>
      </c>
      <c r="AO239">
        <v>68</v>
      </c>
      <c r="AP239" t="s">
        <v>11</v>
      </c>
      <c r="AQ239" t="s">
        <v>11</v>
      </c>
      <c r="AR239">
        <v>362</v>
      </c>
      <c r="AS239" t="s">
        <v>11</v>
      </c>
      <c r="AT239" t="str">
        <f t="shared" si="33"/>
        <v>NoData</v>
      </c>
      <c r="AU239" t="str">
        <f t="shared" si="34"/>
        <v>NoData</v>
      </c>
      <c r="AV239">
        <v>3</v>
      </c>
      <c r="AW239" t="s">
        <v>11</v>
      </c>
      <c r="AX239">
        <v>4</v>
      </c>
      <c r="AY239" t="s">
        <v>11</v>
      </c>
      <c r="AZ239" t="str">
        <f t="shared" si="35"/>
        <v>NoData</v>
      </c>
      <c r="BA239" t="str">
        <f t="shared" si="36"/>
        <v>NoData</v>
      </c>
      <c r="BB239">
        <f t="shared" si="41"/>
        <v>67</v>
      </c>
      <c r="BC239">
        <f t="shared" si="42"/>
        <v>68</v>
      </c>
      <c r="BD239" t="s">
        <v>11</v>
      </c>
      <c r="BE239" t="s">
        <v>11</v>
      </c>
      <c r="BF239" t="s">
        <v>11</v>
      </c>
      <c r="BG239" t="s">
        <v>11</v>
      </c>
      <c r="BH239">
        <v>0</v>
      </c>
      <c r="BI239" t="s">
        <v>11</v>
      </c>
      <c r="BJ239">
        <v>172</v>
      </c>
      <c r="BK239" t="s">
        <v>11</v>
      </c>
      <c r="BL239" t="s">
        <v>11</v>
      </c>
      <c r="BM239" t="s">
        <v>11</v>
      </c>
      <c r="BN239">
        <v>0</v>
      </c>
      <c r="BO239" t="s">
        <v>11</v>
      </c>
      <c r="BP239" t="str">
        <f t="shared" si="37"/>
        <v>NoData</v>
      </c>
      <c r="BQ239" t="str">
        <f t="shared" si="38"/>
        <v>NoData</v>
      </c>
      <c r="BR239">
        <v>91</v>
      </c>
      <c r="BS239" t="s">
        <v>11</v>
      </c>
      <c r="BT239">
        <v>61</v>
      </c>
      <c r="BU239" t="s">
        <v>11</v>
      </c>
    </row>
    <row r="240" spans="1:73" x14ac:dyDescent="0.25">
      <c r="A240" s="5">
        <v>33086</v>
      </c>
      <c r="B240">
        <v>4977</v>
      </c>
      <c r="C240" t="s">
        <v>11</v>
      </c>
      <c r="D240" t="s">
        <v>11</v>
      </c>
      <c r="E240" t="s">
        <v>11</v>
      </c>
      <c r="F240">
        <v>7189</v>
      </c>
      <c r="G240" t="s">
        <v>11</v>
      </c>
      <c r="H240">
        <v>2540</v>
      </c>
      <c r="I240" t="s">
        <v>11</v>
      </c>
      <c r="J240">
        <v>3279</v>
      </c>
      <c r="K240" t="s">
        <v>11</v>
      </c>
      <c r="L240">
        <v>78860</v>
      </c>
      <c r="M240">
        <v>52782</v>
      </c>
      <c r="N240">
        <v>513</v>
      </c>
      <c r="O240">
        <v>513</v>
      </c>
      <c r="P240" t="s">
        <v>11</v>
      </c>
      <c r="Q240" t="s">
        <v>11</v>
      </c>
      <c r="R240" t="s">
        <v>11</v>
      </c>
      <c r="S240" t="s">
        <v>11</v>
      </c>
      <c r="T240" s="34">
        <v>103400</v>
      </c>
      <c r="U240" s="34">
        <v>57153</v>
      </c>
      <c r="V240" s="34">
        <v>2569</v>
      </c>
      <c r="W240">
        <v>2551</v>
      </c>
      <c r="X240">
        <v>2994</v>
      </c>
      <c r="Y240">
        <v>2980</v>
      </c>
      <c r="Z240">
        <v>1848</v>
      </c>
      <c r="AA240">
        <v>751</v>
      </c>
      <c r="AB240">
        <v>28134</v>
      </c>
      <c r="AC240">
        <v>20473</v>
      </c>
      <c r="AD240">
        <v>4019</v>
      </c>
      <c r="AE240">
        <v>3488</v>
      </c>
      <c r="AF240">
        <v>4987</v>
      </c>
      <c r="AG240">
        <v>4535</v>
      </c>
      <c r="AH240">
        <f t="shared" si="39"/>
        <v>4019</v>
      </c>
      <c r="AI240">
        <f t="shared" si="40"/>
        <v>3488</v>
      </c>
      <c r="AJ240">
        <v>30205</v>
      </c>
      <c r="AK240">
        <v>27193</v>
      </c>
      <c r="AL240">
        <v>41773</v>
      </c>
      <c r="AM240">
        <v>32383</v>
      </c>
      <c r="AN240">
        <v>151</v>
      </c>
      <c r="AO240">
        <v>153</v>
      </c>
      <c r="AP240" t="s">
        <v>11</v>
      </c>
      <c r="AQ240" t="s">
        <v>11</v>
      </c>
      <c r="AR240">
        <v>348</v>
      </c>
      <c r="AS240" t="s">
        <v>11</v>
      </c>
      <c r="AT240" t="str">
        <f t="shared" si="33"/>
        <v>NoData</v>
      </c>
      <c r="AU240" t="str">
        <f t="shared" si="34"/>
        <v>NoData</v>
      </c>
      <c r="AV240">
        <v>2</v>
      </c>
      <c r="AW240" t="s">
        <v>11</v>
      </c>
      <c r="AX240">
        <v>4</v>
      </c>
      <c r="AY240" t="s">
        <v>11</v>
      </c>
      <c r="AZ240" t="str">
        <f t="shared" si="35"/>
        <v>NoData</v>
      </c>
      <c r="BA240" t="str">
        <f t="shared" si="36"/>
        <v>NoData</v>
      </c>
      <c r="BB240">
        <f t="shared" si="41"/>
        <v>151</v>
      </c>
      <c r="BC240">
        <f t="shared" si="42"/>
        <v>153</v>
      </c>
      <c r="BD240" t="s">
        <v>11</v>
      </c>
      <c r="BE240" t="s">
        <v>11</v>
      </c>
      <c r="BF240" t="s">
        <v>11</v>
      </c>
      <c r="BG240" t="s">
        <v>11</v>
      </c>
      <c r="BH240">
        <v>0</v>
      </c>
      <c r="BI240" t="s">
        <v>11</v>
      </c>
      <c r="BJ240">
        <v>150</v>
      </c>
      <c r="BK240" t="s">
        <v>11</v>
      </c>
      <c r="BL240" t="s">
        <v>11</v>
      </c>
      <c r="BM240" t="s">
        <v>11</v>
      </c>
      <c r="BN240">
        <v>0</v>
      </c>
      <c r="BO240" t="s">
        <v>11</v>
      </c>
      <c r="BP240" t="str">
        <f t="shared" si="37"/>
        <v>NoData</v>
      </c>
      <c r="BQ240" t="str">
        <f t="shared" si="38"/>
        <v>NoData</v>
      </c>
      <c r="BR240">
        <v>88</v>
      </c>
      <c r="BS240" t="s">
        <v>11</v>
      </c>
      <c r="BT240">
        <v>58</v>
      </c>
      <c r="BU240" t="s">
        <v>11</v>
      </c>
    </row>
    <row r="241" spans="1:73" x14ac:dyDescent="0.25">
      <c r="A241" s="5">
        <v>33117</v>
      </c>
      <c r="B241">
        <v>3319</v>
      </c>
      <c r="C241" t="s">
        <v>11</v>
      </c>
      <c r="D241" t="s">
        <v>11</v>
      </c>
      <c r="E241" t="s">
        <v>11</v>
      </c>
      <c r="F241">
        <v>5648</v>
      </c>
      <c r="G241" t="s">
        <v>11</v>
      </c>
      <c r="H241">
        <v>1995</v>
      </c>
      <c r="I241" t="s">
        <v>11</v>
      </c>
      <c r="J241">
        <v>2047</v>
      </c>
      <c r="K241" t="s">
        <v>11</v>
      </c>
      <c r="L241">
        <v>51530</v>
      </c>
      <c r="M241">
        <v>28382</v>
      </c>
      <c r="N241">
        <v>680</v>
      </c>
      <c r="O241">
        <v>680</v>
      </c>
      <c r="P241" t="s">
        <v>11</v>
      </c>
      <c r="Q241" t="s">
        <v>11</v>
      </c>
      <c r="R241" t="s">
        <v>11</v>
      </c>
      <c r="S241" t="s">
        <v>11</v>
      </c>
      <c r="T241" s="34">
        <v>76330</v>
      </c>
      <c r="U241" s="34">
        <v>34398</v>
      </c>
      <c r="V241" s="34">
        <v>4749</v>
      </c>
      <c r="W241">
        <v>4659</v>
      </c>
      <c r="X241">
        <v>4067</v>
      </c>
      <c r="Y241">
        <v>4021</v>
      </c>
      <c r="Z241">
        <v>4463</v>
      </c>
      <c r="AA241">
        <v>2100</v>
      </c>
      <c r="AB241">
        <v>29801</v>
      </c>
      <c r="AC241">
        <v>21947</v>
      </c>
      <c r="AD241">
        <v>3543</v>
      </c>
      <c r="AE241">
        <v>3125</v>
      </c>
      <c r="AF241">
        <v>7319</v>
      </c>
      <c r="AG241">
        <v>6398</v>
      </c>
      <c r="AH241">
        <f t="shared" si="39"/>
        <v>3543</v>
      </c>
      <c r="AI241">
        <f t="shared" si="40"/>
        <v>3125</v>
      </c>
      <c r="AJ241">
        <v>23800</v>
      </c>
      <c r="AK241">
        <v>21433</v>
      </c>
      <c r="AL241">
        <v>47135</v>
      </c>
      <c r="AM241">
        <v>36125</v>
      </c>
      <c r="AN241">
        <v>298</v>
      </c>
      <c r="AO241">
        <v>298</v>
      </c>
      <c r="AP241" t="s">
        <v>11</v>
      </c>
      <c r="AQ241" t="s">
        <v>11</v>
      </c>
      <c r="AR241">
        <v>273</v>
      </c>
      <c r="AS241" t="s">
        <v>11</v>
      </c>
      <c r="AT241" t="str">
        <f t="shared" si="33"/>
        <v>NoData</v>
      </c>
      <c r="AU241" t="str">
        <f t="shared" si="34"/>
        <v>NoData</v>
      </c>
      <c r="AV241">
        <v>1</v>
      </c>
      <c r="AW241" t="s">
        <v>11</v>
      </c>
      <c r="AX241">
        <v>4</v>
      </c>
      <c r="AY241" t="s">
        <v>11</v>
      </c>
      <c r="AZ241" t="str">
        <f t="shared" si="35"/>
        <v>NoData</v>
      </c>
      <c r="BA241" t="str">
        <f t="shared" si="36"/>
        <v>NoData</v>
      </c>
      <c r="BB241">
        <f t="shared" si="41"/>
        <v>298</v>
      </c>
      <c r="BC241">
        <f t="shared" si="42"/>
        <v>298</v>
      </c>
      <c r="BD241" t="s">
        <v>11</v>
      </c>
      <c r="BE241" t="s">
        <v>11</v>
      </c>
      <c r="BF241" t="s">
        <v>11</v>
      </c>
      <c r="BG241" t="s">
        <v>11</v>
      </c>
      <c r="BH241">
        <v>29</v>
      </c>
      <c r="BI241" t="s">
        <v>11</v>
      </c>
      <c r="BJ241">
        <v>154</v>
      </c>
      <c r="BK241" t="s">
        <v>11</v>
      </c>
      <c r="BL241" t="s">
        <v>11</v>
      </c>
      <c r="BM241" t="s">
        <v>11</v>
      </c>
      <c r="BN241">
        <v>0</v>
      </c>
      <c r="BO241" t="s">
        <v>11</v>
      </c>
      <c r="BP241" t="str">
        <f t="shared" si="37"/>
        <v>NoData</v>
      </c>
      <c r="BQ241" t="str">
        <f t="shared" si="38"/>
        <v>NoData</v>
      </c>
      <c r="BR241">
        <v>69</v>
      </c>
      <c r="BS241" t="s">
        <v>11</v>
      </c>
      <c r="BT241">
        <v>46</v>
      </c>
      <c r="BU241" t="s">
        <v>11</v>
      </c>
    </row>
    <row r="242" spans="1:73" x14ac:dyDescent="0.25">
      <c r="A242" s="5">
        <v>33147</v>
      </c>
      <c r="B242">
        <v>2204</v>
      </c>
      <c r="C242" t="s">
        <v>11</v>
      </c>
      <c r="D242" t="s">
        <v>11</v>
      </c>
      <c r="E242" t="s">
        <v>11</v>
      </c>
      <c r="F242">
        <v>4735</v>
      </c>
      <c r="G242" t="s">
        <v>11</v>
      </c>
      <c r="H242">
        <v>1673</v>
      </c>
      <c r="I242" t="s">
        <v>11</v>
      </c>
      <c r="J242">
        <v>1335</v>
      </c>
      <c r="K242" t="s">
        <v>11</v>
      </c>
      <c r="L242">
        <v>40210</v>
      </c>
      <c r="M242">
        <v>18711</v>
      </c>
      <c r="N242">
        <v>437</v>
      </c>
      <c r="O242">
        <v>437</v>
      </c>
      <c r="P242" t="s">
        <v>11</v>
      </c>
      <c r="Q242" t="s">
        <v>11</v>
      </c>
      <c r="R242" t="s">
        <v>11</v>
      </c>
      <c r="S242" t="s">
        <v>11</v>
      </c>
      <c r="T242" s="34">
        <v>62490</v>
      </c>
      <c r="U242" s="34">
        <v>20600</v>
      </c>
      <c r="V242" s="34">
        <v>7607</v>
      </c>
      <c r="W242">
        <v>7459</v>
      </c>
      <c r="X242">
        <v>5596</v>
      </c>
      <c r="Y242">
        <v>5532</v>
      </c>
      <c r="Z242">
        <v>5254</v>
      </c>
      <c r="AA242">
        <v>2523</v>
      </c>
      <c r="AB242">
        <v>42610</v>
      </c>
      <c r="AC242">
        <v>31738</v>
      </c>
      <c r="AD242">
        <v>2982</v>
      </c>
      <c r="AE242">
        <v>2454</v>
      </c>
      <c r="AF242">
        <v>6309</v>
      </c>
      <c r="AG242">
        <v>5647</v>
      </c>
      <c r="AH242">
        <f t="shared" si="39"/>
        <v>2982</v>
      </c>
      <c r="AI242">
        <f t="shared" si="40"/>
        <v>2454</v>
      </c>
      <c r="AJ242">
        <v>15575</v>
      </c>
      <c r="AK242">
        <v>12586</v>
      </c>
      <c r="AL242">
        <v>31684</v>
      </c>
      <c r="AM242">
        <v>19084</v>
      </c>
      <c r="AN242">
        <v>117</v>
      </c>
      <c r="AO242">
        <v>116</v>
      </c>
      <c r="AP242" t="s">
        <v>11</v>
      </c>
      <c r="AQ242" t="s">
        <v>11</v>
      </c>
      <c r="AR242">
        <v>229</v>
      </c>
      <c r="AS242" t="s">
        <v>11</v>
      </c>
      <c r="AT242" t="str">
        <f t="shared" si="33"/>
        <v>NoData</v>
      </c>
      <c r="AU242" t="str">
        <f t="shared" si="34"/>
        <v>NoData</v>
      </c>
      <c r="AV242">
        <v>1</v>
      </c>
      <c r="AW242" t="s">
        <v>11</v>
      </c>
      <c r="AX242">
        <v>4</v>
      </c>
      <c r="AY242" t="s">
        <v>11</v>
      </c>
      <c r="AZ242" t="str">
        <f t="shared" si="35"/>
        <v>NoData</v>
      </c>
      <c r="BA242" t="str">
        <f t="shared" si="36"/>
        <v>NoData</v>
      </c>
      <c r="BB242">
        <f t="shared" si="41"/>
        <v>117</v>
      </c>
      <c r="BC242">
        <f t="shared" si="42"/>
        <v>116</v>
      </c>
      <c r="BD242" t="s">
        <v>11</v>
      </c>
      <c r="BE242" t="s">
        <v>11</v>
      </c>
      <c r="BF242" t="s">
        <v>11</v>
      </c>
      <c r="BG242" t="s">
        <v>11</v>
      </c>
      <c r="BH242">
        <v>0</v>
      </c>
      <c r="BI242" t="s">
        <v>11</v>
      </c>
      <c r="BJ242">
        <v>72</v>
      </c>
      <c r="BK242" t="s">
        <v>11</v>
      </c>
      <c r="BL242" t="s">
        <v>11</v>
      </c>
      <c r="BM242" t="s">
        <v>11</v>
      </c>
      <c r="BN242">
        <v>1</v>
      </c>
      <c r="BO242" t="s">
        <v>11</v>
      </c>
      <c r="BP242" t="str">
        <f t="shared" si="37"/>
        <v>NoData</v>
      </c>
      <c r="BQ242" t="str">
        <f t="shared" si="38"/>
        <v>NoData</v>
      </c>
      <c r="BR242">
        <v>58</v>
      </c>
      <c r="BS242" t="s">
        <v>11</v>
      </c>
      <c r="BT242">
        <v>38</v>
      </c>
      <c r="BU242" t="s">
        <v>11</v>
      </c>
    </row>
    <row r="243" spans="1:73" x14ac:dyDescent="0.25">
      <c r="A243" s="5">
        <v>33178</v>
      </c>
      <c r="B243">
        <v>1609</v>
      </c>
      <c r="C243" t="s">
        <v>11</v>
      </c>
      <c r="D243" t="s">
        <v>11</v>
      </c>
      <c r="E243" t="s">
        <v>11</v>
      </c>
      <c r="F243">
        <v>3366</v>
      </c>
      <c r="G243" t="s">
        <v>11</v>
      </c>
      <c r="H243">
        <v>1189</v>
      </c>
      <c r="I243" t="s">
        <v>11</v>
      </c>
      <c r="J243">
        <v>991</v>
      </c>
      <c r="K243" t="s">
        <v>11</v>
      </c>
      <c r="L243">
        <v>30040</v>
      </c>
      <c r="M243">
        <v>9914</v>
      </c>
      <c r="N243">
        <v>451</v>
      </c>
      <c r="O243">
        <v>451</v>
      </c>
      <c r="P243" t="s">
        <v>11</v>
      </c>
      <c r="Q243" t="s">
        <v>11</v>
      </c>
      <c r="R243" t="s">
        <v>11</v>
      </c>
      <c r="S243" t="s">
        <v>11</v>
      </c>
      <c r="T243" s="34">
        <v>47640</v>
      </c>
      <c r="U243" s="34">
        <v>11898</v>
      </c>
      <c r="V243" s="34">
        <v>6004</v>
      </c>
      <c r="W243">
        <v>5882</v>
      </c>
      <c r="X243">
        <v>3717</v>
      </c>
      <c r="Y243">
        <v>3669</v>
      </c>
      <c r="Z243">
        <v>3741</v>
      </c>
      <c r="AA243">
        <v>1187</v>
      </c>
      <c r="AB243">
        <v>27030</v>
      </c>
      <c r="AC243">
        <v>16092</v>
      </c>
      <c r="AD243">
        <v>1614</v>
      </c>
      <c r="AE243">
        <v>1247</v>
      </c>
      <c r="AF243">
        <v>3596</v>
      </c>
      <c r="AG243">
        <v>3809</v>
      </c>
      <c r="AH243">
        <f t="shared" si="39"/>
        <v>1614</v>
      </c>
      <c r="AI243">
        <f t="shared" si="40"/>
        <v>1247</v>
      </c>
      <c r="AJ243">
        <v>11850</v>
      </c>
      <c r="AK243">
        <v>9768</v>
      </c>
      <c r="AL243">
        <v>27134</v>
      </c>
      <c r="AM243">
        <v>14684</v>
      </c>
      <c r="AN243">
        <v>57</v>
      </c>
      <c r="AO243">
        <v>57</v>
      </c>
      <c r="AP243" t="s">
        <v>11</v>
      </c>
      <c r="AQ243" t="s">
        <v>11</v>
      </c>
      <c r="AR243">
        <v>163</v>
      </c>
      <c r="AS243" t="s">
        <v>11</v>
      </c>
      <c r="AT243" t="str">
        <f t="shared" si="33"/>
        <v>NoData</v>
      </c>
      <c r="AU243" t="str">
        <f t="shared" si="34"/>
        <v>NoData</v>
      </c>
      <c r="AV243">
        <v>0</v>
      </c>
      <c r="AW243" t="s">
        <v>11</v>
      </c>
      <c r="AX243">
        <v>4</v>
      </c>
      <c r="AY243" t="s">
        <v>11</v>
      </c>
      <c r="AZ243" t="str">
        <f t="shared" si="35"/>
        <v>NoData</v>
      </c>
      <c r="BA243" t="str">
        <f t="shared" si="36"/>
        <v>NoData</v>
      </c>
      <c r="BB243">
        <f t="shared" si="41"/>
        <v>57</v>
      </c>
      <c r="BC243">
        <f t="shared" si="42"/>
        <v>57</v>
      </c>
      <c r="BD243" t="s">
        <v>11</v>
      </c>
      <c r="BE243" t="s">
        <v>11</v>
      </c>
      <c r="BF243" t="s">
        <v>11</v>
      </c>
      <c r="BG243" t="s">
        <v>11</v>
      </c>
      <c r="BH243">
        <v>74</v>
      </c>
      <c r="BI243" t="s">
        <v>11</v>
      </c>
      <c r="BJ243">
        <v>129</v>
      </c>
      <c r="BK243" t="s">
        <v>11</v>
      </c>
      <c r="BL243" t="s">
        <v>11</v>
      </c>
      <c r="BM243" t="s">
        <v>11</v>
      </c>
      <c r="BN243">
        <v>31</v>
      </c>
      <c r="BO243" t="s">
        <v>11</v>
      </c>
      <c r="BP243" t="str">
        <f t="shared" si="37"/>
        <v>NoData</v>
      </c>
      <c r="BQ243" t="str">
        <f t="shared" si="38"/>
        <v>NoData</v>
      </c>
      <c r="BR243">
        <v>41</v>
      </c>
      <c r="BS243" t="s">
        <v>11</v>
      </c>
      <c r="BT243">
        <v>27</v>
      </c>
      <c r="BU243" t="s">
        <v>11</v>
      </c>
    </row>
    <row r="244" spans="1:73" x14ac:dyDescent="0.25">
      <c r="A244" s="5">
        <v>33208</v>
      </c>
      <c r="B244">
        <v>1894</v>
      </c>
      <c r="C244" t="s">
        <v>11</v>
      </c>
      <c r="D244" t="s">
        <v>11</v>
      </c>
      <c r="E244" t="s">
        <v>11</v>
      </c>
      <c r="F244">
        <v>3303</v>
      </c>
      <c r="G244" t="s">
        <v>11</v>
      </c>
      <c r="H244">
        <v>1169</v>
      </c>
      <c r="I244" t="s">
        <v>11</v>
      </c>
      <c r="J244">
        <v>1256</v>
      </c>
      <c r="K244" t="s">
        <v>11</v>
      </c>
      <c r="L244">
        <v>31350</v>
      </c>
      <c r="M244">
        <v>14803</v>
      </c>
      <c r="N244">
        <v>232</v>
      </c>
      <c r="O244">
        <v>232</v>
      </c>
      <c r="P244" t="s">
        <v>11</v>
      </c>
      <c r="Q244" t="s">
        <v>11</v>
      </c>
      <c r="R244" t="s">
        <v>11</v>
      </c>
      <c r="S244" t="s">
        <v>11</v>
      </c>
      <c r="T244" s="34">
        <v>55670</v>
      </c>
      <c r="U244" s="34">
        <v>20746</v>
      </c>
      <c r="V244" s="34">
        <v>3039</v>
      </c>
      <c r="W244">
        <v>2951</v>
      </c>
      <c r="X244">
        <v>2647</v>
      </c>
      <c r="Y244">
        <v>2599</v>
      </c>
      <c r="Z244">
        <v>3916</v>
      </c>
      <c r="AA244">
        <v>1202</v>
      </c>
      <c r="AB244">
        <v>19957</v>
      </c>
      <c r="AC244">
        <v>10014</v>
      </c>
      <c r="AD244">
        <v>2084</v>
      </c>
      <c r="AE244">
        <v>1452</v>
      </c>
      <c r="AF244">
        <v>4304</v>
      </c>
      <c r="AG244">
        <v>3695</v>
      </c>
      <c r="AH244">
        <f t="shared" si="39"/>
        <v>2084</v>
      </c>
      <c r="AI244">
        <f t="shared" si="40"/>
        <v>1452</v>
      </c>
      <c r="AJ244">
        <v>17975</v>
      </c>
      <c r="AK244">
        <v>14396</v>
      </c>
      <c r="AL244">
        <v>21446</v>
      </c>
      <c r="AM244">
        <v>7916</v>
      </c>
      <c r="AN244">
        <v>54</v>
      </c>
      <c r="AO244">
        <v>64</v>
      </c>
      <c r="AP244" t="s">
        <v>11</v>
      </c>
      <c r="AQ244" t="s">
        <v>11</v>
      </c>
      <c r="AR244">
        <v>180</v>
      </c>
      <c r="AS244" t="s">
        <v>11</v>
      </c>
      <c r="AT244" t="str">
        <f t="shared" si="33"/>
        <v>NoData</v>
      </c>
      <c r="AU244" t="str">
        <f t="shared" si="34"/>
        <v>NoData</v>
      </c>
      <c r="AV244">
        <v>0</v>
      </c>
      <c r="AW244" t="s">
        <v>11</v>
      </c>
      <c r="AX244">
        <v>4</v>
      </c>
      <c r="AY244" t="s">
        <v>11</v>
      </c>
      <c r="AZ244" t="str">
        <f t="shared" si="35"/>
        <v>NoData</v>
      </c>
      <c r="BA244" t="str">
        <f t="shared" si="36"/>
        <v>NoData</v>
      </c>
      <c r="BB244">
        <f t="shared" si="41"/>
        <v>54</v>
      </c>
      <c r="BC244">
        <f t="shared" si="42"/>
        <v>64</v>
      </c>
      <c r="BD244" t="s">
        <v>11</v>
      </c>
      <c r="BE244" t="s">
        <v>11</v>
      </c>
      <c r="BF244" t="s">
        <v>11</v>
      </c>
      <c r="BG244" t="s">
        <v>11</v>
      </c>
      <c r="BH244">
        <v>27</v>
      </c>
      <c r="BI244" t="s">
        <v>11</v>
      </c>
      <c r="BJ244">
        <v>136</v>
      </c>
      <c r="BK244" t="s">
        <v>11</v>
      </c>
      <c r="BL244" t="s">
        <v>11</v>
      </c>
      <c r="BM244" t="s">
        <v>11</v>
      </c>
      <c r="BN244">
        <v>40</v>
      </c>
      <c r="BO244" t="s">
        <v>11</v>
      </c>
      <c r="BP244" t="str">
        <f t="shared" si="37"/>
        <v>NoData</v>
      </c>
      <c r="BQ244" t="str">
        <f t="shared" si="38"/>
        <v>NoData</v>
      </c>
      <c r="BR244">
        <v>40</v>
      </c>
      <c r="BS244" t="s">
        <v>11</v>
      </c>
      <c r="BT244">
        <v>27</v>
      </c>
      <c r="BU244" t="s">
        <v>11</v>
      </c>
    </row>
    <row r="245" spans="1:73" x14ac:dyDescent="0.25">
      <c r="A245" s="5">
        <v>33239</v>
      </c>
      <c r="B245">
        <v>1032</v>
      </c>
      <c r="C245" t="s">
        <v>11</v>
      </c>
      <c r="D245" t="s">
        <v>11</v>
      </c>
      <c r="E245" t="s">
        <v>11</v>
      </c>
      <c r="F245">
        <v>3403</v>
      </c>
      <c r="G245" t="s">
        <v>11</v>
      </c>
      <c r="H245">
        <v>1126</v>
      </c>
      <c r="I245" t="s">
        <v>11</v>
      </c>
      <c r="J245">
        <v>1085</v>
      </c>
      <c r="K245" t="s">
        <v>11</v>
      </c>
      <c r="L245">
        <v>11250</v>
      </c>
      <c r="M245" t="s">
        <v>11</v>
      </c>
      <c r="N245">
        <v>246</v>
      </c>
      <c r="O245" t="s">
        <v>11</v>
      </c>
      <c r="P245" t="s">
        <v>11</v>
      </c>
      <c r="Q245" t="s">
        <v>11</v>
      </c>
      <c r="R245" t="s">
        <v>11</v>
      </c>
      <c r="S245" t="s">
        <v>11</v>
      </c>
      <c r="T245" s="34">
        <v>29920</v>
      </c>
      <c r="U245" s="34">
        <v>1090</v>
      </c>
      <c r="V245" s="34">
        <v>2077</v>
      </c>
      <c r="W245">
        <v>2004</v>
      </c>
      <c r="X245">
        <v>1562</v>
      </c>
      <c r="Y245">
        <v>1531</v>
      </c>
      <c r="Z245">
        <v>2473</v>
      </c>
      <c r="AA245">
        <v>841</v>
      </c>
      <c r="AB245">
        <v>12286</v>
      </c>
      <c r="AC245">
        <v>3164</v>
      </c>
      <c r="AD245">
        <v>1293</v>
      </c>
      <c r="AE245">
        <v>770</v>
      </c>
      <c r="AF245">
        <v>2406</v>
      </c>
      <c r="AG245">
        <v>2415</v>
      </c>
      <c r="AH245">
        <f t="shared" si="39"/>
        <v>1293</v>
      </c>
      <c r="AI245">
        <f t="shared" si="40"/>
        <v>770</v>
      </c>
      <c r="AJ245">
        <v>7510</v>
      </c>
      <c r="AK245">
        <v>4549</v>
      </c>
      <c r="AL245">
        <v>14547</v>
      </c>
      <c r="AM245">
        <v>599</v>
      </c>
      <c r="AN245">
        <v>20</v>
      </c>
      <c r="AO245">
        <v>20</v>
      </c>
      <c r="AP245" t="s">
        <v>11</v>
      </c>
      <c r="AQ245" t="s">
        <v>11</v>
      </c>
      <c r="AR245">
        <v>162.9</v>
      </c>
      <c r="AS245" t="s">
        <v>11</v>
      </c>
      <c r="AT245" t="str">
        <f t="shared" ref="AT245:AT308" si="43">AP245</f>
        <v>NoData</v>
      </c>
      <c r="AU245" t="str">
        <f t="shared" ref="AU245:AU308" si="44">AQ245</f>
        <v>NoData</v>
      </c>
      <c r="AV245">
        <v>0</v>
      </c>
      <c r="AW245" t="s">
        <v>11</v>
      </c>
      <c r="AX245">
        <v>4</v>
      </c>
      <c r="AY245" t="s">
        <v>11</v>
      </c>
      <c r="AZ245" t="str">
        <f t="shared" ref="AZ245:AZ308" si="45">AT245</f>
        <v>NoData</v>
      </c>
      <c r="BA245" t="str">
        <f t="shared" ref="BA245:BA308" si="46">AU245</f>
        <v>NoData</v>
      </c>
      <c r="BB245">
        <f t="shared" si="41"/>
        <v>20</v>
      </c>
      <c r="BC245">
        <f t="shared" si="42"/>
        <v>20</v>
      </c>
      <c r="BD245" t="s">
        <v>11</v>
      </c>
      <c r="BE245" t="s">
        <v>11</v>
      </c>
      <c r="BF245" t="s">
        <v>11</v>
      </c>
      <c r="BG245" t="s">
        <v>11</v>
      </c>
      <c r="BH245">
        <v>12.4</v>
      </c>
      <c r="BI245" t="s">
        <v>11</v>
      </c>
      <c r="BJ245">
        <v>37.4</v>
      </c>
      <c r="BK245" t="s">
        <v>11</v>
      </c>
      <c r="BL245" t="s">
        <v>11</v>
      </c>
      <c r="BM245" t="s">
        <v>11</v>
      </c>
      <c r="BN245">
        <v>8.9</v>
      </c>
      <c r="BO245" t="s">
        <v>11</v>
      </c>
      <c r="BP245" t="str">
        <f t="shared" si="37"/>
        <v>NoData</v>
      </c>
      <c r="BQ245" t="str">
        <f t="shared" si="38"/>
        <v>NoData</v>
      </c>
      <c r="BR245">
        <v>41.1</v>
      </c>
      <c r="BS245" t="s">
        <v>11</v>
      </c>
      <c r="BT245">
        <v>27</v>
      </c>
      <c r="BU245" t="s">
        <v>11</v>
      </c>
    </row>
    <row r="246" spans="1:73" x14ac:dyDescent="0.25">
      <c r="A246" s="5">
        <v>33270</v>
      </c>
      <c r="B246">
        <v>1586</v>
      </c>
      <c r="C246" t="s">
        <v>11</v>
      </c>
      <c r="D246" t="s">
        <v>11</v>
      </c>
      <c r="E246" t="s">
        <v>11</v>
      </c>
      <c r="F246">
        <v>3730</v>
      </c>
      <c r="G246" t="s">
        <v>11</v>
      </c>
      <c r="H246">
        <v>1234</v>
      </c>
      <c r="I246" t="s">
        <v>11</v>
      </c>
      <c r="J246">
        <v>1189</v>
      </c>
      <c r="K246" t="s">
        <v>11</v>
      </c>
      <c r="L246">
        <v>43040</v>
      </c>
      <c r="M246" t="s">
        <v>11</v>
      </c>
      <c r="N246">
        <v>335</v>
      </c>
      <c r="O246" t="s">
        <v>11</v>
      </c>
      <c r="P246" t="s">
        <v>11</v>
      </c>
      <c r="Q246" t="s">
        <v>11</v>
      </c>
      <c r="R246" t="s">
        <v>11</v>
      </c>
      <c r="S246" t="s">
        <v>11</v>
      </c>
      <c r="T246" s="34">
        <v>53070</v>
      </c>
      <c r="U246" s="34">
        <v>23430</v>
      </c>
      <c r="V246" s="34">
        <v>2931</v>
      </c>
      <c r="W246">
        <v>2874</v>
      </c>
      <c r="X246">
        <v>2871</v>
      </c>
      <c r="Y246">
        <v>2841</v>
      </c>
      <c r="Z246">
        <v>3141</v>
      </c>
      <c r="AA246">
        <v>1442</v>
      </c>
      <c r="AB246">
        <v>20065</v>
      </c>
      <c r="AC246">
        <v>13052</v>
      </c>
      <c r="AD246">
        <v>1853</v>
      </c>
      <c r="AE246">
        <v>1215</v>
      </c>
      <c r="AF246">
        <v>3663</v>
      </c>
      <c r="AG246">
        <v>3463</v>
      </c>
      <c r="AH246">
        <f t="shared" si="39"/>
        <v>1853</v>
      </c>
      <c r="AI246">
        <f t="shared" si="40"/>
        <v>1215</v>
      </c>
      <c r="AJ246">
        <v>10661</v>
      </c>
      <c r="AK246">
        <v>7048</v>
      </c>
      <c r="AL246">
        <v>30687</v>
      </c>
      <c r="AM246">
        <v>19054</v>
      </c>
      <c r="AN246">
        <v>58</v>
      </c>
      <c r="AO246">
        <v>58</v>
      </c>
      <c r="AP246" t="s">
        <v>11</v>
      </c>
      <c r="AQ246" t="s">
        <v>11</v>
      </c>
      <c r="AR246">
        <v>178.5</v>
      </c>
      <c r="AS246" t="s">
        <v>11</v>
      </c>
      <c r="AT246" t="str">
        <f t="shared" si="43"/>
        <v>NoData</v>
      </c>
      <c r="AU246" t="str">
        <f t="shared" si="44"/>
        <v>NoData</v>
      </c>
      <c r="AV246">
        <v>0</v>
      </c>
      <c r="AW246" t="s">
        <v>11</v>
      </c>
      <c r="AX246">
        <v>4</v>
      </c>
      <c r="AY246" t="s">
        <v>11</v>
      </c>
      <c r="AZ246" t="str">
        <f t="shared" si="45"/>
        <v>NoData</v>
      </c>
      <c r="BA246" t="str">
        <f t="shared" si="46"/>
        <v>NoData</v>
      </c>
      <c r="BB246">
        <f t="shared" si="41"/>
        <v>58</v>
      </c>
      <c r="BC246">
        <f t="shared" si="42"/>
        <v>58</v>
      </c>
      <c r="BD246" t="s">
        <v>11</v>
      </c>
      <c r="BE246" t="s">
        <v>11</v>
      </c>
      <c r="BF246" t="s">
        <v>11</v>
      </c>
      <c r="BG246" t="s">
        <v>11</v>
      </c>
      <c r="BH246">
        <v>5.0999999999999996</v>
      </c>
      <c r="BI246" t="s">
        <v>11</v>
      </c>
      <c r="BJ246">
        <v>25.3</v>
      </c>
      <c r="BK246" t="s">
        <v>11</v>
      </c>
      <c r="BL246" t="s">
        <v>11</v>
      </c>
      <c r="BM246" t="s">
        <v>11</v>
      </c>
      <c r="BN246">
        <v>20.9</v>
      </c>
      <c r="BO246" t="s">
        <v>11</v>
      </c>
      <c r="BP246" t="str">
        <f t="shared" si="37"/>
        <v>NoData</v>
      </c>
      <c r="BQ246" t="str">
        <f t="shared" si="38"/>
        <v>NoData</v>
      </c>
      <c r="BR246">
        <v>45.1</v>
      </c>
      <c r="BS246" t="s">
        <v>11</v>
      </c>
      <c r="BT246">
        <v>30</v>
      </c>
      <c r="BU246" t="s">
        <v>11</v>
      </c>
    </row>
    <row r="247" spans="1:73" x14ac:dyDescent="0.25">
      <c r="A247" s="5">
        <v>33298</v>
      </c>
      <c r="B247">
        <v>2057</v>
      </c>
      <c r="C247" t="s">
        <v>11</v>
      </c>
      <c r="D247" t="s">
        <v>11</v>
      </c>
      <c r="E247" t="s">
        <v>11</v>
      </c>
      <c r="F247">
        <v>3469</v>
      </c>
      <c r="G247" t="s">
        <v>11</v>
      </c>
      <c r="H247">
        <v>1148</v>
      </c>
      <c r="I247" t="s">
        <v>11</v>
      </c>
      <c r="J247">
        <v>1106</v>
      </c>
      <c r="K247" t="s">
        <v>11</v>
      </c>
      <c r="L247">
        <v>38680</v>
      </c>
      <c r="M247" t="s">
        <v>11</v>
      </c>
      <c r="N247">
        <v>468</v>
      </c>
      <c r="O247" t="s">
        <v>11</v>
      </c>
      <c r="P247" t="s">
        <v>11</v>
      </c>
      <c r="Q247" t="s">
        <v>11</v>
      </c>
      <c r="R247" t="s">
        <v>11</v>
      </c>
      <c r="S247" t="s">
        <v>11</v>
      </c>
      <c r="T247" s="34">
        <v>43250</v>
      </c>
      <c r="U247" s="34">
        <v>10271</v>
      </c>
      <c r="V247" s="34">
        <v>2884</v>
      </c>
      <c r="W247">
        <v>2835</v>
      </c>
      <c r="X247">
        <v>3725</v>
      </c>
      <c r="Y247">
        <v>3688</v>
      </c>
      <c r="Z247">
        <v>3168</v>
      </c>
      <c r="AA247">
        <v>1491</v>
      </c>
      <c r="AB247">
        <v>22561</v>
      </c>
      <c r="AC247">
        <v>14443</v>
      </c>
      <c r="AD247">
        <v>1649</v>
      </c>
      <c r="AE247">
        <v>1288</v>
      </c>
      <c r="AF247">
        <v>4120</v>
      </c>
      <c r="AG247">
        <v>3751</v>
      </c>
      <c r="AH247">
        <f t="shared" si="39"/>
        <v>1649</v>
      </c>
      <c r="AI247">
        <f t="shared" si="40"/>
        <v>1288</v>
      </c>
      <c r="AJ247">
        <v>12500</v>
      </c>
      <c r="AK247">
        <v>10455</v>
      </c>
      <c r="AL247">
        <v>24945</v>
      </c>
      <c r="AM247">
        <v>10424</v>
      </c>
      <c r="AN247">
        <v>110</v>
      </c>
      <c r="AO247">
        <v>110</v>
      </c>
      <c r="AP247" t="s">
        <v>11</v>
      </c>
      <c r="AQ247" t="s">
        <v>11</v>
      </c>
      <c r="AR247">
        <v>166</v>
      </c>
      <c r="AS247" t="s">
        <v>11</v>
      </c>
      <c r="AT247" t="str">
        <f t="shared" si="43"/>
        <v>NoData</v>
      </c>
      <c r="AU247" t="str">
        <f t="shared" si="44"/>
        <v>NoData</v>
      </c>
      <c r="AV247">
        <v>0</v>
      </c>
      <c r="AW247" t="s">
        <v>11</v>
      </c>
      <c r="AX247">
        <v>4</v>
      </c>
      <c r="AY247" t="s">
        <v>11</v>
      </c>
      <c r="AZ247" t="str">
        <f t="shared" si="45"/>
        <v>NoData</v>
      </c>
      <c r="BA247" t="str">
        <f t="shared" si="46"/>
        <v>NoData</v>
      </c>
      <c r="BB247">
        <f t="shared" si="41"/>
        <v>110</v>
      </c>
      <c r="BC247">
        <f t="shared" si="42"/>
        <v>110</v>
      </c>
      <c r="BD247" t="s">
        <v>11</v>
      </c>
      <c r="BE247" t="s">
        <v>11</v>
      </c>
      <c r="BF247" t="s">
        <v>11</v>
      </c>
      <c r="BG247" t="s">
        <v>11</v>
      </c>
      <c r="BH247">
        <v>22</v>
      </c>
      <c r="BI247" t="s">
        <v>11</v>
      </c>
      <c r="BJ247">
        <v>28</v>
      </c>
      <c r="BK247" t="s">
        <v>11</v>
      </c>
      <c r="BL247" t="s">
        <v>11</v>
      </c>
      <c r="BM247" t="s">
        <v>11</v>
      </c>
      <c r="BN247">
        <v>3.2</v>
      </c>
      <c r="BO247" t="s">
        <v>11</v>
      </c>
      <c r="BP247" t="str">
        <f t="shared" si="37"/>
        <v>NoData</v>
      </c>
      <c r="BQ247" t="str">
        <f t="shared" si="38"/>
        <v>NoData</v>
      </c>
      <c r="BR247">
        <v>41.9</v>
      </c>
      <c r="BS247" t="s">
        <v>11</v>
      </c>
      <c r="BT247">
        <v>28</v>
      </c>
      <c r="BU247" t="s">
        <v>11</v>
      </c>
    </row>
    <row r="248" spans="1:73" x14ac:dyDescent="0.25">
      <c r="A248" s="5">
        <v>33329</v>
      </c>
      <c r="B248">
        <v>3546</v>
      </c>
      <c r="C248" t="s">
        <v>11</v>
      </c>
      <c r="D248" t="s">
        <v>11</v>
      </c>
      <c r="E248" t="s">
        <v>11</v>
      </c>
      <c r="F248">
        <v>654</v>
      </c>
      <c r="G248" t="s">
        <v>11</v>
      </c>
      <c r="H248">
        <v>217</v>
      </c>
      <c r="I248" t="s">
        <v>11</v>
      </c>
      <c r="J248">
        <v>209</v>
      </c>
      <c r="K248" t="s">
        <v>11</v>
      </c>
      <c r="L248">
        <v>60590</v>
      </c>
      <c r="M248" t="s">
        <v>11</v>
      </c>
      <c r="N248">
        <v>803</v>
      </c>
      <c r="O248" t="s">
        <v>11</v>
      </c>
      <c r="P248" t="s">
        <v>11</v>
      </c>
      <c r="Q248" t="s">
        <v>11</v>
      </c>
      <c r="R248" t="s">
        <v>11</v>
      </c>
      <c r="S248" t="s">
        <v>11</v>
      </c>
      <c r="T248" s="34">
        <v>82250</v>
      </c>
      <c r="U248" s="34">
        <v>47822</v>
      </c>
      <c r="V248" s="34">
        <v>3212</v>
      </c>
      <c r="W248">
        <v>3181</v>
      </c>
      <c r="X248">
        <v>6059</v>
      </c>
      <c r="Y248">
        <v>6024</v>
      </c>
      <c r="Z248">
        <v>5504</v>
      </c>
      <c r="AA248">
        <v>2842</v>
      </c>
      <c r="AB248">
        <v>35819</v>
      </c>
      <c r="AC248">
        <v>28171</v>
      </c>
      <c r="AD248">
        <v>2945</v>
      </c>
      <c r="AE248">
        <v>2356</v>
      </c>
      <c r="AF248">
        <v>6008</v>
      </c>
      <c r="AG248">
        <v>5545</v>
      </c>
      <c r="AH248">
        <f t="shared" si="39"/>
        <v>2945</v>
      </c>
      <c r="AI248">
        <f t="shared" si="40"/>
        <v>2356</v>
      </c>
      <c r="AJ248">
        <v>21328</v>
      </c>
      <c r="AK248">
        <v>17993</v>
      </c>
      <c r="AL248">
        <v>42413</v>
      </c>
      <c r="AM248">
        <v>28922</v>
      </c>
      <c r="AN248">
        <v>186</v>
      </c>
      <c r="AO248">
        <v>186</v>
      </c>
      <c r="AP248" t="s">
        <v>11</v>
      </c>
      <c r="AQ248" t="s">
        <v>11</v>
      </c>
      <c r="AR248">
        <v>31.3</v>
      </c>
      <c r="AS248" t="s">
        <v>11</v>
      </c>
      <c r="AT248" t="str">
        <f t="shared" si="43"/>
        <v>NoData</v>
      </c>
      <c r="AU248" t="str">
        <f t="shared" si="44"/>
        <v>NoData</v>
      </c>
      <c r="AV248">
        <v>0</v>
      </c>
      <c r="AW248" t="s">
        <v>11</v>
      </c>
      <c r="AX248">
        <v>4</v>
      </c>
      <c r="AY248" t="s">
        <v>11</v>
      </c>
      <c r="AZ248" t="str">
        <f t="shared" si="45"/>
        <v>NoData</v>
      </c>
      <c r="BA248" t="str">
        <f t="shared" si="46"/>
        <v>NoData</v>
      </c>
      <c r="BB248">
        <f t="shared" si="41"/>
        <v>186</v>
      </c>
      <c r="BC248">
        <f t="shared" si="42"/>
        <v>186</v>
      </c>
      <c r="BD248" t="s">
        <v>11</v>
      </c>
      <c r="BE248" t="s">
        <v>11</v>
      </c>
      <c r="BF248" t="s">
        <v>11</v>
      </c>
      <c r="BG248" t="s">
        <v>11</v>
      </c>
      <c r="BH248">
        <v>18</v>
      </c>
      <c r="BI248" t="s">
        <v>11</v>
      </c>
      <c r="BJ248">
        <v>70</v>
      </c>
      <c r="BK248" t="s">
        <v>11</v>
      </c>
      <c r="BL248" t="s">
        <v>11</v>
      </c>
      <c r="BM248" t="s">
        <v>11</v>
      </c>
      <c r="BN248">
        <v>26.7</v>
      </c>
      <c r="BO248" t="s">
        <v>11</v>
      </c>
      <c r="BP248" t="str">
        <f t="shared" si="37"/>
        <v>NoData</v>
      </c>
      <c r="BQ248" t="str">
        <f t="shared" si="38"/>
        <v>NoData</v>
      </c>
      <c r="BR248">
        <v>7.9</v>
      </c>
      <c r="BS248" t="s">
        <v>11</v>
      </c>
      <c r="BT248">
        <v>5</v>
      </c>
      <c r="BU248" t="s">
        <v>11</v>
      </c>
    </row>
    <row r="249" spans="1:73" x14ac:dyDescent="0.25">
      <c r="A249" s="5">
        <v>33359</v>
      </c>
      <c r="B249">
        <v>4036</v>
      </c>
      <c r="C249" t="s">
        <v>11</v>
      </c>
      <c r="D249" t="s">
        <v>11</v>
      </c>
      <c r="E249" t="s">
        <v>11</v>
      </c>
      <c r="F249">
        <v>6610</v>
      </c>
      <c r="G249" t="s">
        <v>11</v>
      </c>
      <c r="H249">
        <v>2187</v>
      </c>
      <c r="I249" t="s">
        <v>11</v>
      </c>
      <c r="J249">
        <v>2107</v>
      </c>
      <c r="K249" t="s">
        <v>11</v>
      </c>
      <c r="L249">
        <v>73050</v>
      </c>
      <c r="M249" t="s">
        <v>11</v>
      </c>
      <c r="N249">
        <v>795</v>
      </c>
      <c r="O249" t="s">
        <v>11</v>
      </c>
      <c r="P249" t="s">
        <v>11</v>
      </c>
      <c r="Q249" t="s">
        <v>11</v>
      </c>
      <c r="R249" t="s">
        <v>11</v>
      </c>
      <c r="S249" t="s">
        <v>11</v>
      </c>
      <c r="T249" s="34">
        <v>92010</v>
      </c>
      <c r="U249" s="34">
        <v>55501</v>
      </c>
      <c r="V249" s="34">
        <v>5112</v>
      </c>
      <c r="W249">
        <v>5043</v>
      </c>
      <c r="X249">
        <v>7241</v>
      </c>
      <c r="Y249">
        <v>7181</v>
      </c>
      <c r="Z249">
        <v>6805</v>
      </c>
      <c r="AA249">
        <v>3654</v>
      </c>
      <c r="AB249">
        <v>36713</v>
      </c>
      <c r="AC249">
        <v>27899</v>
      </c>
      <c r="AD249">
        <v>3160</v>
      </c>
      <c r="AE249">
        <v>2487</v>
      </c>
      <c r="AF249">
        <v>7086</v>
      </c>
      <c r="AG249">
        <v>6388</v>
      </c>
      <c r="AH249">
        <f t="shared" si="39"/>
        <v>3160</v>
      </c>
      <c r="AI249">
        <f t="shared" si="40"/>
        <v>2487</v>
      </c>
      <c r="AJ249">
        <v>26930</v>
      </c>
      <c r="AK249">
        <v>23115</v>
      </c>
      <c r="AL249">
        <v>49511</v>
      </c>
      <c r="AM249">
        <v>38315</v>
      </c>
      <c r="AN249">
        <v>124</v>
      </c>
      <c r="AO249">
        <v>124</v>
      </c>
      <c r="AP249" t="s">
        <v>11</v>
      </c>
      <c r="AQ249" t="s">
        <v>11</v>
      </c>
      <c r="AR249">
        <v>316.3</v>
      </c>
      <c r="AS249" t="s">
        <v>11</v>
      </c>
      <c r="AT249" t="str">
        <f t="shared" si="43"/>
        <v>NoData</v>
      </c>
      <c r="AU249" t="str">
        <f t="shared" si="44"/>
        <v>NoData</v>
      </c>
      <c r="AV249">
        <v>8</v>
      </c>
      <c r="AW249" t="s">
        <v>11</v>
      </c>
      <c r="AX249">
        <v>4</v>
      </c>
      <c r="AY249" t="s">
        <v>11</v>
      </c>
      <c r="AZ249" t="str">
        <f t="shared" si="45"/>
        <v>NoData</v>
      </c>
      <c r="BA249" t="str">
        <f t="shared" si="46"/>
        <v>NoData</v>
      </c>
      <c r="BB249">
        <f t="shared" si="41"/>
        <v>124</v>
      </c>
      <c r="BC249">
        <f t="shared" si="42"/>
        <v>124</v>
      </c>
      <c r="BD249" t="s">
        <v>11</v>
      </c>
      <c r="BE249" t="s">
        <v>11</v>
      </c>
      <c r="BF249" t="s">
        <v>11</v>
      </c>
      <c r="BG249" t="s">
        <v>11</v>
      </c>
      <c r="BH249">
        <v>19.100000000000001</v>
      </c>
      <c r="BI249" t="s">
        <v>11</v>
      </c>
      <c r="BJ249">
        <v>104</v>
      </c>
      <c r="BK249" t="s">
        <v>11</v>
      </c>
      <c r="BL249" t="s">
        <v>11</v>
      </c>
      <c r="BM249" t="s">
        <v>11</v>
      </c>
      <c r="BN249">
        <v>53.1</v>
      </c>
      <c r="BO249" t="s">
        <v>11</v>
      </c>
      <c r="BP249" t="str">
        <f t="shared" si="37"/>
        <v>NoData</v>
      </c>
      <c r="BQ249" t="str">
        <f t="shared" si="38"/>
        <v>NoData</v>
      </c>
      <c r="BR249">
        <v>79.900000000000006</v>
      </c>
      <c r="BS249" t="s">
        <v>11</v>
      </c>
      <c r="BT249">
        <v>53</v>
      </c>
      <c r="BU249" t="s">
        <v>11</v>
      </c>
    </row>
    <row r="250" spans="1:73" x14ac:dyDescent="0.25">
      <c r="A250" s="5">
        <v>33390</v>
      </c>
      <c r="B250">
        <v>4894</v>
      </c>
      <c r="C250" t="s">
        <v>11</v>
      </c>
      <c r="D250" t="s">
        <v>11</v>
      </c>
      <c r="E250" t="s">
        <v>11</v>
      </c>
      <c r="F250">
        <v>7461</v>
      </c>
      <c r="G250" t="s">
        <v>11</v>
      </c>
      <c r="H250">
        <v>2468</v>
      </c>
      <c r="I250" t="s">
        <v>11</v>
      </c>
      <c r="J250">
        <v>2379</v>
      </c>
      <c r="K250" t="s">
        <v>11</v>
      </c>
      <c r="L250">
        <v>83870</v>
      </c>
      <c r="M250" t="s">
        <v>11</v>
      </c>
      <c r="N250">
        <v>1136</v>
      </c>
      <c r="O250" t="s">
        <v>11</v>
      </c>
      <c r="P250" t="s">
        <v>11</v>
      </c>
      <c r="Q250" t="s">
        <v>11</v>
      </c>
      <c r="R250" t="s">
        <v>11</v>
      </c>
      <c r="S250" t="s">
        <v>11</v>
      </c>
      <c r="T250" s="34">
        <v>104900</v>
      </c>
      <c r="U250" s="34">
        <v>67816</v>
      </c>
      <c r="V250" s="34">
        <v>4308</v>
      </c>
      <c r="W250">
        <v>4264</v>
      </c>
      <c r="X250">
        <v>6264</v>
      </c>
      <c r="Y250">
        <v>6224</v>
      </c>
      <c r="Z250">
        <v>4952</v>
      </c>
      <c r="AA250">
        <v>2452</v>
      </c>
      <c r="AB250">
        <v>25705</v>
      </c>
      <c r="AC250">
        <v>18427</v>
      </c>
      <c r="AD250">
        <v>3345</v>
      </c>
      <c r="AE250">
        <v>2657</v>
      </c>
      <c r="AF250">
        <v>4550</v>
      </c>
      <c r="AG250">
        <v>4249</v>
      </c>
      <c r="AH250">
        <f t="shared" si="39"/>
        <v>3345</v>
      </c>
      <c r="AI250">
        <f t="shared" si="40"/>
        <v>2657</v>
      </c>
      <c r="AJ250">
        <v>27192</v>
      </c>
      <c r="AK250">
        <v>23295</v>
      </c>
      <c r="AL250">
        <v>52811</v>
      </c>
      <c r="AM250">
        <v>43019</v>
      </c>
      <c r="AN250">
        <v>78</v>
      </c>
      <c r="AO250">
        <v>78</v>
      </c>
      <c r="AP250" t="s">
        <v>11</v>
      </c>
      <c r="AQ250" t="s">
        <v>11</v>
      </c>
      <c r="AR250">
        <v>357</v>
      </c>
      <c r="AS250" t="s">
        <v>11</v>
      </c>
      <c r="AT250" t="str">
        <f t="shared" si="43"/>
        <v>NoData</v>
      </c>
      <c r="AU250" t="str">
        <f t="shared" si="44"/>
        <v>NoData</v>
      </c>
      <c r="AV250">
        <v>2</v>
      </c>
      <c r="AW250" t="s">
        <v>11</v>
      </c>
      <c r="AX250">
        <v>4</v>
      </c>
      <c r="AY250" t="s">
        <v>11</v>
      </c>
      <c r="AZ250" t="str">
        <f t="shared" si="45"/>
        <v>NoData</v>
      </c>
      <c r="BA250" t="str">
        <f t="shared" si="46"/>
        <v>NoData</v>
      </c>
      <c r="BB250">
        <f t="shared" si="41"/>
        <v>78</v>
      </c>
      <c r="BC250">
        <f t="shared" si="42"/>
        <v>78</v>
      </c>
      <c r="BD250" t="s">
        <v>11</v>
      </c>
      <c r="BE250" t="s">
        <v>11</v>
      </c>
      <c r="BF250" t="s">
        <v>11</v>
      </c>
      <c r="BG250" t="s">
        <v>11</v>
      </c>
      <c r="BH250">
        <v>0</v>
      </c>
      <c r="BI250" t="s">
        <v>11</v>
      </c>
      <c r="BJ250">
        <v>109</v>
      </c>
      <c r="BK250" t="s">
        <v>11</v>
      </c>
      <c r="BL250" t="s">
        <v>11</v>
      </c>
      <c r="BM250" t="s">
        <v>11</v>
      </c>
      <c r="BN250">
        <v>56.1</v>
      </c>
      <c r="BO250" t="s">
        <v>11</v>
      </c>
      <c r="BP250" t="str">
        <f t="shared" si="37"/>
        <v>NoData</v>
      </c>
      <c r="BQ250" t="str">
        <f t="shared" si="38"/>
        <v>NoData</v>
      </c>
      <c r="BR250">
        <v>90.2</v>
      </c>
      <c r="BS250" t="s">
        <v>11</v>
      </c>
      <c r="BT250">
        <v>60</v>
      </c>
      <c r="BU250" t="s">
        <v>11</v>
      </c>
    </row>
    <row r="251" spans="1:73" x14ac:dyDescent="0.25">
      <c r="A251" s="5">
        <v>33420</v>
      </c>
      <c r="B251">
        <v>5756</v>
      </c>
      <c r="C251" t="s">
        <v>11</v>
      </c>
      <c r="D251" t="s">
        <v>11</v>
      </c>
      <c r="E251" t="s">
        <v>11</v>
      </c>
      <c r="F251">
        <v>8115</v>
      </c>
      <c r="G251" t="s">
        <v>11</v>
      </c>
      <c r="H251">
        <v>2685</v>
      </c>
      <c r="I251" t="s">
        <v>11</v>
      </c>
      <c r="J251">
        <v>2587</v>
      </c>
      <c r="K251" t="s">
        <v>11</v>
      </c>
      <c r="L251">
        <v>97140</v>
      </c>
      <c r="M251" t="s">
        <v>11</v>
      </c>
      <c r="N251">
        <v>1055</v>
      </c>
      <c r="O251" t="s">
        <v>11</v>
      </c>
      <c r="P251" t="s">
        <v>11</v>
      </c>
      <c r="Q251" t="s">
        <v>11</v>
      </c>
      <c r="R251" t="s">
        <v>11</v>
      </c>
      <c r="S251" t="s">
        <v>11</v>
      </c>
      <c r="T251" s="34">
        <v>109900</v>
      </c>
      <c r="U251" s="34">
        <v>67948</v>
      </c>
      <c r="V251" s="34">
        <v>3540</v>
      </c>
      <c r="W251">
        <v>3499</v>
      </c>
      <c r="X251">
        <v>5600</v>
      </c>
      <c r="Y251">
        <v>5560</v>
      </c>
      <c r="Z251">
        <v>4110</v>
      </c>
      <c r="AA251">
        <v>1888</v>
      </c>
      <c r="AB251">
        <v>25776</v>
      </c>
      <c r="AC251">
        <v>18032</v>
      </c>
      <c r="AD251">
        <v>3942</v>
      </c>
      <c r="AE251">
        <v>3070</v>
      </c>
      <c r="AF251">
        <v>5439</v>
      </c>
      <c r="AG251">
        <v>5041</v>
      </c>
      <c r="AH251">
        <f t="shared" si="39"/>
        <v>3942</v>
      </c>
      <c r="AI251">
        <f t="shared" si="40"/>
        <v>3070</v>
      </c>
      <c r="AJ251">
        <v>30456</v>
      </c>
      <c r="AK251">
        <v>25517</v>
      </c>
      <c r="AL251">
        <v>54188</v>
      </c>
      <c r="AM251">
        <v>41129</v>
      </c>
      <c r="AN251">
        <v>73</v>
      </c>
      <c r="AO251">
        <v>73</v>
      </c>
      <c r="AP251" t="s">
        <v>11</v>
      </c>
      <c r="AQ251" t="s">
        <v>11</v>
      </c>
      <c r="AR251">
        <v>388.4</v>
      </c>
      <c r="AS251" t="s">
        <v>11</v>
      </c>
      <c r="AT251" t="str">
        <f t="shared" si="43"/>
        <v>NoData</v>
      </c>
      <c r="AU251" t="str">
        <f t="shared" si="44"/>
        <v>NoData</v>
      </c>
      <c r="AV251">
        <v>2</v>
      </c>
      <c r="AW251" t="s">
        <v>11</v>
      </c>
      <c r="AX251">
        <v>4</v>
      </c>
      <c r="AY251" t="s">
        <v>11</v>
      </c>
      <c r="AZ251" t="str">
        <f t="shared" si="45"/>
        <v>NoData</v>
      </c>
      <c r="BA251" t="str">
        <f t="shared" si="46"/>
        <v>NoData</v>
      </c>
      <c r="BB251">
        <f t="shared" si="41"/>
        <v>73</v>
      </c>
      <c r="BC251">
        <f t="shared" si="42"/>
        <v>73</v>
      </c>
      <c r="BD251" t="s">
        <v>11</v>
      </c>
      <c r="BE251" t="s">
        <v>11</v>
      </c>
      <c r="BF251" t="s">
        <v>11</v>
      </c>
      <c r="BG251" t="s">
        <v>11</v>
      </c>
      <c r="BH251">
        <v>1.9</v>
      </c>
      <c r="BI251" t="s">
        <v>11</v>
      </c>
      <c r="BJ251">
        <v>70</v>
      </c>
      <c r="BK251" t="s">
        <v>11</v>
      </c>
      <c r="BL251" t="s">
        <v>11</v>
      </c>
      <c r="BM251" t="s">
        <v>11</v>
      </c>
      <c r="BN251">
        <v>54.2</v>
      </c>
      <c r="BO251" t="s">
        <v>11</v>
      </c>
      <c r="BP251" t="str">
        <f t="shared" si="37"/>
        <v>NoData</v>
      </c>
      <c r="BQ251" t="str">
        <f t="shared" si="38"/>
        <v>NoData</v>
      </c>
      <c r="BR251">
        <v>98.1</v>
      </c>
      <c r="BS251" t="s">
        <v>11</v>
      </c>
      <c r="BT251">
        <v>65</v>
      </c>
      <c r="BU251" t="s">
        <v>11</v>
      </c>
    </row>
    <row r="252" spans="1:73" x14ac:dyDescent="0.25">
      <c r="A252" s="5">
        <v>33451</v>
      </c>
      <c r="B252">
        <v>5672</v>
      </c>
      <c r="C252" t="s">
        <v>11</v>
      </c>
      <c r="D252" t="s">
        <v>11</v>
      </c>
      <c r="E252" t="s">
        <v>11</v>
      </c>
      <c r="F252">
        <v>6937</v>
      </c>
      <c r="G252" t="s">
        <v>11</v>
      </c>
      <c r="H252">
        <v>2295</v>
      </c>
      <c r="I252" t="s">
        <v>11</v>
      </c>
      <c r="J252">
        <v>2212</v>
      </c>
      <c r="K252" t="s">
        <v>11</v>
      </c>
      <c r="L252">
        <v>84570</v>
      </c>
      <c r="M252" t="s">
        <v>11</v>
      </c>
      <c r="N252">
        <v>919</v>
      </c>
      <c r="O252" t="s">
        <v>11</v>
      </c>
      <c r="P252" t="s">
        <v>11</v>
      </c>
      <c r="Q252" t="s">
        <v>11</v>
      </c>
      <c r="R252" t="s">
        <v>11</v>
      </c>
      <c r="S252" t="s">
        <v>11</v>
      </c>
      <c r="T252" s="34">
        <v>98760</v>
      </c>
      <c r="U252" s="34">
        <v>55380</v>
      </c>
      <c r="V252" s="34">
        <v>2748</v>
      </c>
      <c r="W252">
        <v>2715</v>
      </c>
      <c r="X252">
        <v>4638</v>
      </c>
      <c r="Y252">
        <v>4604</v>
      </c>
      <c r="Z252">
        <v>3287</v>
      </c>
      <c r="AA252">
        <v>1554</v>
      </c>
      <c r="AB252">
        <v>28923</v>
      </c>
      <c r="AC252">
        <v>21352</v>
      </c>
      <c r="AD252">
        <v>3815</v>
      </c>
      <c r="AE252">
        <v>2978</v>
      </c>
      <c r="AF252">
        <v>5318</v>
      </c>
      <c r="AG252">
        <v>4907</v>
      </c>
      <c r="AH252">
        <f t="shared" si="39"/>
        <v>3815</v>
      </c>
      <c r="AI252">
        <f t="shared" si="40"/>
        <v>2978</v>
      </c>
      <c r="AJ252">
        <v>27271</v>
      </c>
      <c r="AK252">
        <v>22526</v>
      </c>
      <c r="AL252">
        <v>51393</v>
      </c>
      <c r="AM252">
        <v>39325</v>
      </c>
      <c r="AN252">
        <v>101</v>
      </c>
      <c r="AO252">
        <v>101</v>
      </c>
      <c r="AP252" t="s">
        <v>11</v>
      </c>
      <c r="AQ252" t="s">
        <v>11</v>
      </c>
      <c r="AR252">
        <v>332</v>
      </c>
      <c r="AS252" t="s">
        <v>11</v>
      </c>
      <c r="AT252" t="str">
        <f t="shared" si="43"/>
        <v>NoData</v>
      </c>
      <c r="AU252" t="str">
        <f t="shared" si="44"/>
        <v>NoData</v>
      </c>
      <c r="AV252">
        <v>1</v>
      </c>
      <c r="AW252" t="s">
        <v>11</v>
      </c>
      <c r="AX252">
        <v>4</v>
      </c>
      <c r="AY252" t="s">
        <v>11</v>
      </c>
      <c r="AZ252" t="str">
        <f t="shared" si="45"/>
        <v>NoData</v>
      </c>
      <c r="BA252" t="str">
        <f t="shared" si="46"/>
        <v>NoData</v>
      </c>
      <c r="BB252">
        <f t="shared" si="41"/>
        <v>101</v>
      </c>
      <c r="BC252">
        <f t="shared" si="42"/>
        <v>101</v>
      </c>
      <c r="BD252" t="s">
        <v>11</v>
      </c>
      <c r="BE252" t="s">
        <v>11</v>
      </c>
      <c r="BF252" t="s">
        <v>11</v>
      </c>
      <c r="BG252" t="s">
        <v>11</v>
      </c>
      <c r="BH252">
        <v>2.2000000000000002</v>
      </c>
      <c r="BI252" t="s">
        <v>11</v>
      </c>
      <c r="BJ252">
        <v>69</v>
      </c>
      <c r="BK252" t="s">
        <v>11</v>
      </c>
      <c r="BL252" t="s">
        <v>11</v>
      </c>
      <c r="BM252" t="s">
        <v>11</v>
      </c>
      <c r="BN252">
        <v>32.5</v>
      </c>
      <c r="BO252" t="s">
        <v>11</v>
      </c>
      <c r="BP252" t="str">
        <f t="shared" si="37"/>
        <v>NoData</v>
      </c>
      <c r="BQ252" t="str">
        <f t="shared" si="38"/>
        <v>NoData</v>
      </c>
      <c r="BR252">
        <v>83.9</v>
      </c>
      <c r="BS252" t="s">
        <v>11</v>
      </c>
      <c r="BT252">
        <v>55</v>
      </c>
      <c r="BU252" t="s">
        <v>11</v>
      </c>
    </row>
    <row r="253" spans="1:73" x14ac:dyDescent="0.25">
      <c r="A253" s="5">
        <v>33482</v>
      </c>
      <c r="B253">
        <v>3908</v>
      </c>
      <c r="C253" t="s">
        <v>11</v>
      </c>
      <c r="D253" t="s">
        <v>11</v>
      </c>
      <c r="E253" t="s">
        <v>11</v>
      </c>
      <c r="F253">
        <v>6283</v>
      </c>
      <c r="G253" t="s">
        <v>11</v>
      </c>
      <c r="H253">
        <v>2079</v>
      </c>
      <c r="I253" t="s">
        <v>11</v>
      </c>
      <c r="J253">
        <v>2003</v>
      </c>
      <c r="K253" t="s">
        <v>11</v>
      </c>
      <c r="L253">
        <v>46600</v>
      </c>
      <c r="M253" t="s">
        <v>11</v>
      </c>
      <c r="N253">
        <v>692</v>
      </c>
      <c r="O253" t="s">
        <v>11</v>
      </c>
      <c r="P253" t="s">
        <v>11</v>
      </c>
      <c r="Q253" t="s">
        <v>11</v>
      </c>
      <c r="R253" t="s">
        <v>11</v>
      </c>
      <c r="S253" t="s">
        <v>11</v>
      </c>
      <c r="T253" s="34">
        <v>78150</v>
      </c>
      <c r="U253" s="34">
        <v>36917</v>
      </c>
      <c r="V253" s="34">
        <v>4799</v>
      </c>
      <c r="W253">
        <v>4698</v>
      </c>
      <c r="X253">
        <v>4368</v>
      </c>
      <c r="Y253">
        <v>4316</v>
      </c>
      <c r="Z253">
        <v>3874</v>
      </c>
      <c r="AA253">
        <v>1723</v>
      </c>
      <c r="AB253">
        <v>30948</v>
      </c>
      <c r="AC253">
        <v>22654</v>
      </c>
      <c r="AD253">
        <v>2721</v>
      </c>
      <c r="AE253">
        <v>2046</v>
      </c>
      <c r="AF253">
        <v>6624</v>
      </c>
      <c r="AG253">
        <v>6632</v>
      </c>
      <c r="AH253">
        <f t="shared" si="39"/>
        <v>2721</v>
      </c>
      <c r="AI253">
        <f t="shared" si="40"/>
        <v>2046</v>
      </c>
      <c r="AJ253">
        <v>22244</v>
      </c>
      <c r="AK253">
        <v>18417</v>
      </c>
      <c r="AL253">
        <v>49030</v>
      </c>
      <c r="AM253">
        <v>37022</v>
      </c>
      <c r="AN253">
        <v>186</v>
      </c>
      <c r="AO253">
        <v>186</v>
      </c>
      <c r="AP253" t="s">
        <v>11</v>
      </c>
      <c r="AQ253" t="s">
        <v>11</v>
      </c>
      <c r="AR253">
        <v>300.7</v>
      </c>
      <c r="AS253" t="s">
        <v>11</v>
      </c>
      <c r="AT253" t="str">
        <f t="shared" si="43"/>
        <v>NoData</v>
      </c>
      <c r="AU253" t="str">
        <f t="shared" si="44"/>
        <v>NoData</v>
      </c>
      <c r="AV253">
        <v>4</v>
      </c>
      <c r="AW253" t="s">
        <v>11</v>
      </c>
      <c r="AX253">
        <v>4</v>
      </c>
      <c r="AY253" t="s">
        <v>11</v>
      </c>
      <c r="AZ253" t="str">
        <f t="shared" si="45"/>
        <v>NoData</v>
      </c>
      <c r="BA253" t="str">
        <f t="shared" si="46"/>
        <v>NoData</v>
      </c>
      <c r="BB253">
        <f t="shared" si="41"/>
        <v>186</v>
      </c>
      <c r="BC253">
        <f t="shared" si="42"/>
        <v>186</v>
      </c>
      <c r="BD253" t="s">
        <v>11</v>
      </c>
      <c r="BE253" t="s">
        <v>11</v>
      </c>
      <c r="BF253" t="s">
        <v>11</v>
      </c>
      <c r="BG253" t="s">
        <v>11</v>
      </c>
      <c r="BH253">
        <v>124.9</v>
      </c>
      <c r="BI253" t="s">
        <v>11</v>
      </c>
      <c r="BJ253">
        <v>0</v>
      </c>
      <c r="BK253" t="s">
        <v>11</v>
      </c>
      <c r="BL253" t="s">
        <v>11</v>
      </c>
      <c r="BM253" t="s">
        <v>11</v>
      </c>
      <c r="BN253">
        <v>82.5</v>
      </c>
      <c r="BO253" t="s">
        <v>11</v>
      </c>
      <c r="BP253" t="str">
        <f t="shared" si="37"/>
        <v>NoData</v>
      </c>
      <c r="BQ253" t="str">
        <f t="shared" si="38"/>
        <v>NoData</v>
      </c>
      <c r="BR253">
        <v>76</v>
      </c>
      <c r="BS253" t="s">
        <v>11</v>
      </c>
      <c r="BT253">
        <v>50</v>
      </c>
      <c r="BU253" t="s">
        <v>11</v>
      </c>
    </row>
    <row r="254" spans="1:73" x14ac:dyDescent="0.25">
      <c r="A254" s="5">
        <v>33512</v>
      </c>
      <c r="B254">
        <v>2495</v>
      </c>
      <c r="C254" t="s">
        <v>11</v>
      </c>
      <c r="D254" t="s">
        <v>11</v>
      </c>
      <c r="E254" t="s">
        <v>11</v>
      </c>
      <c r="F254">
        <v>5694</v>
      </c>
      <c r="G254" t="s">
        <v>11</v>
      </c>
      <c r="H254">
        <v>1884</v>
      </c>
      <c r="I254" t="s">
        <v>11</v>
      </c>
      <c r="J254">
        <v>1815</v>
      </c>
      <c r="K254" t="s">
        <v>11</v>
      </c>
      <c r="L254">
        <v>36980</v>
      </c>
      <c r="M254" t="s">
        <v>11</v>
      </c>
      <c r="N254">
        <v>541</v>
      </c>
      <c r="O254" t="s">
        <v>11</v>
      </c>
      <c r="P254" t="s">
        <v>11</v>
      </c>
      <c r="Q254" t="s">
        <v>11</v>
      </c>
      <c r="R254" t="s">
        <v>11</v>
      </c>
      <c r="S254" t="s">
        <v>11</v>
      </c>
      <c r="T254" s="34">
        <v>68490</v>
      </c>
      <c r="U254" s="34">
        <v>27951</v>
      </c>
      <c r="V254" s="34">
        <v>9200</v>
      </c>
      <c r="W254">
        <v>8982</v>
      </c>
      <c r="X254">
        <v>5511</v>
      </c>
      <c r="Y254">
        <v>5431</v>
      </c>
      <c r="Z254">
        <v>6054</v>
      </c>
      <c r="AA254">
        <v>2599</v>
      </c>
      <c r="AB254">
        <v>48010</v>
      </c>
      <c r="AC254">
        <v>35901</v>
      </c>
      <c r="AD254">
        <v>3021</v>
      </c>
      <c r="AE254">
        <v>2324</v>
      </c>
      <c r="AF254">
        <v>7441</v>
      </c>
      <c r="AG254">
        <v>7073</v>
      </c>
      <c r="AH254">
        <f t="shared" si="39"/>
        <v>3021</v>
      </c>
      <c r="AI254">
        <f t="shared" si="40"/>
        <v>2324</v>
      </c>
      <c r="AJ254">
        <v>19728</v>
      </c>
      <c r="AK254">
        <v>15779</v>
      </c>
      <c r="AL254">
        <v>33157</v>
      </c>
      <c r="AM254">
        <v>21066</v>
      </c>
      <c r="AN254">
        <v>127</v>
      </c>
      <c r="AO254">
        <v>127</v>
      </c>
      <c r="AP254" t="s">
        <v>11</v>
      </c>
      <c r="AQ254" t="s">
        <v>11</v>
      </c>
      <c r="AR254">
        <v>272.5</v>
      </c>
      <c r="AS254" t="s">
        <v>11</v>
      </c>
      <c r="AT254" t="str">
        <f t="shared" si="43"/>
        <v>NoData</v>
      </c>
      <c r="AU254" t="str">
        <f t="shared" si="44"/>
        <v>NoData</v>
      </c>
      <c r="AV254">
        <v>3</v>
      </c>
      <c r="AW254" t="s">
        <v>11</v>
      </c>
      <c r="AX254">
        <v>4</v>
      </c>
      <c r="AY254" t="s">
        <v>11</v>
      </c>
      <c r="AZ254" t="str">
        <f t="shared" si="45"/>
        <v>NoData</v>
      </c>
      <c r="BA254" t="str">
        <f t="shared" si="46"/>
        <v>NoData</v>
      </c>
      <c r="BB254">
        <f t="shared" si="41"/>
        <v>127</v>
      </c>
      <c r="BC254">
        <f t="shared" si="42"/>
        <v>127</v>
      </c>
      <c r="BD254" t="s">
        <v>11</v>
      </c>
      <c r="BE254" t="s">
        <v>11</v>
      </c>
      <c r="BF254" t="s">
        <v>11</v>
      </c>
      <c r="BG254" t="s">
        <v>11</v>
      </c>
      <c r="BH254">
        <v>94.5</v>
      </c>
      <c r="BI254" t="s">
        <v>11</v>
      </c>
      <c r="BJ254">
        <v>0</v>
      </c>
      <c r="BK254" t="s">
        <v>11</v>
      </c>
      <c r="BL254" t="s">
        <v>11</v>
      </c>
      <c r="BM254" t="s">
        <v>11</v>
      </c>
      <c r="BN254">
        <v>19.7</v>
      </c>
      <c r="BO254" t="s">
        <v>11</v>
      </c>
      <c r="BP254" t="str">
        <f t="shared" si="37"/>
        <v>NoData</v>
      </c>
      <c r="BQ254" t="str">
        <f t="shared" si="38"/>
        <v>NoData</v>
      </c>
      <c r="BR254">
        <v>68.8</v>
      </c>
      <c r="BS254" t="s">
        <v>11</v>
      </c>
      <c r="BT254">
        <v>45</v>
      </c>
      <c r="BU254" t="s">
        <v>11</v>
      </c>
    </row>
    <row r="255" spans="1:73" x14ac:dyDescent="0.25">
      <c r="A255" s="5">
        <v>33543</v>
      </c>
      <c r="B255">
        <v>2083</v>
      </c>
      <c r="C255" t="s">
        <v>11</v>
      </c>
      <c r="D255" t="s">
        <v>11</v>
      </c>
      <c r="E255" t="s">
        <v>11</v>
      </c>
      <c r="F255">
        <v>3927</v>
      </c>
      <c r="G255" t="s">
        <v>11</v>
      </c>
      <c r="H255">
        <v>1299</v>
      </c>
      <c r="I255" t="s">
        <v>11</v>
      </c>
      <c r="J255">
        <v>1252</v>
      </c>
      <c r="K255" t="s">
        <v>11</v>
      </c>
      <c r="L255">
        <v>27210</v>
      </c>
      <c r="M255" t="s">
        <v>11</v>
      </c>
      <c r="N255">
        <v>290</v>
      </c>
      <c r="O255" t="s">
        <v>11</v>
      </c>
      <c r="P255" t="s">
        <v>11</v>
      </c>
      <c r="Q255" t="s">
        <v>11</v>
      </c>
      <c r="R255" t="s">
        <v>11</v>
      </c>
      <c r="S255" t="s">
        <v>11</v>
      </c>
      <c r="T255" s="34">
        <v>45300</v>
      </c>
      <c r="U255" s="34">
        <v>8051</v>
      </c>
      <c r="V255" s="34">
        <v>6468</v>
      </c>
      <c r="W255">
        <v>6297</v>
      </c>
      <c r="X255">
        <v>4136</v>
      </c>
      <c r="Y255">
        <v>4068</v>
      </c>
      <c r="Z255">
        <v>4179</v>
      </c>
      <c r="AA255">
        <v>1419</v>
      </c>
      <c r="AB255">
        <v>29450</v>
      </c>
      <c r="AC255">
        <v>18101</v>
      </c>
      <c r="AD255">
        <v>1611</v>
      </c>
      <c r="AE255">
        <v>984</v>
      </c>
      <c r="AF255">
        <v>4605</v>
      </c>
      <c r="AG255">
        <v>4309</v>
      </c>
      <c r="AH255">
        <f t="shared" si="39"/>
        <v>1611</v>
      </c>
      <c r="AI255">
        <f t="shared" si="40"/>
        <v>984</v>
      </c>
      <c r="AJ255">
        <v>12459</v>
      </c>
      <c r="AK255">
        <v>8903</v>
      </c>
      <c r="AL255">
        <v>31561</v>
      </c>
      <c r="AM255">
        <v>20099</v>
      </c>
      <c r="AN255">
        <v>115</v>
      </c>
      <c r="AO255">
        <v>115</v>
      </c>
      <c r="AP255" t="s">
        <v>11</v>
      </c>
      <c r="AQ255" t="s">
        <v>11</v>
      </c>
      <c r="AR255">
        <v>187.9</v>
      </c>
      <c r="AS255" t="s">
        <v>11</v>
      </c>
      <c r="AT255" t="str">
        <f t="shared" si="43"/>
        <v>NoData</v>
      </c>
      <c r="AU255" t="str">
        <f t="shared" si="44"/>
        <v>NoData</v>
      </c>
      <c r="AV255">
        <v>2</v>
      </c>
      <c r="AW255" t="s">
        <v>11</v>
      </c>
      <c r="AX255">
        <v>4</v>
      </c>
      <c r="AY255" t="s">
        <v>11</v>
      </c>
      <c r="AZ255" t="str">
        <f t="shared" si="45"/>
        <v>NoData</v>
      </c>
      <c r="BA255" t="str">
        <f t="shared" si="46"/>
        <v>NoData</v>
      </c>
      <c r="BB255">
        <f t="shared" si="41"/>
        <v>115</v>
      </c>
      <c r="BC255">
        <f t="shared" si="42"/>
        <v>115</v>
      </c>
      <c r="BD255" t="s">
        <v>11</v>
      </c>
      <c r="BE255" t="s">
        <v>11</v>
      </c>
      <c r="BF255" t="s">
        <v>11</v>
      </c>
      <c r="BG255" t="s">
        <v>11</v>
      </c>
      <c r="BH255">
        <v>21.9</v>
      </c>
      <c r="BI255" t="s">
        <v>11</v>
      </c>
      <c r="BJ255">
        <v>0</v>
      </c>
      <c r="BK255" t="s">
        <v>11</v>
      </c>
      <c r="BL255" t="s">
        <v>11</v>
      </c>
      <c r="BM255" t="s">
        <v>11</v>
      </c>
      <c r="BN255">
        <v>30.8</v>
      </c>
      <c r="BO255" t="s">
        <v>11</v>
      </c>
      <c r="BP255" t="str">
        <f t="shared" si="37"/>
        <v>NoData</v>
      </c>
      <c r="BQ255" t="str">
        <f t="shared" si="38"/>
        <v>NoData</v>
      </c>
      <c r="BR255">
        <v>47.5</v>
      </c>
      <c r="BS255" t="s">
        <v>11</v>
      </c>
      <c r="BT255">
        <v>31</v>
      </c>
      <c r="BU255" t="s">
        <v>11</v>
      </c>
    </row>
    <row r="256" spans="1:73" x14ac:dyDescent="0.25">
      <c r="A256" s="5">
        <v>33573</v>
      </c>
      <c r="B256">
        <v>1485</v>
      </c>
      <c r="C256" t="s">
        <v>11</v>
      </c>
      <c r="D256" t="s">
        <v>11</v>
      </c>
      <c r="E256" t="s">
        <v>11</v>
      </c>
      <c r="F256">
        <v>3272</v>
      </c>
      <c r="G256" t="s">
        <v>11</v>
      </c>
      <c r="H256">
        <v>1083</v>
      </c>
      <c r="I256" t="s">
        <v>11</v>
      </c>
      <c r="J256">
        <v>1043</v>
      </c>
      <c r="K256" t="s">
        <v>11</v>
      </c>
      <c r="L256">
        <v>30540</v>
      </c>
      <c r="M256" t="s">
        <v>11</v>
      </c>
      <c r="N256">
        <v>262</v>
      </c>
      <c r="O256" t="s">
        <v>11</v>
      </c>
      <c r="P256" t="s">
        <v>11</v>
      </c>
      <c r="Q256" t="s">
        <v>11</v>
      </c>
      <c r="R256" t="s">
        <v>11</v>
      </c>
      <c r="S256" t="s">
        <v>11</v>
      </c>
      <c r="T256" s="34">
        <v>45920</v>
      </c>
      <c r="U256" s="34">
        <v>10788</v>
      </c>
      <c r="V256" s="34">
        <v>2334</v>
      </c>
      <c r="W256">
        <v>2256</v>
      </c>
      <c r="X256">
        <v>1991</v>
      </c>
      <c r="Y256">
        <v>1953</v>
      </c>
      <c r="Z256">
        <v>2026</v>
      </c>
      <c r="AA256">
        <v>396</v>
      </c>
      <c r="AB256">
        <v>13779</v>
      </c>
      <c r="AC256">
        <v>3877</v>
      </c>
      <c r="AD256">
        <v>1625</v>
      </c>
      <c r="AE256">
        <v>1164</v>
      </c>
      <c r="AF256">
        <v>2543</v>
      </c>
      <c r="AG256">
        <v>2377</v>
      </c>
      <c r="AH256">
        <f t="shared" si="39"/>
        <v>1625</v>
      </c>
      <c r="AI256">
        <f t="shared" si="40"/>
        <v>1164</v>
      </c>
      <c r="AJ256">
        <v>5963</v>
      </c>
      <c r="AK256">
        <v>3351</v>
      </c>
      <c r="AL256">
        <v>13066</v>
      </c>
      <c r="AM256">
        <v>1065</v>
      </c>
      <c r="AN256">
        <v>57</v>
      </c>
      <c r="AO256">
        <v>57</v>
      </c>
      <c r="AP256" t="s">
        <v>11</v>
      </c>
      <c r="AQ256" t="s">
        <v>11</v>
      </c>
      <c r="AR256">
        <v>156.6</v>
      </c>
      <c r="AS256" t="s">
        <v>11</v>
      </c>
      <c r="AT256" t="str">
        <f t="shared" si="43"/>
        <v>NoData</v>
      </c>
      <c r="AU256" t="str">
        <f t="shared" si="44"/>
        <v>NoData</v>
      </c>
      <c r="AV256">
        <v>4</v>
      </c>
      <c r="AW256" t="s">
        <v>11</v>
      </c>
      <c r="AX256">
        <v>4</v>
      </c>
      <c r="AY256" t="s">
        <v>11</v>
      </c>
      <c r="AZ256" t="str">
        <f t="shared" si="45"/>
        <v>NoData</v>
      </c>
      <c r="BA256" t="str">
        <f t="shared" si="46"/>
        <v>NoData</v>
      </c>
      <c r="BB256">
        <f t="shared" si="41"/>
        <v>57</v>
      </c>
      <c r="BC256">
        <f t="shared" si="42"/>
        <v>57</v>
      </c>
      <c r="BD256" t="s">
        <v>11</v>
      </c>
      <c r="BE256" t="s">
        <v>11</v>
      </c>
      <c r="BF256" t="s">
        <v>11</v>
      </c>
      <c r="BG256" t="s">
        <v>11</v>
      </c>
      <c r="BH256">
        <v>23.2</v>
      </c>
      <c r="BI256" t="s">
        <v>11</v>
      </c>
      <c r="BJ256">
        <v>0</v>
      </c>
      <c r="BK256" t="s">
        <v>11</v>
      </c>
      <c r="BL256" t="s">
        <v>11</v>
      </c>
      <c r="BM256" t="s">
        <v>11</v>
      </c>
      <c r="BN256">
        <v>35.9</v>
      </c>
      <c r="BO256" t="s">
        <v>11</v>
      </c>
      <c r="BP256" t="str">
        <f t="shared" si="37"/>
        <v>NoData</v>
      </c>
      <c r="BQ256" t="str">
        <f t="shared" si="38"/>
        <v>NoData</v>
      </c>
      <c r="BR256">
        <v>39.6</v>
      </c>
      <c r="BS256" t="s">
        <v>11</v>
      </c>
      <c r="BT256">
        <v>26</v>
      </c>
      <c r="BU256" t="s">
        <v>11</v>
      </c>
    </row>
    <row r="257" spans="1:73" x14ac:dyDescent="0.25">
      <c r="A257" s="5">
        <v>33604</v>
      </c>
      <c r="B257">
        <v>976</v>
      </c>
      <c r="C257" t="s">
        <v>11</v>
      </c>
      <c r="D257" t="s">
        <v>11</v>
      </c>
      <c r="E257" t="s">
        <v>11</v>
      </c>
      <c r="F257">
        <v>929</v>
      </c>
      <c r="G257" t="s">
        <v>11</v>
      </c>
      <c r="H257">
        <v>28</v>
      </c>
      <c r="I257" t="s">
        <v>11</v>
      </c>
      <c r="J257">
        <v>111</v>
      </c>
      <c r="K257" t="s">
        <v>11</v>
      </c>
      <c r="L257">
        <v>10850</v>
      </c>
      <c r="M257">
        <v>-796</v>
      </c>
      <c r="N257">
        <v>305</v>
      </c>
      <c r="O257" t="s">
        <v>11</v>
      </c>
      <c r="P257" t="s">
        <v>11</v>
      </c>
      <c r="Q257" t="s">
        <v>11</v>
      </c>
      <c r="R257" t="s">
        <v>11</v>
      </c>
      <c r="S257" t="s">
        <v>11</v>
      </c>
      <c r="T257" s="34">
        <v>28590</v>
      </c>
      <c r="U257" s="34">
        <v>589</v>
      </c>
      <c r="V257" s="34">
        <v>2423</v>
      </c>
      <c r="W257">
        <v>2368</v>
      </c>
      <c r="X257">
        <v>2233</v>
      </c>
      <c r="Y257">
        <v>2204</v>
      </c>
      <c r="Z257">
        <v>2541</v>
      </c>
      <c r="AA257">
        <v>1016</v>
      </c>
      <c r="AB257">
        <v>15587</v>
      </c>
      <c r="AC257">
        <v>7152</v>
      </c>
      <c r="AD257">
        <v>1338</v>
      </c>
      <c r="AE257">
        <v>804</v>
      </c>
      <c r="AF257">
        <v>2484</v>
      </c>
      <c r="AG257">
        <v>2274</v>
      </c>
      <c r="AH257">
        <f t="shared" si="39"/>
        <v>1338</v>
      </c>
      <c r="AI257">
        <f t="shared" si="40"/>
        <v>804</v>
      </c>
      <c r="AJ257">
        <v>9797</v>
      </c>
      <c r="AK257">
        <v>6771</v>
      </c>
      <c r="AL257">
        <v>9566</v>
      </c>
      <c r="AM257">
        <v>-2609</v>
      </c>
      <c r="AN257">
        <v>72</v>
      </c>
      <c r="AO257">
        <v>73</v>
      </c>
      <c r="AP257" t="s">
        <v>11</v>
      </c>
      <c r="AQ257" t="s">
        <v>11</v>
      </c>
      <c r="AR257">
        <v>151</v>
      </c>
      <c r="AS257" t="s">
        <v>11</v>
      </c>
      <c r="AT257" t="str">
        <f t="shared" si="43"/>
        <v>NoData</v>
      </c>
      <c r="AU257" t="str">
        <f t="shared" si="44"/>
        <v>NoData</v>
      </c>
      <c r="AV257">
        <v>3</v>
      </c>
      <c r="AW257" t="s">
        <v>11</v>
      </c>
      <c r="AX257">
        <v>4</v>
      </c>
      <c r="AY257" t="s">
        <v>11</v>
      </c>
      <c r="AZ257" t="str">
        <f t="shared" si="45"/>
        <v>NoData</v>
      </c>
      <c r="BA257" t="str">
        <f t="shared" si="46"/>
        <v>NoData</v>
      </c>
      <c r="BB257">
        <f t="shared" si="41"/>
        <v>72</v>
      </c>
      <c r="BC257">
        <f t="shared" si="42"/>
        <v>73</v>
      </c>
      <c r="BD257" t="s">
        <v>11</v>
      </c>
      <c r="BE257" t="s">
        <v>11</v>
      </c>
      <c r="BF257" t="s">
        <v>11</v>
      </c>
      <c r="BG257" t="s">
        <v>11</v>
      </c>
      <c r="BH257">
        <v>8</v>
      </c>
      <c r="BI257" t="s">
        <v>11</v>
      </c>
      <c r="BJ257">
        <v>91</v>
      </c>
      <c r="BK257" t="s">
        <v>11</v>
      </c>
      <c r="BL257" t="s">
        <v>11</v>
      </c>
      <c r="BM257" t="s">
        <v>11</v>
      </c>
      <c r="BN257">
        <v>0</v>
      </c>
      <c r="BO257" t="s">
        <v>11</v>
      </c>
      <c r="BP257" t="str">
        <f t="shared" si="37"/>
        <v>NoData</v>
      </c>
      <c r="BQ257" t="str">
        <f t="shared" si="38"/>
        <v>NoData</v>
      </c>
      <c r="BR257">
        <v>51</v>
      </c>
      <c r="BS257" t="s">
        <v>11</v>
      </c>
      <c r="BT257">
        <v>23</v>
      </c>
      <c r="BU257" t="s">
        <v>11</v>
      </c>
    </row>
    <row r="258" spans="1:73" x14ac:dyDescent="0.25">
      <c r="A258" s="5">
        <v>33635</v>
      </c>
      <c r="B258">
        <v>989</v>
      </c>
      <c r="C258" t="s">
        <v>11</v>
      </c>
      <c r="D258" t="s">
        <v>11</v>
      </c>
      <c r="E258" t="s">
        <v>11</v>
      </c>
      <c r="F258">
        <v>647</v>
      </c>
      <c r="G258" t="s">
        <v>11</v>
      </c>
      <c r="H258">
        <v>912</v>
      </c>
      <c r="I258" t="s">
        <v>11</v>
      </c>
      <c r="J258">
        <v>636</v>
      </c>
      <c r="K258" t="s">
        <v>11</v>
      </c>
      <c r="L258">
        <v>28310</v>
      </c>
      <c r="M258">
        <v>12855</v>
      </c>
      <c r="N258">
        <v>259</v>
      </c>
      <c r="O258" t="s">
        <v>11</v>
      </c>
      <c r="P258" t="s">
        <v>11</v>
      </c>
      <c r="Q258" t="s">
        <v>11</v>
      </c>
      <c r="R258" t="s">
        <v>11</v>
      </c>
      <c r="S258" t="s">
        <v>11</v>
      </c>
      <c r="T258" s="34">
        <v>44910</v>
      </c>
      <c r="U258" s="34">
        <v>14219</v>
      </c>
      <c r="V258" s="34">
        <v>2553</v>
      </c>
      <c r="W258">
        <v>2485</v>
      </c>
      <c r="X258">
        <v>2756</v>
      </c>
      <c r="Y258">
        <v>2714</v>
      </c>
      <c r="Z258">
        <v>2946</v>
      </c>
      <c r="AA258">
        <v>1314</v>
      </c>
      <c r="AB258">
        <v>17612</v>
      </c>
      <c r="AC258">
        <v>10130</v>
      </c>
      <c r="AD258">
        <v>1029</v>
      </c>
      <c r="AE258">
        <v>523</v>
      </c>
      <c r="AF258">
        <v>3453</v>
      </c>
      <c r="AG258">
        <v>3317</v>
      </c>
      <c r="AH258">
        <f t="shared" si="39"/>
        <v>1029</v>
      </c>
      <c r="AI258">
        <f t="shared" si="40"/>
        <v>523</v>
      </c>
      <c r="AJ258">
        <v>8708</v>
      </c>
      <c r="AK258">
        <v>5841</v>
      </c>
      <c r="AL258">
        <v>23008</v>
      </c>
      <c r="AM258">
        <v>11911</v>
      </c>
      <c r="AN258">
        <v>76</v>
      </c>
      <c r="AO258">
        <v>75</v>
      </c>
      <c r="AP258" t="s">
        <v>11</v>
      </c>
      <c r="AQ258" t="s">
        <v>11</v>
      </c>
      <c r="AR258">
        <v>121</v>
      </c>
      <c r="AS258" t="s">
        <v>11</v>
      </c>
      <c r="AT258" t="str">
        <f t="shared" si="43"/>
        <v>NoData</v>
      </c>
      <c r="AU258" t="str">
        <f t="shared" si="44"/>
        <v>NoData</v>
      </c>
      <c r="AV258">
        <v>0</v>
      </c>
      <c r="AW258" t="s">
        <v>11</v>
      </c>
      <c r="AX258">
        <v>4</v>
      </c>
      <c r="AY258" t="s">
        <v>11</v>
      </c>
      <c r="AZ258" t="str">
        <f t="shared" si="45"/>
        <v>NoData</v>
      </c>
      <c r="BA258" t="str">
        <f t="shared" si="46"/>
        <v>NoData</v>
      </c>
      <c r="BB258">
        <f t="shared" si="41"/>
        <v>76</v>
      </c>
      <c r="BC258">
        <f t="shared" si="42"/>
        <v>75</v>
      </c>
      <c r="BD258" t="s">
        <v>11</v>
      </c>
      <c r="BE258" t="s">
        <v>11</v>
      </c>
      <c r="BF258" t="s">
        <v>11</v>
      </c>
      <c r="BG258" t="s">
        <v>11</v>
      </c>
      <c r="BH258">
        <v>17</v>
      </c>
      <c r="BI258" t="s">
        <v>11</v>
      </c>
      <c r="BJ258">
        <v>59</v>
      </c>
      <c r="BK258" t="s">
        <v>11</v>
      </c>
      <c r="BL258" t="s">
        <v>11</v>
      </c>
      <c r="BM258" t="s">
        <v>11</v>
      </c>
      <c r="BN258">
        <v>0</v>
      </c>
      <c r="BO258" t="s">
        <v>11</v>
      </c>
      <c r="BP258" t="str">
        <f t="shared" si="37"/>
        <v>NoData</v>
      </c>
      <c r="BQ258" t="str">
        <f t="shared" si="38"/>
        <v>NoData</v>
      </c>
      <c r="BR258">
        <v>41</v>
      </c>
      <c r="BS258" t="s">
        <v>11</v>
      </c>
      <c r="BT258">
        <v>18</v>
      </c>
      <c r="BU258" t="s">
        <v>11</v>
      </c>
    </row>
    <row r="259" spans="1:73" x14ac:dyDescent="0.25">
      <c r="A259" s="5">
        <v>33664</v>
      </c>
      <c r="B259">
        <v>1780</v>
      </c>
      <c r="C259" t="s">
        <v>11</v>
      </c>
      <c r="D259" t="s">
        <v>11</v>
      </c>
      <c r="E259" t="s">
        <v>11</v>
      </c>
      <c r="F259">
        <v>3767</v>
      </c>
      <c r="G259" t="s">
        <v>11</v>
      </c>
      <c r="H259">
        <v>374</v>
      </c>
      <c r="I259" t="s">
        <v>11</v>
      </c>
      <c r="J259">
        <v>2501</v>
      </c>
      <c r="K259" t="s">
        <v>11</v>
      </c>
      <c r="L259">
        <v>38910</v>
      </c>
      <c r="M259">
        <v>21033</v>
      </c>
      <c r="N259">
        <v>388</v>
      </c>
      <c r="O259" t="s">
        <v>11</v>
      </c>
      <c r="P259" t="s">
        <v>11</v>
      </c>
      <c r="Q259" t="s">
        <v>11</v>
      </c>
      <c r="R259" t="s">
        <v>11</v>
      </c>
      <c r="S259" t="s">
        <v>11</v>
      </c>
      <c r="T259" s="34">
        <v>52710</v>
      </c>
      <c r="U259" s="34">
        <v>17665</v>
      </c>
      <c r="V259" s="34">
        <v>2997</v>
      </c>
      <c r="W259">
        <v>2939</v>
      </c>
      <c r="X259">
        <v>3434</v>
      </c>
      <c r="Y259">
        <v>3392</v>
      </c>
      <c r="Z259">
        <v>3466</v>
      </c>
      <c r="AA259">
        <v>1635</v>
      </c>
      <c r="AB259">
        <v>21423</v>
      </c>
      <c r="AC259">
        <v>13372</v>
      </c>
      <c r="AD259">
        <v>1719</v>
      </c>
      <c r="AE259">
        <v>1180</v>
      </c>
      <c r="AF259">
        <v>3581</v>
      </c>
      <c r="AG259">
        <v>3359</v>
      </c>
      <c r="AH259">
        <f t="shared" si="39"/>
        <v>1719</v>
      </c>
      <c r="AI259">
        <f t="shared" si="40"/>
        <v>1180</v>
      </c>
      <c r="AJ259">
        <v>12086</v>
      </c>
      <c r="AK259">
        <v>9031</v>
      </c>
      <c r="AL259">
        <v>22963</v>
      </c>
      <c r="AM259">
        <v>12309</v>
      </c>
      <c r="AN259">
        <v>9</v>
      </c>
      <c r="AO259">
        <v>9</v>
      </c>
      <c r="AP259" t="s">
        <v>11</v>
      </c>
      <c r="AQ259" t="s">
        <v>11</v>
      </c>
      <c r="AR259">
        <v>207</v>
      </c>
      <c r="AS259" t="s">
        <v>11</v>
      </c>
      <c r="AT259" t="str">
        <f t="shared" si="43"/>
        <v>NoData</v>
      </c>
      <c r="AU259" t="str">
        <f t="shared" si="44"/>
        <v>NoData</v>
      </c>
      <c r="AV259">
        <v>3</v>
      </c>
      <c r="AW259" t="s">
        <v>11</v>
      </c>
      <c r="AX259">
        <v>4</v>
      </c>
      <c r="AY259" t="s">
        <v>11</v>
      </c>
      <c r="AZ259" t="str">
        <f t="shared" si="45"/>
        <v>NoData</v>
      </c>
      <c r="BA259" t="str">
        <f t="shared" si="46"/>
        <v>NoData</v>
      </c>
      <c r="BB259">
        <f t="shared" si="41"/>
        <v>9</v>
      </c>
      <c r="BC259">
        <f t="shared" si="42"/>
        <v>9</v>
      </c>
      <c r="BD259" t="s">
        <v>11</v>
      </c>
      <c r="BE259" t="s">
        <v>11</v>
      </c>
      <c r="BF259" t="s">
        <v>11</v>
      </c>
      <c r="BG259" t="s">
        <v>11</v>
      </c>
      <c r="BH259">
        <v>13</v>
      </c>
      <c r="BI259" t="s">
        <v>11</v>
      </c>
      <c r="BJ259">
        <v>63</v>
      </c>
      <c r="BK259" t="s">
        <v>11</v>
      </c>
      <c r="BL259" t="s">
        <v>11</v>
      </c>
      <c r="BM259" t="s">
        <v>11</v>
      </c>
      <c r="BN259">
        <v>24</v>
      </c>
      <c r="BO259" t="s">
        <v>11</v>
      </c>
      <c r="BP259" t="str">
        <f t="shared" si="37"/>
        <v>NoData</v>
      </c>
      <c r="BQ259" t="str">
        <f t="shared" si="38"/>
        <v>NoData</v>
      </c>
      <c r="BR259">
        <v>69</v>
      </c>
      <c r="BS259" t="s">
        <v>11</v>
      </c>
      <c r="BT259">
        <v>31</v>
      </c>
      <c r="BU259" t="s">
        <v>11</v>
      </c>
    </row>
    <row r="260" spans="1:73" x14ac:dyDescent="0.25">
      <c r="A260" s="5">
        <v>33695</v>
      </c>
      <c r="B260">
        <v>3718</v>
      </c>
      <c r="C260" t="s">
        <v>11</v>
      </c>
      <c r="D260" t="s">
        <v>11</v>
      </c>
      <c r="E260" t="s">
        <v>11</v>
      </c>
      <c r="F260">
        <v>3630</v>
      </c>
      <c r="G260" t="s">
        <v>11</v>
      </c>
      <c r="H260">
        <v>941</v>
      </c>
      <c r="I260" t="s">
        <v>11</v>
      </c>
      <c r="J260">
        <v>1481</v>
      </c>
      <c r="K260" t="s">
        <v>11</v>
      </c>
      <c r="L260">
        <v>58870</v>
      </c>
      <c r="M260">
        <v>41423</v>
      </c>
      <c r="N260">
        <v>1162</v>
      </c>
      <c r="O260" t="s">
        <v>11</v>
      </c>
      <c r="P260" t="s">
        <v>11</v>
      </c>
      <c r="Q260" t="s">
        <v>11</v>
      </c>
      <c r="R260" t="s">
        <v>11</v>
      </c>
      <c r="S260" t="s">
        <v>11</v>
      </c>
      <c r="T260" s="34">
        <v>82900</v>
      </c>
      <c r="U260" s="34">
        <v>49421</v>
      </c>
      <c r="V260" s="34">
        <v>4952</v>
      </c>
      <c r="W260">
        <v>4842</v>
      </c>
      <c r="X260">
        <v>5715</v>
      </c>
      <c r="Y260">
        <v>5639</v>
      </c>
      <c r="Z260">
        <v>4551</v>
      </c>
      <c r="AA260">
        <v>2417</v>
      </c>
      <c r="AB260">
        <v>37544</v>
      </c>
      <c r="AC260">
        <v>29016</v>
      </c>
      <c r="AD260">
        <v>2816</v>
      </c>
      <c r="AE260">
        <v>2153</v>
      </c>
      <c r="AF260">
        <v>6567</v>
      </c>
      <c r="AG260">
        <v>6216</v>
      </c>
      <c r="AH260">
        <f t="shared" si="39"/>
        <v>2816</v>
      </c>
      <c r="AI260">
        <f t="shared" si="40"/>
        <v>2153</v>
      </c>
      <c r="AJ260">
        <v>19441</v>
      </c>
      <c r="AK260">
        <v>15687</v>
      </c>
      <c r="AL260">
        <v>40927</v>
      </c>
      <c r="AM260">
        <v>32337</v>
      </c>
      <c r="AN260">
        <v>254</v>
      </c>
      <c r="AO260">
        <v>251</v>
      </c>
      <c r="AP260" t="s">
        <v>11</v>
      </c>
      <c r="AQ260" t="s">
        <v>11</v>
      </c>
      <c r="AR260">
        <v>224</v>
      </c>
      <c r="AS260" t="s">
        <v>11</v>
      </c>
      <c r="AT260" t="str">
        <f t="shared" si="43"/>
        <v>NoData</v>
      </c>
      <c r="AU260" t="str">
        <f t="shared" si="44"/>
        <v>NoData</v>
      </c>
      <c r="AV260">
        <v>2</v>
      </c>
      <c r="AW260" t="s">
        <v>11</v>
      </c>
      <c r="AX260">
        <v>4</v>
      </c>
      <c r="AY260" t="s">
        <v>11</v>
      </c>
      <c r="AZ260" t="str">
        <f t="shared" si="45"/>
        <v>NoData</v>
      </c>
      <c r="BA260" t="str">
        <f t="shared" si="46"/>
        <v>NoData</v>
      </c>
      <c r="BB260">
        <f t="shared" si="41"/>
        <v>254</v>
      </c>
      <c r="BC260">
        <f t="shared" si="42"/>
        <v>251</v>
      </c>
      <c r="BD260" t="s">
        <v>11</v>
      </c>
      <c r="BE260" t="s">
        <v>11</v>
      </c>
      <c r="BF260" t="s">
        <v>11</v>
      </c>
      <c r="BG260" t="s">
        <v>11</v>
      </c>
      <c r="BH260">
        <v>26</v>
      </c>
      <c r="BI260" t="s">
        <v>11</v>
      </c>
      <c r="BJ260">
        <v>69</v>
      </c>
      <c r="BK260" t="s">
        <v>11</v>
      </c>
      <c r="BL260" t="s">
        <v>11</v>
      </c>
      <c r="BM260" t="s">
        <v>11</v>
      </c>
      <c r="BN260">
        <v>14</v>
      </c>
      <c r="BO260" t="s">
        <v>11</v>
      </c>
      <c r="BP260" t="str">
        <f t="shared" si="37"/>
        <v>NoData</v>
      </c>
      <c r="BQ260" t="str">
        <f t="shared" si="38"/>
        <v>NoData</v>
      </c>
      <c r="BR260">
        <v>75</v>
      </c>
      <c r="BS260" t="s">
        <v>11</v>
      </c>
      <c r="BT260">
        <v>34</v>
      </c>
      <c r="BU260" t="s">
        <v>11</v>
      </c>
    </row>
    <row r="261" spans="1:73" x14ac:dyDescent="0.25">
      <c r="A261" s="5">
        <v>33725</v>
      </c>
      <c r="B261">
        <v>3471</v>
      </c>
      <c r="C261" t="s">
        <v>11</v>
      </c>
      <c r="D261" t="s">
        <v>11</v>
      </c>
      <c r="E261" t="s">
        <v>11</v>
      </c>
      <c r="F261">
        <v>4413</v>
      </c>
      <c r="G261" t="s">
        <v>11</v>
      </c>
      <c r="H261">
        <v>3612</v>
      </c>
      <c r="I261" t="s">
        <v>11</v>
      </c>
      <c r="J261">
        <v>2467</v>
      </c>
      <c r="K261" t="s">
        <v>11</v>
      </c>
      <c r="L261">
        <v>68530</v>
      </c>
      <c r="M261">
        <v>48184</v>
      </c>
      <c r="N261">
        <v>1215</v>
      </c>
      <c r="O261" t="s">
        <v>11</v>
      </c>
      <c r="P261" t="s">
        <v>11</v>
      </c>
      <c r="Q261" t="s">
        <v>11</v>
      </c>
      <c r="R261" t="s">
        <v>11</v>
      </c>
      <c r="S261" t="s">
        <v>11</v>
      </c>
      <c r="T261" s="34">
        <v>100600</v>
      </c>
      <c r="U261" s="34">
        <v>59116</v>
      </c>
      <c r="V261" s="34">
        <v>3791</v>
      </c>
      <c r="W261">
        <v>3695</v>
      </c>
      <c r="X261">
        <v>5227</v>
      </c>
      <c r="Y261">
        <v>5144</v>
      </c>
      <c r="Z261">
        <v>4911</v>
      </c>
      <c r="AA261">
        <v>2354</v>
      </c>
      <c r="AB261">
        <v>30217</v>
      </c>
      <c r="AC261">
        <v>20820</v>
      </c>
      <c r="AD261">
        <v>3281</v>
      </c>
      <c r="AE261">
        <v>3042</v>
      </c>
      <c r="AF261">
        <v>5224</v>
      </c>
      <c r="AG261">
        <v>4910</v>
      </c>
      <c r="AH261">
        <f t="shared" si="39"/>
        <v>3281</v>
      </c>
      <c r="AI261">
        <f t="shared" si="40"/>
        <v>3042</v>
      </c>
      <c r="AJ261">
        <v>26653</v>
      </c>
      <c r="AK261">
        <v>25301</v>
      </c>
      <c r="AL261">
        <v>39895</v>
      </c>
      <c r="AM261">
        <v>28205</v>
      </c>
      <c r="AN261">
        <v>235</v>
      </c>
      <c r="AO261">
        <v>232</v>
      </c>
      <c r="AP261" t="s">
        <v>11</v>
      </c>
      <c r="AQ261" t="s">
        <v>11</v>
      </c>
      <c r="AR261">
        <v>273</v>
      </c>
      <c r="AS261" t="s">
        <v>11</v>
      </c>
      <c r="AT261" t="str">
        <f t="shared" si="43"/>
        <v>NoData</v>
      </c>
      <c r="AU261" t="str">
        <f t="shared" si="44"/>
        <v>NoData</v>
      </c>
      <c r="AV261">
        <v>3</v>
      </c>
      <c r="AW261" t="s">
        <v>11</v>
      </c>
      <c r="AX261">
        <v>4</v>
      </c>
      <c r="AY261" t="s">
        <v>11</v>
      </c>
      <c r="AZ261" t="str">
        <f t="shared" si="45"/>
        <v>NoData</v>
      </c>
      <c r="BA261" t="str">
        <f t="shared" si="46"/>
        <v>NoData</v>
      </c>
      <c r="BB261">
        <f t="shared" si="41"/>
        <v>235</v>
      </c>
      <c r="BC261">
        <f t="shared" si="42"/>
        <v>232</v>
      </c>
      <c r="BD261" t="s">
        <v>11</v>
      </c>
      <c r="BE261" t="s">
        <v>11</v>
      </c>
      <c r="BF261" t="s">
        <v>11</v>
      </c>
      <c r="BG261" t="s">
        <v>11</v>
      </c>
      <c r="BH261">
        <v>38</v>
      </c>
      <c r="BI261" t="s">
        <v>11</v>
      </c>
      <c r="BJ261">
        <v>122</v>
      </c>
      <c r="BK261" t="s">
        <v>11</v>
      </c>
      <c r="BL261" t="s">
        <v>11</v>
      </c>
      <c r="BM261" t="s">
        <v>11</v>
      </c>
      <c r="BN261">
        <v>41</v>
      </c>
      <c r="BO261" t="s">
        <v>11</v>
      </c>
      <c r="BP261" t="str">
        <f t="shared" ref="BP261:BP324" si="47">BF261</f>
        <v>NoData</v>
      </c>
      <c r="BQ261" t="str">
        <f t="shared" ref="BQ261:BQ324" si="48">BG261</f>
        <v>NoData</v>
      </c>
      <c r="BR261">
        <v>92</v>
      </c>
      <c r="BS261" t="s">
        <v>11</v>
      </c>
      <c r="BT261">
        <v>41</v>
      </c>
      <c r="BU261" t="s">
        <v>11</v>
      </c>
    </row>
    <row r="262" spans="1:73" x14ac:dyDescent="0.25">
      <c r="A262" s="5">
        <v>33756</v>
      </c>
      <c r="B262">
        <v>4888</v>
      </c>
      <c r="C262" t="s">
        <v>11</v>
      </c>
      <c r="D262" t="s">
        <v>11</v>
      </c>
      <c r="E262" t="s">
        <v>11</v>
      </c>
      <c r="F262">
        <v>8847</v>
      </c>
      <c r="G262" t="s">
        <v>11</v>
      </c>
      <c r="H262">
        <v>2998</v>
      </c>
      <c r="I262" t="s">
        <v>11</v>
      </c>
      <c r="J262">
        <v>3273</v>
      </c>
      <c r="K262" t="s">
        <v>11</v>
      </c>
      <c r="L262">
        <v>85420</v>
      </c>
      <c r="M262">
        <v>66219</v>
      </c>
      <c r="N262">
        <v>738</v>
      </c>
      <c r="O262" t="s">
        <v>11</v>
      </c>
      <c r="P262" t="s">
        <v>11</v>
      </c>
      <c r="Q262" t="s">
        <v>11</v>
      </c>
      <c r="R262" t="s">
        <v>11</v>
      </c>
      <c r="S262" t="s">
        <v>11</v>
      </c>
      <c r="T262" s="34">
        <v>108600</v>
      </c>
      <c r="U262" s="34">
        <v>67016</v>
      </c>
      <c r="V262" s="34">
        <v>3476</v>
      </c>
      <c r="W262">
        <v>3411</v>
      </c>
      <c r="X262">
        <v>5337</v>
      </c>
      <c r="Y262">
        <v>5276</v>
      </c>
      <c r="Z262">
        <v>4635</v>
      </c>
      <c r="AA262">
        <v>2267</v>
      </c>
      <c r="AB262">
        <v>25349</v>
      </c>
      <c r="AC262">
        <v>17971</v>
      </c>
      <c r="AD262">
        <v>3505</v>
      </c>
      <c r="AE262">
        <v>3073</v>
      </c>
      <c r="AF262">
        <v>3235</v>
      </c>
      <c r="AG262">
        <v>3264</v>
      </c>
      <c r="AH262">
        <f t="shared" ref="AH262:AH325" si="49">AD262</f>
        <v>3505</v>
      </c>
      <c r="AI262">
        <f t="shared" ref="AI262:AI325" si="50">AE262</f>
        <v>3073</v>
      </c>
      <c r="AJ262">
        <v>28775</v>
      </c>
      <c r="AK262">
        <v>26330</v>
      </c>
      <c r="AL262">
        <v>46316</v>
      </c>
      <c r="AM262">
        <v>35296</v>
      </c>
      <c r="AN262">
        <v>145</v>
      </c>
      <c r="AO262">
        <v>145</v>
      </c>
      <c r="AP262" t="s">
        <v>11</v>
      </c>
      <c r="AQ262" t="s">
        <v>11</v>
      </c>
      <c r="AR262">
        <v>332</v>
      </c>
      <c r="AS262" t="s">
        <v>11</v>
      </c>
      <c r="AT262" t="str">
        <f t="shared" si="43"/>
        <v>NoData</v>
      </c>
      <c r="AU262" t="str">
        <f t="shared" si="44"/>
        <v>NoData</v>
      </c>
      <c r="AV262">
        <v>0</v>
      </c>
      <c r="AW262" t="s">
        <v>11</v>
      </c>
      <c r="AX262">
        <v>4</v>
      </c>
      <c r="AY262" t="s">
        <v>11</v>
      </c>
      <c r="AZ262" t="str">
        <f t="shared" si="45"/>
        <v>NoData</v>
      </c>
      <c r="BA262" t="str">
        <f t="shared" si="46"/>
        <v>NoData</v>
      </c>
      <c r="BB262">
        <f t="shared" ref="BB262:BB325" si="51">AN262</f>
        <v>145</v>
      </c>
      <c r="BC262">
        <f t="shared" ref="BC262:BC325" si="52">AO262</f>
        <v>145</v>
      </c>
      <c r="BD262" t="s">
        <v>11</v>
      </c>
      <c r="BE262" t="s">
        <v>11</v>
      </c>
      <c r="BF262" t="s">
        <v>11</v>
      </c>
      <c r="BG262" t="s">
        <v>11</v>
      </c>
      <c r="BH262">
        <v>21</v>
      </c>
      <c r="BI262" t="s">
        <v>11</v>
      </c>
      <c r="BJ262">
        <v>66</v>
      </c>
      <c r="BK262" t="s">
        <v>11</v>
      </c>
      <c r="BL262" t="s">
        <v>11</v>
      </c>
      <c r="BM262" t="s">
        <v>11</v>
      </c>
      <c r="BN262">
        <v>69</v>
      </c>
      <c r="BO262" t="s">
        <v>11</v>
      </c>
      <c r="BP262" t="str">
        <f t="shared" si="47"/>
        <v>NoData</v>
      </c>
      <c r="BQ262" t="str">
        <f t="shared" si="48"/>
        <v>NoData</v>
      </c>
      <c r="BR262">
        <v>111</v>
      </c>
      <c r="BS262" t="s">
        <v>11</v>
      </c>
      <c r="BT262">
        <v>50</v>
      </c>
      <c r="BU262" t="s">
        <v>11</v>
      </c>
    </row>
    <row r="263" spans="1:73" x14ac:dyDescent="0.25">
      <c r="A263" s="5">
        <v>33786</v>
      </c>
      <c r="B263">
        <v>5840</v>
      </c>
      <c r="C263" t="s">
        <v>11</v>
      </c>
      <c r="D263" t="s">
        <v>11</v>
      </c>
      <c r="E263" t="s">
        <v>11</v>
      </c>
      <c r="F263">
        <v>8493</v>
      </c>
      <c r="G263" t="s">
        <v>11</v>
      </c>
      <c r="H263">
        <v>3100</v>
      </c>
      <c r="I263" t="s">
        <v>11</v>
      </c>
      <c r="J263">
        <v>3401</v>
      </c>
      <c r="K263" t="s">
        <v>11</v>
      </c>
      <c r="L263">
        <v>96280</v>
      </c>
      <c r="M263">
        <v>72947</v>
      </c>
      <c r="N263">
        <v>1292</v>
      </c>
      <c r="O263" t="s">
        <v>11</v>
      </c>
      <c r="P263" t="s">
        <v>11</v>
      </c>
      <c r="Q263" t="s">
        <v>11</v>
      </c>
      <c r="R263" t="s">
        <v>11</v>
      </c>
      <c r="S263" t="s">
        <v>11</v>
      </c>
      <c r="T263" s="34">
        <v>102200</v>
      </c>
      <c r="U263" s="34">
        <v>60135</v>
      </c>
      <c r="V263" s="34">
        <v>3293</v>
      </c>
      <c r="W263">
        <v>3250</v>
      </c>
      <c r="X263">
        <v>5115</v>
      </c>
      <c r="Y263">
        <v>5073</v>
      </c>
      <c r="Z263">
        <v>3238</v>
      </c>
      <c r="AA263">
        <v>1397</v>
      </c>
      <c r="AB263">
        <v>24827</v>
      </c>
      <c r="AC263">
        <v>17269</v>
      </c>
      <c r="AD263">
        <v>4190</v>
      </c>
      <c r="AE263">
        <v>3313</v>
      </c>
      <c r="AF263">
        <v>3944</v>
      </c>
      <c r="AG263">
        <v>3575</v>
      </c>
      <c r="AH263">
        <f t="shared" si="49"/>
        <v>4190</v>
      </c>
      <c r="AI263">
        <f t="shared" si="50"/>
        <v>3313</v>
      </c>
      <c r="AJ263">
        <v>32016</v>
      </c>
      <c r="AK263">
        <v>27048</v>
      </c>
      <c r="AL263">
        <v>50034</v>
      </c>
      <c r="AM263">
        <v>39670</v>
      </c>
      <c r="AN263">
        <v>167</v>
      </c>
      <c r="AO263">
        <v>168</v>
      </c>
      <c r="AP263" t="s">
        <v>11</v>
      </c>
      <c r="AQ263" t="s">
        <v>11</v>
      </c>
      <c r="AR263">
        <v>362</v>
      </c>
      <c r="AS263" t="s">
        <v>11</v>
      </c>
      <c r="AT263" t="str">
        <f t="shared" si="43"/>
        <v>NoData</v>
      </c>
      <c r="AU263" t="str">
        <f t="shared" si="44"/>
        <v>NoData</v>
      </c>
      <c r="AV263">
        <v>0</v>
      </c>
      <c r="AW263" t="s">
        <v>11</v>
      </c>
      <c r="AX263">
        <v>4</v>
      </c>
      <c r="AY263" t="s">
        <v>11</v>
      </c>
      <c r="AZ263" t="str">
        <f t="shared" si="45"/>
        <v>NoData</v>
      </c>
      <c r="BA263" t="str">
        <f t="shared" si="46"/>
        <v>NoData</v>
      </c>
      <c r="BB263">
        <f t="shared" si="51"/>
        <v>167</v>
      </c>
      <c r="BC263">
        <f t="shared" si="52"/>
        <v>168</v>
      </c>
      <c r="BD263" t="s">
        <v>11</v>
      </c>
      <c r="BE263" t="s">
        <v>11</v>
      </c>
      <c r="BF263" t="s">
        <v>11</v>
      </c>
      <c r="BG263" t="s">
        <v>11</v>
      </c>
      <c r="BH263">
        <v>5</v>
      </c>
      <c r="BI263" t="s">
        <v>11</v>
      </c>
      <c r="BJ263">
        <v>130</v>
      </c>
      <c r="BK263" t="s">
        <v>11</v>
      </c>
      <c r="BL263" t="s">
        <v>11</v>
      </c>
      <c r="BM263" t="s">
        <v>11</v>
      </c>
      <c r="BN263">
        <v>66</v>
      </c>
      <c r="BO263" t="s">
        <v>11</v>
      </c>
      <c r="BP263" t="str">
        <f t="shared" si="47"/>
        <v>NoData</v>
      </c>
      <c r="BQ263" t="str">
        <f t="shared" si="48"/>
        <v>NoData</v>
      </c>
      <c r="BR263">
        <v>122</v>
      </c>
      <c r="BS263" t="s">
        <v>11</v>
      </c>
      <c r="BT263">
        <v>54</v>
      </c>
      <c r="BU263" t="s">
        <v>11</v>
      </c>
    </row>
    <row r="264" spans="1:73" x14ac:dyDescent="0.25">
      <c r="A264" s="5">
        <v>33817</v>
      </c>
      <c r="B264">
        <v>5585</v>
      </c>
      <c r="C264" t="s">
        <v>11</v>
      </c>
      <c r="D264" t="s">
        <v>11</v>
      </c>
      <c r="E264" t="s">
        <v>11</v>
      </c>
      <c r="F264">
        <v>6687</v>
      </c>
      <c r="G264" t="s">
        <v>11</v>
      </c>
      <c r="H264">
        <v>2623</v>
      </c>
      <c r="I264" t="s">
        <v>11</v>
      </c>
      <c r="J264">
        <v>2831</v>
      </c>
      <c r="K264" t="s">
        <v>11</v>
      </c>
      <c r="L264">
        <v>68310</v>
      </c>
      <c r="M264">
        <v>43131</v>
      </c>
      <c r="N264">
        <v>1433</v>
      </c>
      <c r="O264" t="s">
        <v>11</v>
      </c>
      <c r="P264" t="s">
        <v>11</v>
      </c>
      <c r="Q264" t="s">
        <v>11</v>
      </c>
      <c r="R264" t="s">
        <v>11</v>
      </c>
      <c r="S264" t="s">
        <v>11</v>
      </c>
      <c r="T264" s="34">
        <v>62180</v>
      </c>
      <c r="U264" s="34">
        <v>21567</v>
      </c>
      <c r="V264" s="34">
        <v>2404</v>
      </c>
      <c r="W264">
        <v>2347</v>
      </c>
      <c r="X264">
        <v>3846</v>
      </c>
      <c r="Y264">
        <v>3795</v>
      </c>
      <c r="Z264">
        <v>2232</v>
      </c>
      <c r="AA264">
        <v>966</v>
      </c>
      <c r="AB264">
        <v>21633</v>
      </c>
      <c r="AC264">
        <v>13440</v>
      </c>
      <c r="AD264">
        <v>3712</v>
      </c>
      <c r="AE264">
        <v>2998</v>
      </c>
      <c r="AF264">
        <v>4161</v>
      </c>
      <c r="AG264">
        <v>3842</v>
      </c>
      <c r="AH264">
        <f t="shared" si="49"/>
        <v>3712</v>
      </c>
      <c r="AI264">
        <f t="shared" si="50"/>
        <v>2998</v>
      </c>
      <c r="AJ264">
        <v>28736</v>
      </c>
      <c r="AK264">
        <v>24687</v>
      </c>
      <c r="AL264">
        <v>35650</v>
      </c>
      <c r="AM264">
        <v>24378</v>
      </c>
      <c r="AN264">
        <v>0</v>
      </c>
      <c r="AO264">
        <v>0</v>
      </c>
      <c r="AP264" t="s">
        <v>11</v>
      </c>
      <c r="AQ264" t="s">
        <v>11</v>
      </c>
      <c r="AR264">
        <v>348</v>
      </c>
      <c r="AS264" t="s">
        <v>11</v>
      </c>
      <c r="AT264" t="str">
        <f t="shared" si="43"/>
        <v>NoData</v>
      </c>
      <c r="AU264" t="str">
        <f t="shared" si="44"/>
        <v>NoData</v>
      </c>
      <c r="AV264">
        <v>0</v>
      </c>
      <c r="AW264" t="s">
        <v>11</v>
      </c>
      <c r="AX264">
        <v>4</v>
      </c>
      <c r="AY264" t="s">
        <v>11</v>
      </c>
      <c r="AZ264" t="str">
        <f t="shared" si="45"/>
        <v>NoData</v>
      </c>
      <c r="BA264" t="str">
        <f t="shared" si="46"/>
        <v>NoData</v>
      </c>
      <c r="BB264">
        <f t="shared" si="51"/>
        <v>0</v>
      </c>
      <c r="BC264">
        <f t="shared" si="52"/>
        <v>0</v>
      </c>
      <c r="BD264" t="s">
        <v>11</v>
      </c>
      <c r="BE264" t="s">
        <v>11</v>
      </c>
      <c r="BF264" t="s">
        <v>11</v>
      </c>
      <c r="BG264" t="s">
        <v>11</v>
      </c>
      <c r="BH264">
        <v>0</v>
      </c>
      <c r="BI264" t="s">
        <v>11</v>
      </c>
      <c r="BJ264">
        <v>75</v>
      </c>
      <c r="BK264" t="s">
        <v>11</v>
      </c>
      <c r="BL264" t="s">
        <v>11</v>
      </c>
      <c r="BM264" t="s">
        <v>11</v>
      </c>
      <c r="BN264">
        <v>80</v>
      </c>
      <c r="BO264" t="s">
        <v>11</v>
      </c>
      <c r="BP264" t="str">
        <f t="shared" si="47"/>
        <v>NoData</v>
      </c>
      <c r="BQ264" t="str">
        <f t="shared" si="48"/>
        <v>NoData</v>
      </c>
      <c r="BR264">
        <v>117</v>
      </c>
      <c r="BS264" t="s">
        <v>11</v>
      </c>
      <c r="BT264">
        <v>52</v>
      </c>
      <c r="BU264" t="s">
        <v>11</v>
      </c>
    </row>
    <row r="265" spans="1:73" x14ac:dyDescent="0.25">
      <c r="A265" s="5">
        <v>33848</v>
      </c>
      <c r="B265">
        <v>3151</v>
      </c>
      <c r="C265" t="s">
        <v>11</v>
      </c>
      <c r="D265" t="s">
        <v>11</v>
      </c>
      <c r="E265" t="s">
        <v>11</v>
      </c>
      <c r="F265">
        <v>2467</v>
      </c>
      <c r="G265" t="s">
        <v>11</v>
      </c>
      <c r="H265">
        <v>2017</v>
      </c>
      <c r="I265" t="s">
        <v>11</v>
      </c>
      <c r="J265">
        <v>1209</v>
      </c>
      <c r="K265" t="s">
        <v>11</v>
      </c>
      <c r="L265">
        <v>41270</v>
      </c>
      <c r="M265">
        <v>21008</v>
      </c>
      <c r="N265">
        <v>1437</v>
      </c>
      <c r="O265" t="s">
        <v>11</v>
      </c>
      <c r="P265" t="s">
        <v>11</v>
      </c>
      <c r="Q265" t="s">
        <v>11</v>
      </c>
      <c r="R265" t="s">
        <v>11</v>
      </c>
      <c r="S265" t="s">
        <v>11</v>
      </c>
      <c r="T265" s="34">
        <v>61330</v>
      </c>
      <c r="U265" s="34">
        <v>25247</v>
      </c>
      <c r="V265" s="34">
        <v>7331</v>
      </c>
      <c r="W265">
        <v>7152</v>
      </c>
      <c r="X265">
        <v>3342</v>
      </c>
      <c r="Y265">
        <v>3287</v>
      </c>
      <c r="Z265">
        <v>4008</v>
      </c>
      <c r="AA265">
        <v>1578</v>
      </c>
      <c r="AB265">
        <v>28334</v>
      </c>
      <c r="AC265">
        <v>20008</v>
      </c>
      <c r="AD265">
        <v>3244</v>
      </c>
      <c r="AE265">
        <v>2546</v>
      </c>
      <c r="AF265">
        <v>7842</v>
      </c>
      <c r="AG265">
        <v>7138</v>
      </c>
      <c r="AH265">
        <f t="shared" si="49"/>
        <v>3244</v>
      </c>
      <c r="AI265">
        <f t="shared" si="50"/>
        <v>2546</v>
      </c>
      <c r="AJ265">
        <v>24560</v>
      </c>
      <c r="AK265">
        <v>20604</v>
      </c>
      <c r="AL265">
        <v>40987</v>
      </c>
      <c r="AM265">
        <v>30680</v>
      </c>
      <c r="AN265">
        <v>250</v>
      </c>
      <c r="AO265">
        <v>246</v>
      </c>
      <c r="AP265" t="s">
        <v>11</v>
      </c>
      <c r="AQ265" t="s">
        <v>11</v>
      </c>
      <c r="AR265">
        <v>273</v>
      </c>
      <c r="AS265" t="s">
        <v>11</v>
      </c>
      <c r="AT265" t="str">
        <f t="shared" si="43"/>
        <v>NoData</v>
      </c>
      <c r="AU265" t="str">
        <f t="shared" si="44"/>
        <v>NoData</v>
      </c>
      <c r="AV265">
        <v>6</v>
      </c>
      <c r="AW265" t="s">
        <v>11</v>
      </c>
      <c r="AX265">
        <v>4</v>
      </c>
      <c r="AY265" t="s">
        <v>11</v>
      </c>
      <c r="AZ265" t="str">
        <f t="shared" si="45"/>
        <v>NoData</v>
      </c>
      <c r="BA265" t="str">
        <f t="shared" si="46"/>
        <v>NoData</v>
      </c>
      <c r="BB265">
        <f t="shared" si="51"/>
        <v>250</v>
      </c>
      <c r="BC265">
        <f t="shared" si="52"/>
        <v>246</v>
      </c>
      <c r="BD265" t="s">
        <v>11</v>
      </c>
      <c r="BE265" t="s">
        <v>11</v>
      </c>
      <c r="BF265" t="s">
        <v>11</v>
      </c>
      <c r="BG265" t="s">
        <v>11</v>
      </c>
      <c r="BH265">
        <v>29</v>
      </c>
      <c r="BI265" t="s">
        <v>11</v>
      </c>
      <c r="BJ265">
        <v>45</v>
      </c>
      <c r="BK265" t="s">
        <v>11</v>
      </c>
      <c r="BL265" t="s">
        <v>11</v>
      </c>
      <c r="BM265" t="s">
        <v>11</v>
      </c>
      <c r="BN265">
        <v>45</v>
      </c>
      <c r="BO265" t="s">
        <v>11</v>
      </c>
      <c r="BP265" t="str">
        <f t="shared" si="47"/>
        <v>NoData</v>
      </c>
      <c r="BQ265" t="str">
        <f t="shared" si="48"/>
        <v>NoData</v>
      </c>
      <c r="BR265">
        <v>92</v>
      </c>
      <c r="BS265" t="s">
        <v>11</v>
      </c>
      <c r="BT265">
        <v>41</v>
      </c>
      <c r="BU265" t="s">
        <v>11</v>
      </c>
    </row>
    <row r="266" spans="1:73" x14ac:dyDescent="0.25">
      <c r="A266" s="5">
        <v>33878</v>
      </c>
      <c r="B266">
        <v>2531</v>
      </c>
      <c r="C266" t="s">
        <v>11</v>
      </c>
      <c r="D266" t="s">
        <v>11</v>
      </c>
      <c r="E266" t="s">
        <v>11</v>
      </c>
      <c r="F266">
        <v>1820</v>
      </c>
      <c r="G266" t="s">
        <v>11</v>
      </c>
      <c r="H266">
        <v>2343</v>
      </c>
      <c r="I266" t="s">
        <v>11</v>
      </c>
      <c r="J266">
        <v>1333</v>
      </c>
      <c r="K266" t="s">
        <v>11</v>
      </c>
      <c r="L266">
        <v>36170</v>
      </c>
      <c r="M266">
        <v>17721</v>
      </c>
      <c r="N266">
        <v>1267</v>
      </c>
      <c r="O266" t="s">
        <v>11</v>
      </c>
      <c r="P266" t="s">
        <v>11</v>
      </c>
      <c r="Q266" t="s">
        <v>11</v>
      </c>
      <c r="R266" t="s">
        <v>11</v>
      </c>
      <c r="S266" t="s">
        <v>11</v>
      </c>
      <c r="T266" s="34">
        <v>50870</v>
      </c>
      <c r="U266" s="34">
        <v>14664</v>
      </c>
      <c r="V266" s="34">
        <v>9041</v>
      </c>
      <c r="W266">
        <v>8849</v>
      </c>
      <c r="X266">
        <v>4170</v>
      </c>
      <c r="Y266">
        <v>4109</v>
      </c>
      <c r="Z266">
        <v>4957</v>
      </c>
      <c r="AA266">
        <v>1882</v>
      </c>
      <c r="AB266">
        <v>47605</v>
      </c>
      <c r="AC266">
        <v>34920</v>
      </c>
      <c r="AD266">
        <v>3542</v>
      </c>
      <c r="AE266">
        <v>3004</v>
      </c>
      <c r="AF266">
        <v>6801</v>
      </c>
      <c r="AG266">
        <v>6039</v>
      </c>
      <c r="AH266">
        <f t="shared" si="49"/>
        <v>3542</v>
      </c>
      <c r="AI266">
        <f t="shared" si="50"/>
        <v>3004</v>
      </c>
      <c r="AJ266">
        <v>17903</v>
      </c>
      <c r="AK266">
        <v>14853</v>
      </c>
      <c r="AL266">
        <v>28776</v>
      </c>
      <c r="AM266">
        <v>19037</v>
      </c>
      <c r="AN266">
        <v>317</v>
      </c>
      <c r="AO266">
        <v>312</v>
      </c>
      <c r="AP266" t="s">
        <v>11</v>
      </c>
      <c r="AQ266" t="s">
        <v>11</v>
      </c>
      <c r="AR266">
        <v>229</v>
      </c>
      <c r="AS266" t="s">
        <v>11</v>
      </c>
      <c r="AT266" t="str">
        <f t="shared" si="43"/>
        <v>NoData</v>
      </c>
      <c r="AU266" t="str">
        <f t="shared" si="44"/>
        <v>NoData</v>
      </c>
      <c r="AV266">
        <v>6</v>
      </c>
      <c r="AW266" t="s">
        <v>11</v>
      </c>
      <c r="AX266">
        <v>4</v>
      </c>
      <c r="AY266" t="s">
        <v>11</v>
      </c>
      <c r="AZ266" t="str">
        <f t="shared" si="45"/>
        <v>NoData</v>
      </c>
      <c r="BA266" t="str">
        <f t="shared" si="46"/>
        <v>NoData</v>
      </c>
      <c r="BB266">
        <f t="shared" si="51"/>
        <v>317</v>
      </c>
      <c r="BC266">
        <f t="shared" si="52"/>
        <v>312</v>
      </c>
      <c r="BD266" t="s">
        <v>11</v>
      </c>
      <c r="BE266" t="s">
        <v>11</v>
      </c>
      <c r="BF266" t="s">
        <v>11</v>
      </c>
      <c r="BG266" t="s">
        <v>11</v>
      </c>
      <c r="BH266">
        <v>125</v>
      </c>
      <c r="BI266" t="s">
        <v>11</v>
      </c>
      <c r="BJ266">
        <v>92</v>
      </c>
      <c r="BK266" t="s">
        <v>11</v>
      </c>
      <c r="BL266" t="s">
        <v>11</v>
      </c>
      <c r="BM266" t="s">
        <v>11</v>
      </c>
      <c r="BN266">
        <v>35</v>
      </c>
      <c r="BO266" t="s">
        <v>11</v>
      </c>
      <c r="BP266" t="str">
        <f t="shared" si="47"/>
        <v>NoData</v>
      </c>
      <c r="BQ266" t="str">
        <f t="shared" si="48"/>
        <v>NoData</v>
      </c>
      <c r="BR266">
        <v>77</v>
      </c>
      <c r="BS266" t="s">
        <v>11</v>
      </c>
      <c r="BT266">
        <v>34</v>
      </c>
      <c r="BU266" t="s">
        <v>11</v>
      </c>
    </row>
    <row r="267" spans="1:73" x14ac:dyDescent="0.25">
      <c r="A267" s="5">
        <v>33909</v>
      </c>
      <c r="B267">
        <v>1586</v>
      </c>
      <c r="C267" t="s">
        <v>11</v>
      </c>
      <c r="D267" t="s">
        <v>11</v>
      </c>
      <c r="E267" t="s">
        <v>11</v>
      </c>
      <c r="F267">
        <v>1937</v>
      </c>
      <c r="G267" t="s">
        <v>11</v>
      </c>
      <c r="H267">
        <v>649</v>
      </c>
      <c r="I267" t="s">
        <v>11</v>
      </c>
      <c r="J267">
        <v>976</v>
      </c>
      <c r="K267" t="s">
        <v>11</v>
      </c>
      <c r="L267">
        <v>27020</v>
      </c>
      <c r="M267">
        <v>9521</v>
      </c>
      <c r="N267">
        <v>107</v>
      </c>
      <c r="O267" t="s">
        <v>11</v>
      </c>
      <c r="P267" t="s">
        <v>11</v>
      </c>
      <c r="Q267" t="s">
        <v>11</v>
      </c>
      <c r="R267" t="s">
        <v>11</v>
      </c>
      <c r="S267" t="s">
        <v>11</v>
      </c>
      <c r="T267" s="34">
        <v>42000</v>
      </c>
      <c r="U267" s="34">
        <v>8774</v>
      </c>
      <c r="V267" s="34">
        <v>4881</v>
      </c>
      <c r="W267">
        <v>4785</v>
      </c>
      <c r="X267">
        <v>3608</v>
      </c>
      <c r="Y267">
        <v>3566</v>
      </c>
      <c r="Z267">
        <v>3239</v>
      </c>
      <c r="AA267">
        <v>1197</v>
      </c>
      <c r="AB267">
        <v>27090</v>
      </c>
      <c r="AC267">
        <v>15487</v>
      </c>
      <c r="AD267">
        <v>2014</v>
      </c>
      <c r="AE267">
        <v>1641</v>
      </c>
      <c r="AF267">
        <v>4659</v>
      </c>
      <c r="AG267">
        <v>4280</v>
      </c>
      <c r="AH267">
        <f t="shared" si="49"/>
        <v>2014</v>
      </c>
      <c r="AI267">
        <f t="shared" si="50"/>
        <v>1641</v>
      </c>
      <c r="AJ267">
        <v>14140</v>
      </c>
      <c r="AK267">
        <v>12024</v>
      </c>
      <c r="AL267">
        <v>29862</v>
      </c>
      <c r="AM267">
        <v>24323</v>
      </c>
      <c r="AN267">
        <v>52</v>
      </c>
      <c r="AO267">
        <v>52</v>
      </c>
      <c r="AP267" t="s">
        <v>11</v>
      </c>
      <c r="AQ267" t="s">
        <v>11</v>
      </c>
      <c r="AR267">
        <v>163</v>
      </c>
      <c r="AS267" t="s">
        <v>11</v>
      </c>
      <c r="AT267" t="str">
        <f t="shared" si="43"/>
        <v>NoData</v>
      </c>
      <c r="AU267" t="str">
        <f t="shared" si="44"/>
        <v>NoData</v>
      </c>
      <c r="AV267">
        <v>4</v>
      </c>
      <c r="AW267" t="s">
        <v>11</v>
      </c>
      <c r="AX267">
        <v>4</v>
      </c>
      <c r="AY267" t="s">
        <v>11</v>
      </c>
      <c r="AZ267" t="str">
        <f t="shared" si="45"/>
        <v>NoData</v>
      </c>
      <c r="BA267" t="str">
        <f t="shared" si="46"/>
        <v>NoData</v>
      </c>
      <c r="BB267">
        <f t="shared" si="51"/>
        <v>52</v>
      </c>
      <c r="BC267">
        <f t="shared" si="52"/>
        <v>52</v>
      </c>
      <c r="BD267" t="s">
        <v>11</v>
      </c>
      <c r="BE267" t="s">
        <v>11</v>
      </c>
      <c r="BF267" t="s">
        <v>11</v>
      </c>
      <c r="BG267" t="s">
        <v>11</v>
      </c>
      <c r="BH267">
        <v>8</v>
      </c>
      <c r="BI267" t="s">
        <v>11</v>
      </c>
      <c r="BJ267">
        <v>63</v>
      </c>
      <c r="BK267" t="s">
        <v>11</v>
      </c>
      <c r="BL267" t="s">
        <v>11</v>
      </c>
      <c r="BM267" t="s">
        <v>11</v>
      </c>
      <c r="BN267">
        <v>10</v>
      </c>
      <c r="BO267" t="s">
        <v>11</v>
      </c>
      <c r="BP267" t="str">
        <f t="shared" si="47"/>
        <v>NoData</v>
      </c>
      <c r="BQ267" t="str">
        <f t="shared" si="48"/>
        <v>NoData</v>
      </c>
      <c r="BR267">
        <v>54</v>
      </c>
      <c r="BS267" t="s">
        <v>11</v>
      </c>
      <c r="BT267">
        <v>24</v>
      </c>
      <c r="BU267" t="s">
        <v>11</v>
      </c>
    </row>
    <row r="268" spans="1:73" x14ac:dyDescent="0.25">
      <c r="A268" s="5">
        <v>33939</v>
      </c>
      <c r="B268">
        <v>1204</v>
      </c>
      <c r="C268" t="s">
        <v>11</v>
      </c>
      <c r="D268" t="s">
        <v>11</v>
      </c>
      <c r="E268" t="s">
        <v>11</v>
      </c>
      <c r="F268">
        <v>1138</v>
      </c>
      <c r="G268" t="s">
        <v>11</v>
      </c>
      <c r="H268">
        <v>1008</v>
      </c>
      <c r="I268" t="s">
        <v>11</v>
      </c>
      <c r="J268">
        <v>54</v>
      </c>
      <c r="K268" t="s">
        <v>11</v>
      </c>
      <c r="L268">
        <v>20420</v>
      </c>
      <c r="M268">
        <v>4089</v>
      </c>
      <c r="N268">
        <v>190</v>
      </c>
      <c r="O268" t="s">
        <v>11</v>
      </c>
      <c r="P268" t="s">
        <v>11</v>
      </c>
      <c r="Q268" t="s">
        <v>11</v>
      </c>
      <c r="R268" t="s">
        <v>11</v>
      </c>
      <c r="S268" t="s">
        <v>11</v>
      </c>
      <c r="T268" s="34">
        <v>31270</v>
      </c>
      <c r="U268" s="34">
        <v>-3724</v>
      </c>
      <c r="V268" s="34">
        <v>2430</v>
      </c>
      <c r="W268">
        <v>2338</v>
      </c>
      <c r="X268">
        <v>1659</v>
      </c>
      <c r="Y268">
        <v>1623</v>
      </c>
      <c r="Z268">
        <v>1518</v>
      </c>
      <c r="AA268">
        <v>373</v>
      </c>
      <c r="AB268">
        <v>13381</v>
      </c>
      <c r="AC268">
        <v>3045</v>
      </c>
      <c r="AD268">
        <v>881</v>
      </c>
      <c r="AE268">
        <v>550</v>
      </c>
      <c r="AF268">
        <v>1733</v>
      </c>
      <c r="AG268">
        <v>1315</v>
      </c>
      <c r="AH268">
        <f t="shared" si="49"/>
        <v>881</v>
      </c>
      <c r="AI268">
        <f t="shared" si="50"/>
        <v>550</v>
      </c>
      <c r="AJ268">
        <v>4700</v>
      </c>
      <c r="AK268">
        <v>2824</v>
      </c>
      <c r="AL268">
        <v>9110</v>
      </c>
      <c r="AM268">
        <v>3655</v>
      </c>
      <c r="AN268">
        <v>9</v>
      </c>
      <c r="AO268">
        <v>9</v>
      </c>
      <c r="AP268" t="s">
        <v>11</v>
      </c>
      <c r="AQ268" t="s">
        <v>11</v>
      </c>
      <c r="AR268">
        <v>160</v>
      </c>
      <c r="AS268" t="s">
        <v>11</v>
      </c>
      <c r="AT268" t="str">
        <f t="shared" si="43"/>
        <v>NoData</v>
      </c>
      <c r="AU268" t="str">
        <f t="shared" si="44"/>
        <v>NoData</v>
      </c>
      <c r="AV268">
        <v>0</v>
      </c>
      <c r="AW268" t="s">
        <v>11</v>
      </c>
      <c r="AX268">
        <v>4</v>
      </c>
      <c r="AY268" t="s">
        <v>11</v>
      </c>
      <c r="AZ268" t="str">
        <f t="shared" si="45"/>
        <v>NoData</v>
      </c>
      <c r="BA268" t="str">
        <f t="shared" si="46"/>
        <v>NoData</v>
      </c>
      <c r="BB268">
        <f t="shared" si="51"/>
        <v>9</v>
      </c>
      <c r="BC268">
        <f t="shared" si="52"/>
        <v>9</v>
      </c>
      <c r="BD268" t="s">
        <v>11</v>
      </c>
      <c r="BE268" t="s">
        <v>11</v>
      </c>
      <c r="BF268" t="s">
        <v>11</v>
      </c>
      <c r="BG268" t="s">
        <v>11</v>
      </c>
      <c r="BH268">
        <v>0</v>
      </c>
      <c r="BI268" t="s">
        <v>11</v>
      </c>
      <c r="BJ268">
        <v>65</v>
      </c>
      <c r="BK268" t="s">
        <v>11</v>
      </c>
      <c r="BL268" t="s">
        <v>11</v>
      </c>
      <c r="BM268" t="s">
        <v>11</v>
      </c>
      <c r="BN268">
        <v>41</v>
      </c>
      <c r="BO268" t="s">
        <v>11</v>
      </c>
      <c r="BP268" t="str">
        <f t="shared" si="47"/>
        <v>NoData</v>
      </c>
      <c r="BQ268" t="str">
        <f t="shared" si="48"/>
        <v>NoData</v>
      </c>
      <c r="BR268">
        <v>54</v>
      </c>
      <c r="BS268" t="s">
        <v>11</v>
      </c>
      <c r="BT268">
        <v>24</v>
      </c>
      <c r="BU268" t="s">
        <v>11</v>
      </c>
    </row>
    <row r="269" spans="1:73" x14ac:dyDescent="0.25">
      <c r="A269" s="5">
        <v>33970</v>
      </c>
      <c r="B269">
        <v>473</v>
      </c>
      <c r="C269" t="s">
        <v>11</v>
      </c>
      <c r="D269" t="s">
        <v>11</v>
      </c>
      <c r="E269" t="s">
        <v>11</v>
      </c>
      <c r="F269">
        <v>255</v>
      </c>
      <c r="G269" t="s">
        <v>11</v>
      </c>
      <c r="H269">
        <v>95</v>
      </c>
      <c r="I269" t="s">
        <v>11</v>
      </c>
      <c r="J269">
        <v>40</v>
      </c>
      <c r="K269" t="s">
        <v>11</v>
      </c>
      <c r="L269">
        <v>982</v>
      </c>
      <c r="M269">
        <v>-11477</v>
      </c>
      <c r="N269">
        <v>50</v>
      </c>
      <c r="O269" t="s">
        <v>11</v>
      </c>
      <c r="P269" t="s">
        <v>11</v>
      </c>
      <c r="Q269" t="s">
        <v>11</v>
      </c>
      <c r="R269" t="s">
        <v>11</v>
      </c>
      <c r="S269" t="s">
        <v>11</v>
      </c>
      <c r="T269" s="34">
        <v>6340</v>
      </c>
      <c r="U269" s="34">
        <v>-11219</v>
      </c>
      <c r="V269" s="34">
        <v>988</v>
      </c>
      <c r="W269">
        <v>926</v>
      </c>
      <c r="X269">
        <v>408</v>
      </c>
      <c r="Y269">
        <v>395</v>
      </c>
      <c r="Z269">
        <v>1138</v>
      </c>
      <c r="AA269">
        <v>166</v>
      </c>
      <c r="AB269">
        <v>6422</v>
      </c>
      <c r="AC269">
        <v>-2097</v>
      </c>
      <c r="AD269">
        <v>547</v>
      </c>
      <c r="AE269">
        <v>-95</v>
      </c>
      <c r="AF269">
        <v>1274</v>
      </c>
      <c r="AG269">
        <v>589</v>
      </c>
      <c r="AH269">
        <f t="shared" si="49"/>
        <v>547</v>
      </c>
      <c r="AI269">
        <f t="shared" si="50"/>
        <v>-95</v>
      </c>
      <c r="AJ269">
        <v>1855</v>
      </c>
      <c r="AK269">
        <v>-1093</v>
      </c>
      <c r="AL269">
        <v>2857</v>
      </c>
      <c r="AM269">
        <v>-9479</v>
      </c>
      <c r="AN269" s="22">
        <v>0</v>
      </c>
      <c r="AO269">
        <v>533</v>
      </c>
      <c r="AP269" t="s">
        <v>11</v>
      </c>
      <c r="AQ269" t="s">
        <v>11</v>
      </c>
      <c r="AR269">
        <v>151</v>
      </c>
      <c r="AS269" t="s">
        <v>11</v>
      </c>
      <c r="AT269" t="str">
        <f t="shared" si="43"/>
        <v>NoData</v>
      </c>
      <c r="AU269" t="str">
        <f t="shared" si="44"/>
        <v>NoData</v>
      </c>
      <c r="AV269">
        <v>0</v>
      </c>
      <c r="AW269" t="s">
        <v>11</v>
      </c>
      <c r="AX269">
        <v>4</v>
      </c>
      <c r="AY269" t="s">
        <v>11</v>
      </c>
      <c r="AZ269" t="str">
        <f t="shared" si="45"/>
        <v>NoData</v>
      </c>
      <c r="BA269" t="str">
        <f t="shared" si="46"/>
        <v>NoData</v>
      </c>
      <c r="BB269">
        <f t="shared" si="51"/>
        <v>0</v>
      </c>
      <c r="BC269">
        <f t="shared" si="52"/>
        <v>533</v>
      </c>
      <c r="BD269" t="s">
        <v>11</v>
      </c>
      <c r="BE269" t="s">
        <v>11</v>
      </c>
      <c r="BF269" t="s">
        <v>11</v>
      </c>
      <c r="BG269" t="s">
        <v>11</v>
      </c>
      <c r="BH269">
        <v>7</v>
      </c>
      <c r="BI269" t="s">
        <v>11</v>
      </c>
      <c r="BJ269">
        <v>44</v>
      </c>
      <c r="BK269" t="s">
        <v>11</v>
      </c>
      <c r="BL269" t="s">
        <v>11</v>
      </c>
      <c r="BM269" t="s">
        <v>11</v>
      </c>
      <c r="BN269">
        <v>7</v>
      </c>
      <c r="BO269" t="s">
        <v>11</v>
      </c>
      <c r="BP269" t="str">
        <f t="shared" si="47"/>
        <v>NoData</v>
      </c>
      <c r="BQ269" t="str">
        <f t="shared" si="48"/>
        <v>NoData</v>
      </c>
      <c r="BR269">
        <v>51</v>
      </c>
      <c r="BS269" t="s">
        <v>11</v>
      </c>
      <c r="BT269">
        <v>23</v>
      </c>
      <c r="BU269" t="s">
        <v>11</v>
      </c>
    </row>
    <row r="270" spans="1:73" x14ac:dyDescent="0.25">
      <c r="A270" s="5">
        <v>34001</v>
      </c>
      <c r="B270">
        <v>603</v>
      </c>
      <c r="C270" t="s">
        <v>11</v>
      </c>
      <c r="D270" t="s">
        <v>11</v>
      </c>
      <c r="E270" t="s">
        <v>11</v>
      </c>
      <c r="F270">
        <v>1289</v>
      </c>
      <c r="G270" t="s">
        <v>11</v>
      </c>
      <c r="H270">
        <v>0</v>
      </c>
      <c r="I270" t="s">
        <v>11</v>
      </c>
      <c r="J270">
        <v>40</v>
      </c>
      <c r="K270" t="s">
        <v>11</v>
      </c>
      <c r="L270">
        <v>9790</v>
      </c>
      <c r="M270">
        <v>-442</v>
      </c>
      <c r="N270">
        <v>676</v>
      </c>
      <c r="O270" t="s">
        <v>11</v>
      </c>
      <c r="P270" t="s">
        <v>11</v>
      </c>
      <c r="Q270" t="s">
        <v>11</v>
      </c>
      <c r="R270" t="s">
        <v>11</v>
      </c>
      <c r="S270" t="s">
        <v>11</v>
      </c>
      <c r="T270" s="34">
        <v>21130</v>
      </c>
      <c r="U270" s="34">
        <v>-3389</v>
      </c>
      <c r="V270" s="34">
        <v>2337</v>
      </c>
      <c r="W270">
        <v>2254</v>
      </c>
      <c r="X270">
        <v>1619</v>
      </c>
      <c r="Y270">
        <v>1583</v>
      </c>
      <c r="Z270">
        <v>1915</v>
      </c>
      <c r="AA270">
        <v>939</v>
      </c>
      <c r="AB270">
        <v>10970</v>
      </c>
      <c r="AC270">
        <v>1679</v>
      </c>
      <c r="AD270">
        <v>1110</v>
      </c>
      <c r="AE270">
        <v>635</v>
      </c>
      <c r="AF270">
        <v>1744</v>
      </c>
      <c r="AG270">
        <v>1411</v>
      </c>
      <c r="AH270">
        <f t="shared" si="49"/>
        <v>1110</v>
      </c>
      <c r="AI270">
        <f t="shared" si="50"/>
        <v>635</v>
      </c>
      <c r="AJ270">
        <v>8315</v>
      </c>
      <c r="AK270">
        <v>5329</v>
      </c>
      <c r="AL270">
        <v>10411</v>
      </c>
      <c r="AM270">
        <v>4854</v>
      </c>
      <c r="AN270" s="22">
        <v>116</v>
      </c>
      <c r="AO270">
        <v>542</v>
      </c>
      <c r="AP270" t="s">
        <v>11</v>
      </c>
      <c r="AQ270" t="s">
        <v>11</v>
      </c>
      <c r="AR270">
        <v>121</v>
      </c>
      <c r="AS270" t="s">
        <v>11</v>
      </c>
      <c r="AT270" t="str">
        <f t="shared" si="43"/>
        <v>NoData</v>
      </c>
      <c r="AU270" t="str">
        <f t="shared" si="44"/>
        <v>NoData</v>
      </c>
      <c r="AV270">
        <v>2</v>
      </c>
      <c r="AW270" t="s">
        <v>11</v>
      </c>
      <c r="AX270">
        <v>4</v>
      </c>
      <c r="AY270" t="s">
        <v>11</v>
      </c>
      <c r="AZ270" t="str">
        <f t="shared" si="45"/>
        <v>NoData</v>
      </c>
      <c r="BA270" t="str">
        <f t="shared" si="46"/>
        <v>NoData</v>
      </c>
      <c r="BB270">
        <f t="shared" si="51"/>
        <v>116</v>
      </c>
      <c r="BC270">
        <f t="shared" si="52"/>
        <v>542</v>
      </c>
      <c r="BD270" t="s">
        <v>11</v>
      </c>
      <c r="BE270" t="s">
        <v>11</v>
      </c>
      <c r="BF270" t="s">
        <v>11</v>
      </c>
      <c r="BG270" t="s">
        <v>11</v>
      </c>
      <c r="BH270">
        <v>5</v>
      </c>
      <c r="BI270" t="s">
        <v>11</v>
      </c>
      <c r="BJ270">
        <v>36</v>
      </c>
      <c r="BK270" t="s">
        <v>11</v>
      </c>
      <c r="BL270" t="s">
        <v>11</v>
      </c>
      <c r="BM270" t="s">
        <v>11</v>
      </c>
      <c r="BN270">
        <v>5</v>
      </c>
      <c r="BO270" t="s">
        <v>11</v>
      </c>
      <c r="BP270" t="str">
        <f t="shared" si="47"/>
        <v>NoData</v>
      </c>
      <c r="BQ270" t="str">
        <f t="shared" si="48"/>
        <v>NoData</v>
      </c>
      <c r="BR270">
        <v>41</v>
      </c>
      <c r="BS270" t="s">
        <v>11</v>
      </c>
      <c r="BT270">
        <v>18</v>
      </c>
      <c r="BU270" t="s">
        <v>11</v>
      </c>
    </row>
    <row r="271" spans="1:73" x14ac:dyDescent="0.25">
      <c r="A271" s="5">
        <v>34029</v>
      </c>
      <c r="B271">
        <v>2699</v>
      </c>
      <c r="C271" t="s">
        <v>11</v>
      </c>
      <c r="D271" t="s">
        <v>11</v>
      </c>
      <c r="E271" t="s">
        <v>11</v>
      </c>
      <c r="F271">
        <v>4423</v>
      </c>
      <c r="G271" t="s">
        <v>11</v>
      </c>
      <c r="H271">
        <v>457</v>
      </c>
      <c r="I271" t="s">
        <v>11</v>
      </c>
      <c r="J271">
        <v>1644</v>
      </c>
      <c r="K271" t="s">
        <v>11</v>
      </c>
      <c r="L271">
        <v>57750</v>
      </c>
      <c r="M271">
        <v>40243</v>
      </c>
      <c r="N271">
        <v>1108</v>
      </c>
      <c r="O271" t="s">
        <v>11</v>
      </c>
      <c r="P271" t="s">
        <v>11</v>
      </c>
      <c r="Q271" t="s">
        <v>11</v>
      </c>
      <c r="R271" t="s">
        <v>11</v>
      </c>
      <c r="S271" t="s">
        <v>11</v>
      </c>
      <c r="T271" s="34">
        <v>59510</v>
      </c>
      <c r="U271" s="34">
        <v>30351</v>
      </c>
      <c r="V271" s="34">
        <v>3886</v>
      </c>
      <c r="W271">
        <v>3799</v>
      </c>
      <c r="X271">
        <v>4896</v>
      </c>
      <c r="Y271">
        <v>4831</v>
      </c>
      <c r="Z271">
        <v>3838</v>
      </c>
      <c r="AA271">
        <v>2118</v>
      </c>
      <c r="AB271">
        <v>22588</v>
      </c>
      <c r="AC271">
        <v>12584</v>
      </c>
      <c r="AD271">
        <v>2810</v>
      </c>
      <c r="AE271">
        <v>2155</v>
      </c>
      <c r="AF271">
        <v>4949</v>
      </c>
      <c r="AG271">
        <v>4146</v>
      </c>
      <c r="AH271">
        <f t="shared" si="49"/>
        <v>2810</v>
      </c>
      <c r="AI271">
        <f t="shared" si="50"/>
        <v>2155</v>
      </c>
      <c r="AJ271">
        <v>18539</v>
      </c>
      <c r="AK271">
        <v>14588</v>
      </c>
      <c r="AL271">
        <v>19688</v>
      </c>
      <c r="AM271">
        <v>12690</v>
      </c>
      <c r="AN271" s="22">
        <v>188</v>
      </c>
      <c r="AO271">
        <v>916</v>
      </c>
      <c r="AP271" t="s">
        <v>11</v>
      </c>
      <c r="AQ271" t="s">
        <v>11</v>
      </c>
      <c r="AR271">
        <v>207</v>
      </c>
      <c r="AS271" t="s">
        <v>11</v>
      </c>
      <c r="AT271" t="str">
        <f t="shared" si="43"/>
        <v>NoData</v>
      </c>
      <c r="AU271" t="str">
        <f t="shared" si="44"/>
        <v>NoData</v>
      </c>
      <c r="AV271">
        <v>5</v>
      </c>
      <c r="AW271" t="s">
        <v>11</v>
      </c>
      <c r="AX271">
        <v>4</v>
      </c>
      <c r="AY271" t="s">
        <v>11</v>
      </c>
      <c r="AZ271" t="str">
        <f t="shared" si="45"/>
        <v>NoData</v>
      </c>
      <c r="BA271" t="str">
        <f t="shared" si="46"/>
        <v>NoData</v>
      </c>
      <c r="BB271">
        <f t="shared" si="51"/>
        <v>188</v>
      </c>
      <c r="BC271">
        <f t="shared" si="52"/>
        <v>916</v>
      </c>
      <c r="BD271" t="s">
        <v>11</v>
      </c>
      <c r="BE271" t="s">
        <v>11</v>
      </c>
      <c r="BF271" t="s">
        <v>11</v>
      </c>
      <c r="BG271" t="s">
        <v>11</v>
      </c>
      <c r="BH271">
        <v>9</v>
      </c>
      <c r="BI271" t="s">
        <v>11</v>
      </c>
      <c r="BJ271">
        <v>61</v>
      </c>
      <c r="BK271" t="s">
        <v>11</v>
      </c>
      <c r="BL271" t="s">
        <v>11</v>
      </c>
      <c r="BM271" t="s">
        <v>11</v>
      </c>
      <c r="BN271">
        <v>10</v>
      </c>
      <c r="BO271" t="s">
        <v>11</v>
      </c>
      <c r="BP271" t="str">
        <f t="shared" si="47"/>
        <v>NoData</v>
      </c>
      <c r="BQ271" t="str">
        <f t="shared" si="48"/>
        <v>NoData</v>
      </c>
      <c r="BR271">
        <v>69</v>
      </c>
      <c r="BS271" t="s">
        <v>11</v>
      </c>
      <c r="BT271">
        <v>31</v>
      </c>
      <c r="BU271" t="s">
        <v>11</v>
      </c>
    </row>
    <row r="272" spans="1:73" x14ac:dyDescent="0.25">
      <c r="A272" s="5">
        <v>34060</v>
      </c>
      <c r="B272">
        <v>3319</v>
      </c>
      <c r="C272" t="s">
        <v>11</v>
      </c>
      <c r="D272" t="s">
        <v>11</v>
      </c>
      <c r="E272" t="s">
        <v>11</v>
      </c>
      <c r="F272">
        <v>6273</v>
      </c>
      <c r="G272" t="s">
        <v>11</v>
      </c>
      <c r="H272">
        <v>2538</v>
      </c>
      <c r="I272" t="s">
        <v>11</v>
      </c>
      <c r="J272">
        <v>2742</v>
      </c>
      <c r="K272" t="s">
        <v>11</v>
      </c>
      <c r="L272">
        <v>68070</v>
      </c>
      <c r="M272">
        <v>46430</v>
      </c>
      <c r="N272">
        <v>985</v>
      </c>
      <c r="O272" t="s">
        <v>11</v>
      </c>
      <c r="P272" t="s">
        <v>11</v>
      </c>
      <c r="Q272" t="s">
        <v>11</v>
      </c>
      <c r="R272" t="s">
        <v>11</v>
      </c>
      <c r="S272" t="s">
        <v>11</v>
      </c>
      <c r="T272" s="34">
        <v>77360</v>
      </c>
      <c r="U272" s="34">
        <v>44314</v>
      </c>
      <c r="V272" s="34">
        <v>6319</v>
      </c>
      <c r="W272">
        <v>6222</v>
      </c>
      <c r="X272">
        <v>6672</v>
      </c>
      <c r="Y272">
        <v>6611</v>
      </c>
      <c r="Z272">
        <v>5175</v>
      </c>
      <c r="AA272">
        <v>2793</v>
      </c>
      <c r="AB272">
        <v>33670</v>
      </c>
      <c r="AC272">
        <v>22393</v>
      </c>
      <c r="AD272">
        <v>3155</v>
      </c>
      <c r="AE272">
        <v>2561</v>
      </c>
      <c r="AF272">
        <v>6021</v>
      </c>
      <c r="AG272">
        <v>5121</v>
      </c>
      <c r="AH272">
        <f t="shared" ref="AH272:AH279" si="53">AD273</f>
        <v>3335</v>
      </c>
      <c r="AI272">
        <f t="shared" si="50"/>
        <v>2561</v>
      </c>
      <c r="AJ272">
        <v>23035</v>
      </c>
      <c r="AK272">
        <v>19353</v>
      </c>
      <c r="AL272">
        <v>32278</v>
      </c>
      <c r="AM272">
        <v>23668</v>
      </c>
      <c r="AN272" s="22">
        <v>212</v>
      </c>
      <c r="AO272">
        <v>997</v>
      </c>
      <c r="AP272" t="s">
        <v>11</v>
      </c>
      <c r="AQ272" t="s">
        <v>11</v>
      </c>
      <c r="AR272">
        <v>224</v>
      </c>
      <c r="AS272" t="s">
        <v>11</v>
      </c>
      <c r="AT272" t="str">
        <f t="shared" si="43"/>
        <v>NoData</v>
      </c>
      <c r="AU272" t="str">
        <f t="shared" si="44"/>
        <v>NoData</v>
      </c>
      <c r="AV272">
        <v>0</v>
      </c>
      <c r="AW272" t="s">
        <v>11</v>
      </c>
      <c r="AX272">
        <v>4</v>
      </c>
      <c r="AY272" t="s">
        <v>11</v>
      </c>
      <c r="AZ272" t="str">
        <f t="shared" si="45"/>
        <v>NoData</v>
      </c>
      <c r="BA272" t="str">
        <f t="shared" si="46"/>
        <v>NoData</v>
      </c>
      <c r="BB272">
        <f t="shared" si="51"/>
        <v>212</v>
      </c>
      <c r="BC272">
        <f t="shared" si="52"/>
        <v>997</v>
      </c>
      <c r="BD272" t="s">
        <v>11</v>
      </c>
      <c r="BE272" t="s">
        <v>11</v>
      </c>
      <c r="BF272" t="s">
        <v>11</v>
      </c>
      <c r="BG272" t="s">
        <v>11</v>
      </c>
      <c r="BH272">
        <v>10</v>
      </c>
      <c r="BI272" t="s">
        <v>11</v>
      </c>
      <c r="BJ272">
        <v>65</v>
      </c>
      <c r="BK272" t="s">
        <v>11</v>
      </c>
      <c r="BL272" t="s">
        <v>11</v>
      </c>
      <c r="BM272" t="s">
        <v>11</v>
      </c>
      <c r="BN272">
        <v>10</v>
      </c>
      <c r="BO272" t="s">
        <v>11</v>
      </c>
      <c r="BP272" t="str">
        <f t="shared" si="47"/>
        <v>NoData</v>
      </c>
      <c r="BQ272" t="str">
        <f t="shared" si="48"/>
        <v>NoData</v>
      </c>
      <c r="BR272">
        <v>75</v>
      </c>
      <c r="BS272" t="s">
        <v>11</v>
      </c>
      <c r="BT272">
        <v>34</v>
      </c>
      <c r="BU272" t="s">
        <v>11</v>
      </c>
    </row>
    <row r="273" spans="1:73" x14ac:dyDescent="0.25">
      <c r="A273" s="5">
        <v>34090</v>
      </c>
      <c r="B273">
        <v>4203</v>
      </c>
      <c r="C273" t="s">
        <v>11</v>
      </c>
      <c r="D273" t="s">
        <v>11</v>
      </c>
      <c r="E273" t="s">
        <v>11</v>
      </c>
      <c r="F273">
        <v>7257</v>
      </c>
      <c r="G273" t="s">
        <v>11</v>
      </c>
      <c r="H273">
        <v>3103</v>
      </c>
      <c r="I273" t="s">
        <v>11</v>
      </c>
      <c r="J273">
        <v>2369</v>
      </c>
      <c r="K273" t="s">
        <v>11</v>
      </c>
      <c r="L273">
        <v>73790</v>
      </c>
      <c r="M273">
        <v>51478</v>
      </c>
      <c r="N273">
        <v>860</v>
      </c>
      <c r="O273" t="s">
        <v>11</v>
      </c>
      <c r="P273" t="s">
        <v>11</v>
      </c>
      <c r="Q273" t="s">
        <v>11</v>
      </c>
      <c r="R273" t="s">
        <v>11</v>
      </c>
      <c r="S273" t="s">
        <v>11</v>
      </c>
      <c r="T273" s="34">
        <v>85030</v>
      </c>
      <c r="U273" s="34">
        <v>47579</v>
      </c>
      <c r="V273" s="34">
        <v>4774</v>
      </c>
      <c r="W273">
        <v>4679</v>
      </c>
      <c r="X273">
        <v>7033</v>
      </c>
      <c r="Y273">
        <v>6947</v>
      </c>
      <c r="Z273">
        <v>4213</v>
      </c>
      <c r="AA273">
        <v>2215</v>
      </c>
      <c r="AB273">
        <v>33903</v>
      </c>
      <c r="AC273">
        <v>23768</v>
      </c>
      <c r="AD273">
        <v>3335</v>
      </c>
      <c r="AE273">
        <v>2633</v>
      </c>
      <c r="AF273">
        <v>5826</v>
      </c>
      <c r="AG273">
        <v>4872</v>
      </c>
      <c r="AH273">
        <f t="shared" si="53"/>
        <v>3441</v>
      </c>
      <c r="AI273">
        <f t="shared" si="50"/>
        <v>2633</v>
      </c>
      <c r="AJ273">
        <v>26620</v>
      </c>
      <c r="AK273">
        <v>22394</v>
      </c>
      <c r="AL273">
        <v>29521</v>
      </c>
      <c r="AM273">
        <v>17421</v>
      </c>
      <c r="AN273" s="22">
        <v>240</v>
      </c>
      <c r="AO273">
        <v>1198</v>
      </c>
      <c r="AP273" t="s">
        <v>11</v>
      </c>
      <c r="AQ273" t="s">
        <v>11</v>
      </c>
      <c r="AR273">
        <v>273</v>
      </c>
      <c r="AS273" t="s">
        <v>11</v>
      </c>
      <c r="AT273" t="str">
        <f t="shared" si="43"/>
        <v>NoData</v>
      </c>
      <c r="AU273" t="str">
        <f t="shared" si="44"/>
        <v>NoData</v>
      </c>
      <c r="AV273">
        <v>2</v>
      </c>
      <c r="AW273" t="s">
        <v>11</v>
      </c>
      <c r="AX273">
        <v>4</v>
      </c>
      <c r="AY273" t="s">
        <v>11</v>
      </c>
      <c r="AZ273" t="str">
        <f t="shared" si="45"/>
        <v>NoData</v>
      </c>
      <c r="BA273" t="str">
        <f t="shared" si="46"/>
        <v>NoData</v>
      </c>
      <c r="BB273">
        <f t="shared" si="51"/>
        <v>240</v>
      </c>
      <c r="BC273">
        <f t="shared" si="52"/>
        <v>1198</v>
      </c>
      <c r="BD273" t="s">
        <v>11</v>
      </c>
      <c r="BE273" t="s">
        <v>11</v>
      </c>
      <c r="BF273" t="s">
        <v>11</v>
      </c>
      <c r="BG273" t="s">
        <v>11</v>
      </c>
      <c r="BH273">
        <v>13</v>
      </c>
      <c r="BI273" t="s">
        <v>11</v>
      </c>
      <c r="BJ273">
        <v>80</v>
      </c>
      <c r="BK273" t="s">
        <v>11</v>
      </c>
      <c r="BL273" t="s">
        <v>11</v>
      </c>
      <c r="BM273" t="s">
        <v>11</v>
      </c>
      <c r="BN273">
        <v>13</v>
      </c>
      <c r="BO273" t="s">
        <v>11</v>
      </c>
      <c r="BP273" t="str">
        <f t="shared" si="47"/>
        <v>NoData</v>
      </c>
      <c r="BQ273" t="str">
        <f t="shared" si="48"/>
        <v>NoData</v>
      </c>
      <c r="BR273">
        <v>92</v>
      </c>
      <c r="BS273" t="s">
        <v>11</v>
      </c>
      <c r="BT273">
        <v>41</v>
      </c>
      <c r="BU273" t="s">
        <v>11</v>
      </c>
    </row>
    <row r="274" spans="1:73" x14ac:dyDescent="0.25">
      <c r="A274" s="5">
        <v>34121</v>
      </c>
      <c r="B274">
        <v>5028</v>
      </c>
      <c r="C274" t="s">
        <v>11</v>
      </c>
      <c r="D274" t="s">
        <v>11</v>
      </c>
      <c r="E274" t="s">
        <v>11</v>
      </c>
      <c r="F274">
        <v>9875</v>
      </c>
      <c r="G274" t="s">
        <v>11</v>
      </c>
      <c r="H274">
        <v>2837</v>
      </c>
      <c r="I274" t="s">
        <v>11</v>
      </c>
      <c r="J274">
        <v>3715</v>
      </c>
      <c r="K274" t="s">
        <v>11</v>
      </c>
      <c r="L274">
        <v>81120</v>
      </c>
      <c r="M274">
        <v>57124</v>
      </c>
      <c r="N274">
        <v>958</v>
      </c>
      <c r="O274" t="s">
        <v>11</v>
      </c>
      <c r="P274" t="s">
        <v>11</v>
      </c>
      <c r="Q274" t="s">
        <v>11</v>
      </c>
      <c r="R274" t="s">
        <v>11</v>
      </c>
      <c r="S274" t="s">
        <v>11</v>
      </c>
      <c r="T274" s="34">
        <v>89130</v>
      </c>
      <c r="U274" s="34">
        <v>50948</v>
      </c>
      <c r="V274" s="34">
        <v>3664</v>
      </c>
      <c r="W274">
        <v>3592</v>
      </c>
      <c r="X274">
        <v>5371</v>
      </c>
      <c r="Y274">
        <v>5307</v>
      </c>
      <c r="Z274">
        <v>3553</v>
      </c>
      <c r="AA274">
        <v>1708</v>
      </c>
      <c r="AB274">
        <v>27663</v>
      </c>
      <c r="AC274">
        <v>19452</v>
      </c>
      <c r="AD274">
        <v>3441</v>
      </c>
      <c r="AE274">
        <v>2818</v>
      </c>
      <c r="AF274">
        <v>3770</v>
      </c>
      <c r="AG274">
        <v>3373</v>
      </c>
      <c r="AH274">
        <f t="shared" si="53"/>
        <v>3752</v>
      </c>
      <c r="AI274">
        <f t="shared" si="50"/>
        <v>2818</v>
      </c>
      <c r="AJ274">
        <v>28863</v>
      </c>
      <c r="AK274">
        <v>25073</v>
      </c>
      <c r="AL274">
        <v>35981</v>
      </c>
      <c r="AM274">
        <v>23456</v>
      </c>
      <c r="AN274" s="22">
        <v>21</v>
      </c>
      <c r="AO274">
        <v>1185</v>
      </c>
      <c r="AP274" t="s">
        <v>11</v>
      </c>
      <c r="AQ274" t="s">
        <v>11</v>
      </c>
      <c r="AR274">
        <v>332</v>
      </c>
      <c r="AS274" t="s">
        <v>11</v>
      </c>
      <c r="AT274" t="str">
        <f t="shared" si="43"/>
        <v>NoData</v>
      </c>
      <c r="AU274" t="str">
        <f t="shared" si="44"/>
        <v>NoData</v>
      </c>
      <c r="AV274">
        <v>3</v>
      </c>
      <c r="AW274" t="s">
        <v>11</v>
      </c>
      <c r="AX274">
        <v>4</v>
      </c>
      <c r="AY274" t="s">
        <v>11</v>
      </c>
      <c r="AZ274" t="str">
        <f t="shared" si="45"/>
        <v>NoData</v>
      </c>
      <c r="BA274" t="str">
        <f t="shared" si="46"/>
        <v>NoData</v>
      </c>
      <c r="BB274">
        <f t="shared" si="51"/>
        <v>21</v>
      </c>
      <c r="BC274">
        <f t="shared" si="52"/>
        <v>1185</v>
      </c>
      <c r="BD274" t="s">
        <v>11</v>
      </c>
      <c r="BE274" t="s">
        <v>11</v>
      </c>
      <c r="BF274" t="s">
        <v>11</v>
      </c>
      <c r="BG274" t="s">
        <v>11</v>
      </c>
      <c r="BH274">
        <v>15</v>
      </c>
      <c r="BI274" t="s">
        <v>11</v>
      </c>
      <c r="BJ274">
        <v>97</v>
      </c>
      <c r="BK274" t="s">
        <v>11</v>
      </c>
      <c r="BL274" t="s">
        <v>11</v>
      </c>
      <c r="BM274" t="s">
        <v>11</v>
      </c>
      <c r="BN274">
        <v>16</v>
      </c>
      <c r="BO274" t="s">
        <v>11</v>
      </c>
      <c r="BP274" t="str">
        <f t="shared" si="47"/>
        <v>NoData</v>
      </c>
      <c r="BQ274" t="str">
        <f t="shared" si="48"/>
        <v>NoData</v>
      </c>
      <c r="BR274">
        <v>111</v>
      </c>
      <c r="BS274" t="s">
        <v>11</v>
      </c>
      <c r="BT274">
        <v>50</v>
      </c>
      <c r="BU274" t="s">
        <v>11</v>
      </c>
    </row>
    <row r="275" spans="1:73" x14ac:dyDescent="0.25">
      <c r="A275" s="5">
        <v>34151</v>
      </c>
      <c r="B275">
        <v>6010</v>
      </c>
      <c r="C275" t="s">
        <v>11</v>
      </c>
      <c r="D275" t="s">
        <v>11</v>
      </c>
      <c r="E275" t="s">
        <v>11</v>
      </c>
      <c r="F275">
        <v>11176</v>
      </c>
      <c r="G275" t="s">
        <v>11</v>
      </c>
      <c r="H275">
        <v>3518</v>
      </c>
      <c r="I275" t="s">
        <v>11</v>
      </c>
      <c r="J275">
        <v>4658</v>
      </c>
      <c r="K275" t="s">
        <v>11</v>
      </c>
      <c r="L275">
        <v>87720</v>
      </c>
      <c r="M275">
        <v>65043</v>
      </c>
      <c r="N275">
        <v>1544</v>
      </c>
      <c r="O275" t="s">
        <v>11</v>
      </c>
      <c r="P275" t="s">
        <v>11</v>
      </c>
      <c r="Q275" t="s">
        <v>11</v>
      </c>
      <c r="R275" t="s">
        <v>11</v>
      </c>
      <c r="S275" t="s">
        <v>11</v>
      </c>
      <c r="T275" s="34">
        <v>98220</v>
      </c>
      <c r="U275" s="34">
        <v>59176</v>
      </c>
      <c r="V275" s="34">
        <v>2772</v>
      </c>
      <c r="W275">
        <v>2708</v>
      </c>
      <c r="X275">
        <v>4828</v>
      </c>
      <c r="Y275">
        <v>4759</v>
      </c>
      <c r="Z275">
        <v>2405</v>
      </c>
      <c r="AA275">
        <v>858</v>
      </c>
      <c r="AB275">
        <v>25689</v>
      </c>
      <c r="AC275">
        <v>17663</v>
      </c>
      <c r="AD275">
        <v>3752</v>
      </c>
      <c r="AE275">
        <v>3181</v>
      </c>
      <c r="AF275">
        <v>3834</v>
      </c>
      <c r="AG275">
        <v>3394</v>
      </c>
      <c r="AH275">
        <f t="shared" si="53"/>
        <v>3578</v>
      </c>
      <c r="AI275">
        <f t="shared" si="50"/>
        <v>3181</v>
      </c>
      <c r="AJ275">
        <v>30726</v>
      </c>
      <c r="AK275">
        <v>27290</v>
      </c>
      <c r="AL275">
        <v>36820</v>
      </c>
      <c r="AM275">
        <v>25242</v>
      </c>
      <c r="AN275" s="22">
        <v>126</v>
      </c>
      <c r="AO275">
        <v>1395</v>
      </c>
      <c r="AP275" t="s">
        <v>11</v>
      </c>
      <c r="AQ275" t="s">
        <v>11</v>
      </c>
      <c r="AR275">
        <v>362</v>
      </c>
      <c r="AS275" t="s">
        <v>11</v>
      </c>
      <c r="AT275" t="str">
        <f t="shared" si="43"/>
        <v>NoData</v>
      </c>
      <c r="AU275" t="str">
        <f t="shared" si="44"/>
        <v>NoData</v>
      </c>
      <c r="AV275">
        <v>4</v>
      </c>
      <c r="AW275" t="s">
        <v>11</v>
      </c>
      <c r="AX275">
        <v>4</v>
      </c>
      <c r="AY275" t="s">
        <v>11</v>
      </c>
      <c r="AZ275" t="str">
        <f t="shared" si="45"/>
        <v>NoData</v>
      </c>
      <c r="BA275" t="str">
        <f t="shared" si="46"/>
        <v>NoData</v>
      </c>
      <c r="BB275">
        <f t="shared" si="51"/>
        <v>126</v>
      </c>
      <c r="BC275">
        <f t="shared" si="52"/>
        <v>1395</v>
      </c>
      <c r="BD275" t="s">
        <v>11</v>
      </c>
      <c r="BE275" t="s">
        <v>11</v>
      </c>
      <c r="BF275" t="s">
        <v>11</v>
      </c>
      <c r="BG275" t="s">
        <v>11</v>
      </c>
      <c r="BH275">
        <v>17</v>
      </c>
      <c r="BI275" t="s">
        <v>11</v>
      </c>
      <c r="BJ275">
        <v>107</v>
      </c>
      <c r="BK275" t="s">
        <v>11</v>
      </c>
      <c r="BL275" t="s">
        <v>11</v>
      </c>
      <c r="BM275" t="s">
        <v>11</v>
      </c>
      <c r="BN275">
        <v>17</v>
      </c>
      <c r="BO275" t="s">
        <v>11</v>
      </c>
      <c r="BP275" t="str">
        <f t="shared" si="47"/>
        <v>NoData</v>
      </c>
      <c r="BQ275" t="str">
        <f t="shared" si="48"/>
        <v>NoData</v>
      </c>
      <c r="BR275">
        <v>122</v>
      </c>
      <c r="BS275" t="s">
        <v>11</v>
      </c>
      <c r="BT275">
        <v>54</v>
      </c>
      <c r="BU275" t="s">
        <v>11</v>
      </c>
    </row>
    <row r="276" spans="1:73" x14ac:dyDescent="0.25">
      <c r="A276" s="5">
        <v>34182</v>
      </c>
      <c r="B276">
        <v>5273</v>
      </c>
      <c r="C276" t="s">
        <v>11</v>
      </c>
      <c r="D276" t="s">
        <v>11</v>
      </c>
      <c r="E276" t="s">
        <v>11</v>
      </c>
      <c r="F276">
        <v>7158</v>
      </c>
      <c r="G276" t="s">
        <v>11</v>
      </c>
      <c r="H276">
        <v>3017</v>
      </c>
      <c r="I276" t="s">
        <v>11</v>
      </c>
      <c r="J276">
        <v>2722</v>
      </c>
      <c r="K276" t="s">
        <v>11</v>
      </c>
      <c r="L276">
        <v>70840</v>
      </c>
      <c r="M276">
        <v>46965</v>
      </c>
      <c r="N276">
        <v>877</v>
      </c>
      <c r="O276" t="s">
        <v>11</v>
      </c>
      <c r="P276" t="s">
        <v>11</v>
      </c>
      <c r="Q276" t="s">
        <v>11</v>
      </c>
      <c r="R276" t="s">
        <v>11</v>
      </c>
      <c r="S276" t="s">
        <v>11</v>
      </c>
      <c r="T276" s="34">
        <v>84860</v>
      </c>
      <c r="U276" s="34">
        <v>44689</v>
      </c>
      <c r="V276" s="34">
        <v>2931</v>
      </c>
      <c r="W276">
        <v>2877</v>
      </c>
      <c r="X276">
        <v>3650</v>
      </c>
      <c r="Y276">
        <v>3610</v>
      </c>
      <c r="Z276">
        <v>1764</v>
      </c>
      <c r="AA276">
        <v>520</v>
      </c>
      <c r="AB276">
        <v>22075</v>
      </c>
      <c r="AC276">
        <v>13918</v>
      </c>
      <c r="AD276">
        <v>3578</v>
      </c>
      <c r="AE276">
        <v>3079</v>
      </c>
      <c r="AF276">
        <v>3956</v>
      </c>
      <c r="AG276">
        <v>3546</v>
      </c>
      <c r="AH276">
        <f t="shared" si="53"/>
        <v>3038</v>
      </c>
      <c r="AI276">
        <f t="shared" si="50"/>
        <v>3079</v>
      </c>
      <c r="AJ276">
        <v>29673</v>
      </c>
      <c r="AK276">
        <v>26577</v>
      </c>
      <c r="AL276">
        <v>30826</v>
      </c>
      <c r="AM276">
        <v>18980</v>
      </c>
      <c r="AN276" s="22">
        <v>21</v>
      </c>
      <c r="AO276">
        <v>1244</v>
      </c>
      <c r="AP276" t="s">
        <v>11</v>
      </c>
      <c r="AQ276" t="s">
        <v>11</v>
      </c>
      <c r="AR276">
        <v>348</v>
      </c>
      <c r="AS276" t="s">
        <v>11</v>
      </c>
      <c r="AT276" t="str">
        <f t="shared" si="43"/>
        <v>NoData</v>
      </c>
      <c r="AU276" t="str">
        <f t="shared" si="44"/>
        <v>NoData</v>
      </c>
      <c r="AV276">
        <v>2</v>
      </c>
      <c r="AW276" t="s">
        <v>11</v>
      </c>
      <c r="AX276">
        <v>4</v>
      </c>
      <c r="AY276" t="s">
        <v>11</v>
      </c>
      <c r="AZ276" t="str">
        <f t="shared" si="45"/>
        <v>NoData</v>
      </c>
      <c r="BA276" t="str">
        <f t="shared" si="46"/>
        <v>NoData</v>
      </c>
      <c r="BB276">
        <f t="shared" si="51"/>
        <v>21</v>
      </c>
      <c r="BC276">
        <f t="shared" si="52"/>
        <v>1244</v>
      </c>
      <c r="BD276" t="s">
        <v>11</v>
      </c>
      <c r="BE276" t="s">
        <v>11</v>
      </c>
      <c r="BF276" t="s">
        <v>11</v>
      </c>
      <c r="BG276" t="s">
        <v>11</v>
      </c>
      <c r="BH276">
        <v>16</v>
      </c>
      <c r="BI276" t="s">
        <v>11</v>
      </c>
      <c r="BJ276">
        <v>103</v>
      </c>
      <c r="BK276" t="s">
        <v>11</v>
      </c>
      <c r="BL276" t="s">
        <v>11</v>
      </c>
      <c r="BM276" t="s">
        <v>11</v>
      </c>
      <c r="BN276">
        <v>16</v>
      </c>
      <c r="BO276" t="s">
        <v>11</v>
      </c>
      <c r="BP276" t="str">
        <f t="shared" si="47"/>
        <v>NoData</v>
      </c>
      <c r="BQ276" t="str">
        <f t="shared" si="48"/>
        <v>NoData</v>
      </c>
      <c r="BR276">
        <v>117</v>
      </c>
      <c r="BS276" t="s">
        <v>11</v>
      </c>
      <c r="BT276">
        <v>52</v>
      </c>
      <c r="BU276" t="s">
        <v>11</v>
      </c>
    </row>
    <row r="277" spans="1:73" x14ac:dyDescent="0.25">
      <c r="A277" s="5">
        <v>34213</v>
      </c>
      <c r="B277">
        <v>3425</v>
      </c>
      <c r="C277" t="s">
        <v>11</v>
      </c>
      <c r="D277" t="s">
        <v>11</v>
      </c>
      <c r="E277" t="s">
        <v>11</v>
      </c>
      <c r="F277">
        <v>4667</v>
      </c>
      <c r="G277" t="s">
        <v>11</v>
      </c>
      <c r="H277">
        <v>1284</v>
      </c>
      <c r="I277" t="s">
        <v>11</v>
      </c>
      <c r="J277">
        <v>1749</v>
      </c>
      <c r="K277" t="s">
        <v>11</v>
      </c>
      <c r="L277">
        <v>45920</v>
      </c>
      <c r="M277">
        <v>25018</v>
      </c>
      <c r="N277">
        <v>116</v>
      </c>
      <c r="O277" t="s">
        <v>11</v>
      </c>
      <c r="P277" t="s">
        <v>11</v>
      </c>
      <c r="Q277" t="s">
        <v>11</v>
      </c>
      <c r="R277" t="s">
        <v>11</v>
      </c>
      <c r="S277" t="s">
        <v>11</v>
      </c>
      <c r="T277" s="34">
        <v>69170</v>
      </c>
      <c r="U277" s="34">
        <v>31274</v>
      </c>
      <c r="V277" s="34">
        <v>4214</v>
      </c>
      <c r="W277">
        <v>4098</v>
      </c>
      <c r="X277">
        <v>4537</v>
      </c>
      <c r="Y277">
        <v>4463</v>
      </c>
      <c r="Z277">
        <v>4607</v>
      </c>
      <c r="AA277">
        <v>2276</v>
      </c>
      <c r="AB277">
        <v>26798</v>
      </c>
      <c r="AC277">
        <v>17627</v>
      </c>
      <c r="AD277">
        <v>3038</v>
      </c>
      <c r="AE277">
        <v>2761</v>
      </c>
      <c r="AF277">
        <v>7636</v>
      </c>
      <c r="AG277">
        <v>6895</v>
      </c>
      <c r="AH277">
        <f t="shared" si="53"/>
        <v>2525</v>
      </c>
      <c r="AI277">
        <f t="shared" si="50"/>
        <v>2761</v>
      </c>
      <c r="AJ277">
        <v>22707</v>
      </c>
      <c r="AK277">
        <v>21055</v>
      </c>
      <c r="AL277">
        <v>35293</v>
      </c>
      <c r="AM277">
        <v>22802</v>
      </c>
      <c r="AN277" s="22">
        <v>158</v>
      </c>
      <c r="AO277">
        <v>1116</v>
      </c>
      <c r="AP277" t="s">
        <v>11</v>
      </c>
      <c r="AQ277" t="s">
        <v>11</v>
      </c>
      <c r="AR277">
        <v>273</v>
      </c>
      <c r="AS277" t="s">
        <v>11</v>
      </c>
      <c r="AT277" t="str">
        <f t="shared" si="43"/>
        <v>NoData</v>
      </c>
      <c r="AU277" t="str">
        <f t="shared" si="44"/>
        <v>NoData</v>
      </c>
      <c r="AV277">
        <v>1</v>
      </c>
      <c r="AW277" t="s">
        <v>11</v>
      </c>
      <c r="AX277">
        <v>4</v>
      </c>
      <c r="AY277" t="s">
        <v>11</v>
      </c>
      <c r="AZ277" t="str">
        <f t="shared" si="45"/>
        <v>NoData</v>
      </c>
      <c r="BA277" t="str">
        <f t="shared" si="46"/>
        <v>NoData</v>
      </c>
      <c r="BB277">
        <f t="shared" si="51"/>
        <v>158</v>
      </c>
      <c r="BC277">
        <f t="shared" si="52"/>
        <v>1116</v>
      </c>
      <c r="BD277" t="s">
        <v>11</v>
      </c>
      <c r="BE277" t="s">
        <v>11</v>
      </c>
      <c r="BF277" t="s">
        <v>11</v>
      </c>
      <c r="BG277" t="s">
        <v>11</v>
      </c>
      <c r="BH277">
        <v>13</v>
      </c>
      <c r="BI277" t="s">
        <v>11</v>
      </c>
      <c r="BJ277">
        <v>80</v>
      </c>
      <c r="BK277" t="s">
        <v>11</v>
      </c>
      <c r="BL277" t="s">
        <v>11</v>
      </c>
      <c r="BM277" t="s">
        <v>11</v>
      </c>
      <c r="BN277">
        <v>13</v>
      </c>
      <c r="BO277" t="s">
        <v>11</v>
      </c>
      <c r="BP277" t="str">
        <f t="shared" si="47"/>
        <v>NoData</v>
      </c>
      <c r="BQ277" t="str">
        <f t="shared" si="48"/>
        <v>NoData</v>
      </c>
      <c r="BR277">
        <v>92</v>
      </c>
      <c r="BS277" t="s">
        <v>11</v>
      </c>
      <c r="BT277">
        <v>41</v>
      </c>
      <c r="BU277" t="s">
        <v>11</v>
      </c>
    </row>
    <row r="278" spans="1:73" x14ac:dyDescent="0.25">
      <c r="A278" s="5">
        <v>34243</v>
      </c>
      <c r="B278">
        <v>2979</v>
      </c>
      <c r="C278" t="s">
        <v>11</v>
      </c>
      <c r="D278" t="s">
        <v>11</v>
      </c>
      <c r="E278" t="s">
        <v>11</v>
      </c>
      <c r="F278">
        <v>3457</v>
      </c>
      <c r="G278" t="s">
        <v>11</v>
      </c>
      <c r="H278">
        <v>658</v>
      </c>
      <c r="I278" t="s">
        <v>11</v>
      </c>
      <c r="J278">
        <v>1340</v>
      </c>
      <c r="K278" t="s">
        <v>11</v>
      </c>
      <c r="L278">
        <v>38480</v>
      </c>
      <c r="M278">
        <v>18709</v>
      </c>
      <c r="N278">
        <v>219</v>
      </c>
      <c r="O278" t="s">
        <v>11</v>
      </c>
      <c r="P278" t="s">
        <v>11</v>
      </c>
      <c r="Q278" t="s">
        <v>11</v>
      </c>
      <c r="R278" t="s">
        <v>11</v>
      </c>
      <c r="S278" t="s">
        <v>11</v>
      </c>
      <c r="T278" s="34">
        <v>57410</v>
      </c>
      <c r="U278" s="34">
        <v>19075</v>
      </c>
      <c r="V278" s="34">
        <v>6548</v>
      </c>
      <c r="W278">
        <v>6426</v>
      </c>
      <c r="X278">
        <v>6177</v>
      </c>
      <c r="Y278">
        <v>6108</v>
      </c>
      <c r="Z278">
        <v>4883</v>
      </c>
      <c r="AA278">
        <v>1952</v>
      </c>
      <c r="AB278">
        <v>48336</v>
      </c>
      <c r="AC278">
        <v>35495</v>
      </c>
      <c r="AD278">
        <v>2525</v>
      </c>
      <c r="AE278">
        <v>2114</v>
      </c>
      <c r="AF278">
        <v>6396</v>
      </c>
      <c r="AG278">
        <v>5636</v>
      </c>
      <c r="AH278">
        <f t="shared" si="53"/>
        <v>1535</v>
      </c>
      <c r="AI278">
        <f t="shared" si="50"/>
        <v>2114</v>
      </c>
      <c r="AJ278">
        <v>17761</v>
      </c>
      <c r="AK278">
        <v>15311</v>
      </c>
      <c r="AL278">
        <v>27744</v>
      </c>
      <c r="AM278">
        <v>13846</v>
      </c>
      <c r="AN278" s="22">
        <v>406</v>
      </c>
      <c r="AO278">
        <v>1205</v>
      </c>
      <c r="AP278" t="s">
        <v>11</v>
      </c>
      <c r="AQ278" t="s">
        <v>11</v>
      </c>
      <c r="AR278">
        <v>229</v>
      </c>
      <c r="AS278" t="s">
        <v>11</v>
      </c>
      <c r="AT278" t="str">
        <f t="shared" si="43"/>
        <v>NoData</v>
      </c>
      <c r="AU278" t="str">
        <f t="shared" si="44"/>
        <v>NoData</v>
      </c>
      <c r="AV278">
        <v>0</v>
      </c>
      <c r="AW278" t="s">
        <v>11</v>
      </c>
      <c r="AX278">
        <v>4</v>
      </c>
      <c r="AY278" t="s">
        <v>11</v>
      </c>
      <c r="AZ278" t="str">
        <f t="shared" si="45"/>
        <v>NoData</v>
      </c>
      <c r="BA278" t="str">
        <f t="shared" si="46"/>
        <v>NoData</v>
      </c>
      <c r="BB278">
        <f t="shared" si="51"/>
        <v>406</v>
      </c>
      <c r="BC278">
        <f t="shared" si="52"/>
        <v>1205</v>
      </c>
      <c r="BD278" t="s">
        <v>11</v>
      </c>
      <c r="BE278" t="s">
        <v>11</v>
      </c>
      <c r="BF278" t="s">
        <v>11</v>
      </c>
      <c r="BG278" t="s">
        <v>11</v>
      </c>
      <c r="BH278">
        <v>10</v>
      </c>
      <c r="BI278" t="s">
        <v>11</v>
      </c>
      <c r="BJ278">
        <v>68</v>
      </c>
      <c r="BK278" t="s">
        <v>11</v>
      </c>
      <c r="BL278" t="s">
        <v>11</v>
      </c>
      <c r="BM278" t="s">
        <v>11</v>
      </c>
      <c r="BN278">
        <v>11</v>
      </c>
      <c r="BO278" t="s">
        <v>11</v>
      </c>
      <c r="BP278" t="str">
        <f t="shared" si="47"/>
        <v>NoData</v>
      </c>
      <c r="BQ278" t="str">
        <f t="shared" si="48"/>
        <v>NoData</v>
      </c>
      <c r="BR278">
        <v>77</v>
      </c>
      <c r="BS278" t="s">
        <v>11</v>
      </c>
      <c r="BT278">
        <v>34</v>
      </c>
      <c r="BU278" t="s">
        <v>11</v>
      </c>
    </row>
    <row r="279" spans="1:73" x14ac:dyDescent="0.25">
      <c r="A279" s="5">
        <v>34274</v>
      </c>
      <c r="B279">
        <v>1783</v>
      </c>
      <c r="C279" t="s">
        <v>11</v>
      </c>
      <c r="D279" t="s">
        <v>11</v>
      </c>
      <c r="E279" t="s">
        <v>11</v>
      </c>
      <c r="F279">
        <v>2166</v>
      </c>
      <c r="G279" t="s">
        <v>11</v>
      </c>
      <c r="H279">
        <v>798</v>
      </c>
      <c r="I279" t="s">
        <v>11</v>
      </c>
      <c r="J279">
        <v>653</v>
      </c>
      <c r="K279" t="s">
        <v>11</v>
      </c>
      <c r="L279">
        <v>29620</v>
      </c>
      <c r="M279">
        <v>11880</v>
      </c>
      <c r="N279">
        <v>198</v>
      </c>
      <c r="O279" t="s">
        <v>11</v>
      </c>
      <c r="P279" t="s">
        <v>11</v>
      </c>
      <c r="Q279" t="s">
        <v>11</v>
      </c>
      <c r="R279" t="s">
        <v>11</v>
      </c>
      <c r="S279" t="s">
        <v>11</v>
      </c>
      <c r="T279" s="34">
        <v>38690</v>
      </c>
      <c r="U279" s="34">
        <v>5556</v>
      </c>
      <c r="V279" s="34">
        <v>3728</v>
      </c>
      <c r="W279">
        <v>3576</v>
      </c>
      <c r="X279">
        <v>2870</v>
      </c>
      <c r="Y279">
        <v>2901</v>
      </c>
      <c r="Z279">
        <v>2587</v>
      </c>
      <c r="AA279">
        <v>627</v>
      </c>
      <c r="AB279">
        <v>22794</v>
      </c>
      <c r="AC279">
        <v>9969</v>
      </c>
      <c r="AD279">
        <v>1535</v>
      </c>
      <c r="AE279">
        <v>1110</v>
      </c>
      <c r="AF279">
        <v>4174</v>
      </c>
      <c r="AG279">
        <v>3393</v>
      </c>
      <c r="AH279">
        <f t="shared" si="53"/>
        <v>1584</v>
      </c>
      <c r="AI279">
        <f t="shared" si="50"/>
        <v>1110</v>
      </c>
      <c r="AJ279">
        <v>10066</v>
      </c>
      <c r="AK279">
        <v>7499</v>
      </c>
      <c r="AL279">
        <v>20308</v>
      </c>
      <c r="AM279">
        <v>9900</v>
      </c>
      <c r="AN279" s="22">
        <v>48</v>
      </c>
      <c r="AO279">
        <v>619</v>
      </c>
      <c r="AP279" t="s">
        <v>11</v>
      </c>
      <c r="AQ279" t="s">
        <v>11</v>
      </c>
      <c r="AR279">
        <v>163</v>
      </c>
      <c r="AS279" t="s">
        <v>11</v>
      </c>
      <c r="AT279" t="str">
        <f t="shared" si="43"/>
        <v>NoData</v>
      </c>
      <c r="AU279" t="str">
        <f t="shared" si="44"/>
        <v>NoData</v>
      </c>
      <c r="AV279">
        <v>0</v>
      </c>
      <c r="AW279" t="s">
        <v>11</v>
      </c>
      <c r="AX279">
        <v>4</v>
      </c>
      <c r="AY279" t="s">
        <v>11</v>
      </c>
      <c r="AZ279" t="str">
        <f t="shared" si="45"/>
        <v>NoData</v>
      </c>
      <c r="BA279" t="str">
        <f t="shared" si="46"/>
        <v>NoData</v>
      </c>
      <c r="BB279">
        <f t="shared" si="51"/>
        <v>48</v>
      </c>
      <c r="BC279">
        <f t="shared" si="52"/>
        <v>619</v>
      </c>
      <c r="BD279" t="s">
        <v>11</v>
      </c>
      <c r="BE279" t="s">
        <v>11</v>
      </c>
      <c r="BF279" t="s">
        <v>11</v>
      </c>
      <c r="BG279" t="s">
        <v>11</v>
      </c>
      <c r="BH279">
        <v>7</v>
      </c>
      <c r="BI279" t="s">
        <v>11</v>
      </c>
      <c r="BJ279">
        <v>47</v>
      </c>
      <c r="BK279" t="s">
        <v>11</v>
      </c>
      <c r="BL279" t="s">
        <v>11</v>
      </c>
      <c r="BM279" t="s">
        <v>11</v>
      </c>
      <c r="BN279">
        <v>7</v>
      </c>
      <c r="BO279" t="s">
        <v>11</v>
      </c>
      <c r="BP279" t="str">
        <f t="shared" si="47"/>
        <v>NoData</v>
      </c>
      <c r="BQ279" t="str">
        <f t="shared" si="48"/>
        <v>NoData</v>
      </c>
      <c r="BR279">
        <v>54</v>
      </c>
      <c r="BS279" t="s">
        <v>11</v>
      </c>
      <c r="BT279">
        <v>24</v>
      </c>
      <c r="BU279" t="s">
        <v>11</v>
      </c>
    </row>
    <row r="280" spans="1:73" x14ac:dyDescent="0.25">
      <c r="A280" s="5">
        <v>34304</v>
      </c>
      <c r="B280">
        <v>1825</v>
      </c>
      <c r="C280" t="s">
        <v>11</v>
      </c>
      <c r="D280" t="s">
        <v>11</v>
      </c>
      <c r="E280" t="s">
        <v>11</v>
      </c>
      <c r="F280">
        <v>1578</v>
      </c>
      <c r="G280" t="s">
        <v>11</v>
      </c>
      <c r="H280">
        <v>421</v>
      </c>
      <c r="I280" t="s">
        <v>11</v>
      </c>
      <c r="J280">
        <v>473</v>
      </c>
      <c r="K280" t="s">
        <v>11</v>
      </c>
      <c r="L280">
        <v>39290</v>
      </c>
      <c r="M280">
        <v>20922</v>
      </c>
      <c r="N280">
        <v>196</v>
      </c>
      <c r="O280" t="s">
        <v>11</v>
      </c>
      <c r="P280" t="s">
        <v>11</v>
      </c>
      <c r="Q280" t="s">
        <v>11</v>
      </c>
      <c r="R280" t="s">
        <v>11</v>
      </c>
      <c r="S280" t="s">
        <v>11</v>
      </c>
      <c r="T280" s="34">
        <v>50250</v>
      </c>
      <c r="U280" s="34">
        <v>16113</v>
      </c>
      <c r="V280" s="34">
        <v>3314</v>
      </c>
      <c r="W280">
        <v>3234</v>
      </c>
      <c r="X280">
        <v>3449</v>
      </c>
      <c r="Y280">
        <v>3398</v>
      </c>
      <c r="Z280">
        <v>2533</v>
      </c>
      <c r="AA280">
        <v>746</v>
      </c>
      <c r="AB280">
        <v>18067</v>
      </c>
      <c r="AC280">
        <v>7369</v>
      </c>
      <c r="AD280">
        <v>1584</v>
      </c>
      <c r="AE280">
        <v>1143</v>
      </c>
      <c r="AF280">
        <v>2863</v>
      </c>
      <c r="AG280">
        <v>2599</v>
      </c>
      <c r="AH280">
        <f t="shared" si="49"/>
        <v>1584</v>
      </c>
      <c r="AI280">
        <f t="shared" si="50"/>
        <v>1143</v>
      </c>
      <c r="AJ280">
        <v>10187</v>
      </c>
      <c r="AK280">
        <v>7606</v>
      </c>
      <c r="AL280">
        <v>18254</v>
      </c>
      <c r="AM280">
        <v>6247</v>
      </c>
      <c r="AN280" s="22">
        <v>52</v>
      </c>
      <c r="AO280">
        <v>614</v>
      </c>
      <c r="AP280" t="s">
        <v>11</v>
      </c>
      <c r="AQ280" t="s">
        <v>11</v>
      </c>
      <c r="AR280">
        <v>160</v>
      </c>
      <c r="AS280" t="s">
        <v>11</v>
      </c>
      <c r="AT280" t="str">
        <f t="shared" si="43"/>
        <v>NoData</v>
      </c>
      <c r="AU280" t="str">
        <f t="shared" si="44"/>
        <v>NoData</v>
      </c>
      <c r="AV280">
        <v>0</v>
      </c>
      <c r="AW280" t="s">
        <v>11</v>
      </c>
      <c r="AX280">
        <v>4</v>
      </c>
      <c r="AY280" t="s">
        <v>11</v>
      </c>
      <c r="AZ280" t="str">
        <f t="shared" si="45"/>
        <v>NoData</v>
      </c>
      <c r="BA280" t="str">
        <f t="shared" si="46"/>
        <v>NoData</v>
      </c>
      <c r="BB280">
        <f t="shared" si="51"/>
        <v>52</v>
      </c>
      <c r="BC280">
        <f t="shared" si="52"/>
        <v>614</v>
      </c>
      <c r="BD280" t="s">
        <v>11</v>
      </c>
      <c r="BE280" t="s">
        <v>11</v>
      </c>
      <c r="BF280" t="s">
        <v>11</v>
      </c>
      <c r="BG280" t="s">
        <v>11</v>
      </c>
      <c r="BH280">
        <v>7</v>
      </c>
      <c r="BI280" t="s">
        <v>11</v>
      </c>
      <c r="BJ280">
        <v>47</v>
      </c>
      <c r="BK280" t="s">
        <v>11</v>
      </c>
      <c r="BL280" t="s">
        <v>11</v>
      </c>
      <c r="BM280" t="s">
        <v>11</v>
      </c>
      <c r="BN280">
        <v>7</v>
      </c>
      <c r="BO280" t="s">
        <v>11</v>
      </c>
      <c r="BP280" t="str">
        <f t="shared" si="47"/>
        <v>NoData</v>
      </c>
      <c r="BQ280" t="str">
        <f t="shared" si="48"/>
        <v>NoData</v>
      </c>
      <c r="BR280">
        <v>54</v>
      </c>
      <c r="BS280" t="s">
        <v>11</v>
      </c>
      <c r="BT280">
        <v>24</v>
      </c>
      <c r="BU280" t="s">
        <v>11</v>
      </c>
    </row>
    <row r="281" spans="1:73" x14ac:dyDescent="0.25">
      <c r="A281" s="5">
        <v>34335</v>
      </c>
      <c r="B281">
        <v>1626</v>
      </c>
      <c r="C281" t="s">
        <v>11</v>
      </c>
      <c r="D281" t="s">
        <v>11</v>
      </c>
      <c r="E281" t="s">
        <v>11</v>
      </c>
      <c r="F281">
        <v>2747</v>
      </c>
      <c r="G281" t="s">
        <v>11</v>
      </c>
      <c r="H281">
        <v>1392</v>
      </c>
      <c r="I281" t="s">
        <v>11</v>
      </c>
      <c r="J281">
        <v>1575</v>
      </c>
      <c r="K281" t="s">
        <v>11</v>
      </c>
      <c r="L281">
        <v>21680</v>
      </c>
      <c r="M281">
        <v>7619</v>
      </c>
      <c r="N281">
        <v>160</v>
      </c>
      <c r="O281">
        <v>160</v>
      </c>
      <c r="P281" t="s">
        <v>11</v>
      </c>
      <c r="Q281" t="s">
        <v>11</v>
      </c>
      <c r="R281" t="s">
        <v>11</v>
      </c>
      <c r="S281" t="s">
        <v>11</v>
      </c>
      <c r="T281" s="34">
        <v>31460</v>
      </c>
      <c r="U281" s="34">
        <v>5715</v>
      </c>
      <c r="V281" s="34">
        <v>2811</v>
      </c>
      <c r="W281">
        <v>2709</v>
      </c>
      <c r="X281">
        <v>2971</v>
      </c>
      <c r="Y281">
        <v>2907</v>
      </c>
      <c r="Z281">
        <v>3038</v>
      </c>
      <c r="AA281">
        <v>1218</v>
      </c>
      <c r="AB281">
        <v>16635</v>
      </c>
      <c r="AC281">
        <v>6966</v>
      </c>
      <c r="AD281">
        <v>1663</v>
      </c>
      <c r="AE281">
        <v>1128</v>
      </c>
      <c r="AF281">
        <v>2762</v>
      </c>
      <c r="AG281">
        <v>2335</v>
      </c>
      <c r="AH281">
        <f t="shared" si="49"/>
        <v>1663</v>
      </c>
      <c r="AI281">
        <f t="shared" si="50"/>
        <v>1128</v>
      </c>
      <c r="AJ281">
        <v>12108</v>
      </c>
      <c r="AK281">
        <v>8823</v>
      </c>
      <c r="AL281">
        <v>16432</v>
      </c>
      <c r="AM281">
        <v>5355</v>
      </c>
      <c r="AN281" s="22">
        <v>48</v>
      </c>
      <c r="AO281">
        <v>925</v>
      </c>
      <c r="AP281" t="s">
        <v>11</v>
      </c>
      <c r="AQ281" t="s">
        <v>11</v>
      </c>
      <c r="AR281">
        <v>151</v>
      </c>
      <c r="AS281" t="s">
        <v>11</v>
      </c>
      <c r="AT281" t="str">
        <f t="shared" si="43"/>
        <v>NoData</v>
      </c>
      <c r="AU281" t="str">
        <f t="shared" si="44"/>
        <v>NoData</v>
      </c>
      <c r="AV281">
        <v>4</v>
      </c>
      <c r="AW281" t="s">
        <v>11</v>
      </c>
      <c r="AX281">
        <v>4</v>
      </c>
      <c r="AY281" t="s">
        <v>11</v>
      </c>
      <c r="AZ281" t="str">
        <f t="shared" si="45"/>
        <v>NoData</v>
      </c>
      <c r="BA281" t="str">
        <f t="shared" si="46"/>
        <v>NoData</v>
      </c>
      <c r="BB281">
        <f t="shared" si="51"/>
        <v>48</v>
      </c>
      <c r="BC281">
        <f t="shared" si="52"/>
        <v>925</v>
      </c>
      <c r="BD281" t="s">
        <v>11</v>
      </c>
      <c r="BE281" t="s">
        <v>11</v>
      </c>
      <c r="BF281" t="s">
        <v>11</v>
      </c>
      <c r="BG281" t="s">
        <v>11</v>
      </c>
      <c r="BH281">
        <v>6</v>
      </c>
      <c r="BI281" t="s">
        <v>11</v>
      </c>
      <c r="BJ281" t="s">
        <v>11</v>
      </c>
      <c r="BK281" t="s">
        <v>11</v>
      </c>
      <c r="BL281" t="s">
        <v>11</v>
      </c>
      <c r="BM281" t="s">
        <v>11</v>
      </c>
      <c r="BN281">
        <v>24</v>
      </c>
      <c r="BO281" t="s">
        <v>11</v>
      </c>
      <c r="BP281" t="str">
        <f t="shared" si="47"/>
        <v>NoData</v>
      </c>
      <c r="BQ281" t="str">
        <f t="shared" si="48"/>
        <v>NoData</v>
      </c>
      <c r="BR281">
        <v>51</v>
      </c>
      <c r="BS281" t="s">
        <v>11</v>
      </c>
      <c r="BT281">
        <v>23</v>
      </c>
      <c r="BU281" t="s">
        <v>11</v>
      </c>
    </row>
    <row r="282" spans="1:73" x14ac:dyDescent="0.25">
      <c r="A282" s="5">
        <v>34366</v>
      </c>
      <c r="B282">
        <v>1799</v>
      </c>
      <c r="C282" t="s">
        <v>11</v>
      </c>
      <c r="D282" t="s">
        <v>11</v>
      </c>
      <c r="E282" t="s">
        <v>11</v>
      </c>
      <c r="F282">
        <v>2328</v>
      </c>
      <c r="G282" t="s">
        <v>11</v>
      </c>
      <c r="H282">
        <v>1096</v>
      </c>
      <c r="I282" t="s">
        <v>11</v>
      </c>
      <c r="J282">
        <v>1262</v>
      </c>
      <c r="K282" t="s">
        <v>11</v>
      </c>
      <c r="L282">
        <v>38040</v>
      </c>
      <c r="M282">
        <v>20454</v>
      </c>
      <c r="N282">
        <v>175</v>
      </c>
      <c r="O282">
        <v>175</v>
      </c>
      <c r="P282" t="s">
        <v>11</v>
      </c>
      <c r="Q282" t="s">
        <v>11</v>
      </c>
      <c r="R282" t="s">
        <v>11</v>
      </c>
      <c r="S282" t="s">
        <v>11</v>
      </c>
      <c r="T282" s="34">
        <v>40000</v>
      </c>
      <c r="U282" s="34">
        <v>12797</v>
      </c>
      <c r="V282" s="34">
        <v>3041</v>
      </c>
      <c r="W282">
        <v>2953</v>
      </c>
      <c r="X282">
        <v>3160</v>
      </c>
      <c r="Y282">
        <v>3101</v>
      </c>
      <c r="Z282">
        <v>3029</v>
      </c>
      <c r="AA282">
        <v>1323</v>
      </c>
      <c r="AB282">
        <v>16620</v>
      </c>
      <c r="AC282">
        <v>8699</v>
      </c>
      <c r="AD282">
        <v>1300</v>
      </c>
      <c r="AE282">
        <v>754</v>
      </c>
      <c r="AF282">
        <v>3577</v>
      </c>
      <c r="AG282">
        <v>3176</v>
      </c>
      <c r="AH282">
        <f t="shared" si="49"/>
        <v>1300</v>
      </c>
      <c r="AI282">
        <f t="shared" si="50"/>
        <v>754</v>
      </c>
      <c r="AJ282">
        <v>9862</v>
      </c>
      <c r="AK282">
        <v>6589</v>
      </c>
      <c r="AL282">
        <v>21642</v>
      </c>
      <c r="AM282">
        <v>12267</v>
      </c>
      <c r="AN282" s="22">
        <v>22</v>
      </c>
      <c r="AO282">
        <v>572</v>
      </c>
      <c r="AP282" t="s">
        <v>11</v>
      </c>
      <c r="AQ282" t="s">
        <v>11</v>
      </c>
      <c r="AR282">
        <v>121</v>
      </c>
      <c r="AS282" t="s">
        <v>11</v>
      </c>
      <c r="AT282" t="str">
        <f t="shared" si="43"/>
        <v>NoData</v>
      </c>
      <c r="AU282" t="str">
        <f t="shared" si="44"/>
        <v>NoData</v>
      </c>
      <c r="AV282">
        <v>0</v>
      </c>
      <c r="AW282" t="s">
        <v>11</v>
      </c>
      <c r="AX282">
        <v>4</v>
      </c>
      <c r="AY282" t="s">
        <v>11</v>
      </c>
      <c r="AZ282" t="str">
        <f t="shared" si="45"/>
        <v>NoData</v>
      </c>
      <c r="BA282" t="str">
        <f t="shared" si="46"/>
        <v>NoData</v>
      </c>
      <c r="BB282">
        <f t="shared" si="51"/>
        <v>22</v>
      </c>
      <c r="BC282">
        <f t="shared" si="52"/>
        <v>572</v>
      </c>
      <c r="BD282" t="s">
        <v>11</v>
      </c>
      <c r="BE282" t="s">
        <v>11</v>
      </c>
      <c r="BF282" t="s">
        <v>11</v>
      </c>
      <c r="BG282" t="s">
        <v>11</v>
      </c>
      <c r="BH282">
        <v>18</v>
      </c>
      <c r="BI282" t="s">
        <v>11</v>
      </c>
      <c r="BJ282" t="s">
        <v>11</v>
      </c>
      <c r="BK282" t="s">
        <v>11</v>
      </c>
      <c r="BL282" t="s">
        <v>11</v>
      </c>
      <c r="BM282" t="s">
        <v>11</v>
      </c>
      <c r="BN282">
        <v>27</v>
      </c>
      <c r="BO282" t="s">
        <v>11</v>
      </c>
      <c r="BP282" t="str">
        <f t="shared" si="47"/>
        <v>NoData</v>
      </c>
      <c r="BQ282" t="str">
        <f t="shared" si="48"/>
        <v>NoData</v>
      </c>
      <c r="BR282">
        <v>41</v>
      </c>
      <c r="BS282" t="s">
        <v>11</v>
      </c>
      <c r="BT282">
        <v>18</v>
      </c>
      <c r="BU282" t="s">
        <v>11</v>
      </c>
    </row>
    <row r="283" spans="1:73" x14ac:dyDescent="0.25">
      <c r="A283" s="5">
        <v>34394</v>
      </c>
      <c r="B283">
        <v>3546</v>
      </c>
      <c r="C283" t="s">
        <v>11</v>
      </c>
      <c r="D283" t="s">
        <v>11</v>
      </c>
      <c r="E283" t="s">
        <v>11</v>
      </c>
      <c r="F283">
        <v>4343</v>
      </c>
      <c r="G283" t="s">
        <v>11</v>
      </c>
      <c r="H283">
        <v>2307</v>
      </c>
      <c r="I283" t="s">
        <v>11</v>
      </c>
      <c r="J283">
        <v>2152</v>
      </c>
      <c r="K283" t="s">
        <v>11</v>
      </c>
      <c r="L283">
        <v>49110</v>
      </c>
      <c r="M283">
        <v>27033</v>
      </c>
      <c r="N283">
        <v>224</v>
      </c>
      <c r="O283">
        <v>224</v>
      </c>
      <c r="P283" t="s">
        <v>11</v>
      </c>
      <c r="Q283" t="s">
        <v>11</v>
      </c>
      <c r="R283" t="s">
        <v>11</v>
      </c>
      <c r="S283" t="s">
        <v>11</v>
      </c>
      <c r="T283" s="34">
        <v>54980</v>
      </c>
      <c r="U283" s="34">
        <v>23165</v>
      </c>
      <c r="V283" s="34">
        <v>5112</v>
      </c>
      <c r="W283">
        <v>4996</v>
      </c>
      <c r="X283">
        <v>4847</v>
      </c>
      <c r="Y283">
        <v>4779</v>
      </c>
      <c r="Z283">
        <v>4397</v>
      </c>
      <c r="AA283">
        <v>2158</v>
      </c>
      <c r="AB283">
        <v>30501</v>
      </c>
      <c r="AC283">
        <v>21761</v>
      </c>
      <c r="AD283">
        <v>2406</v>
      </c>
      <c r="AE283">
        <v>1779</v>
      </c>
      <c r="AF283">
        <v>5288</v>
      </c>
      <c r="AG283">
        <v>4869</v>
      </c>
      <c r="AH283">
        <f t="shared" si="49"/>
        <v>2406</v>
      </c>
      <c r="AI283">
        <f t="shared" si="50"/>
        <v>1779</v>
      </c>
      <c r="AJ283">
        <v>16670</v>
      </c>
      <c r="AK283">
        <v>12993</v>
      </c>
      <c r="AL283">
        <v>32297</v>
      </c>
      <c r="AM283">
        <v>20248</v>
      </c>
      <c r="AN283" s="22">
        <v>104</v>
      </c>
      <c r="AO283">
        <v>1268</v>
      </c>
      <c r="AP283" t="s">
        <v>11</v>
      </c>
      <c r="AQ283" t="s">
        <v>11</v>
      </c>
      <c r="AR283">
        <v>207</v>
      </c>
      <c r="AS283" t="s">
        <v>11</v>
      </c>
      <c r="AT283" t="str">
        <f t="shared" si="43"/>
        <v>NoData</v>
      </c>
      <c r="AU283" t="str">
        <f t="shared" si="44"/>
        <v>NoData</v>
      </c>
      <c r="AV283">
        <v>3</v>
      </c>
      <c r="AW283" t="s">
        <v>11</v>
      </c>
      <c r="AX283">
        <v>4</v>
      </c>
      <c r="AY283" t="s">
        <v>11</v>
      </c>
      <c r="AZ283" t="str">
        <f t="shared" si="45"/>
        <v>NoData</v>
      </c>
      <c r="BA283" t="str">
        <f t="shared" si="46"/>
        <v>NoData</v>
      </c>
      <c r="BB283">
        <f t="shared" si="51"/>
        <v>104</v>
      </c>
      <c r="BC283">
        <f t="shared" si="52"/>
        <v>1268</v>
      </c>
      <c r="BD283" t="s">
        <v>11</v>
      </c>
      <c r="BE283" t="s">
        <v>11</v>
      </c>
      <c r="BF283" t="s">
        <v>11</v>
      </c>
      <c r="BG283" t="s">
        <v>11</v>
      </c>
      <c r="BH283">
        <v>29</v>
      </c>
      <c r="BI283" t="s">
        <v>11</v>
      </c>
      <c r="BJ283" t="s">
        <v>11</v>
      </c>
      <c r="BK283" t="s">
        <v>11</v>
      </c>
      <c r="BL283" t="s">
        <v>11</v>
      </c>
      <c r="BM283" t="s">
        <v>11</v>
      </c>
      <c r="BN283">
        <v>61</v>
      </c>
      <c r="BO283" t="s">
        <v>11</v>
      </c>
      <c r="BP283" t="str">
        <f t="shared" si="47"/>
        <v>NoData</v>
      </c>
      <c r="BQ283" t="str">
        <f t="shared" si="48"/>
        <v>NoData</v>
      </c>
      <c r="BR283">
        <v>69</v>
      </c>
      <c r="BS283" t="s">
        <v>11</v>
      </c>
      <c r="BT283">
        <v>31</v>
      </c>
      <c r="BU283" t="s">
        <v>11</v>
      </c>
    </row>
    <row r="284" spans="1:73" x14ac:dyDescent="0.25">
      <c r="A284" s="5">
        <v>34425</v>
      </c>
      <c r="B284">
        <v>3483</v>
      </c>
      <c r="C284" t="s">
        <v>11</v>
      </c>
      <c r="D284" t="s">
        <v>11</v>
      </c>
      <c r="E284" t="s">
        <v>11</v>
      </c>
      <c r="F284">
        <v>4197</v>
      </c>
      <c r="G284" t="s">
        <v>11</v>
      </c>
      <c r="H284">
        <v>2537</v>
      </c>
      <c r="I284" t="s">
        <v>11</v>
      </c>
      <c r="J284">
        <v>2323</v>
      </c>
      <c r="K284" t="s">
        <v>11</v>
      </c>
      <c r="L284">
        <v>64200</v>
      </c>
      <c r="M284">
        <v>42749</v>
      </c>
      <c r="N284">
        <v>653</v>
      </c>
      <c r="O284">
        <v>653</v>
      </c>
      <c r="P284" t="s">
        <v>11</v>
      </c>
      <c r="Q284" t="s">
        <v>11</v>
      </c>
      <c r="R284" t="s">
        <v>11</v>
      </c>
      <c r="S284" t="s">
        <v>11</v>
      </c>
      <c r="T284" s="34">
        <v>71580</v>
      </c>
      <c r="U284" s="34">
        <v>39677</v>
      </c>
      <c r="V284" s="34">
        <v>6640</v>
      </c>
      <c r="W284">
        <v>6499</v>
      </c>
      <c r="X284">
        <v>7004</v>
      </c>
      <c r="Y284">
        <v>6918</v>
      </c>
      <c r="Z284">
        <v>5155</v>
      </c>
      <c r="AA284">
        <v>2511</v>
      </c>
      <c r="AB284">
        <v>37025</v>
      </c>
      <c r="AC284">
        <v>28243</v>
      </c>
      <c r="AD284">
        <v>2785</v>
      </c>
      <c r="AE284">
        <v>2149</v>
      </c>
      <c r="AF284">
        <v>6323</v>
      </c>
      <c r="AG284">
        <v>5493</v>
      </c>
      <c r="AH284">
        <f t="shared" si="49"/>
        <v>2785</v>
      </c>
      <c r="AI284">
        <f t="shared" si="50"/>
        <v>2149</v>
      </c>
      <c r="AJ284">
        <v>22081</v>
      </c>
      <c r="AK284">
        <v>18173</v>
      </c>
      <c r="AL284">
        <v>42269</v>
      </c>
      <c r="AM284">
        <v>30026</v>
      </c>
      <c r="AN284" s="22">
        <v>210</v>
      </c>
      <c r="AO284">
        <v>1685</v>
      </c>
      <c r="AP284" t="s">
        <v>11</v>
      </c>
      <c r="AQ284" t="s">
        <v>11</v>
      </c>
      <c r="AR284">
        <v>224</v>
      </c>
      <c r="AS284" t="s">
        <v>11</v>
      </c>
      <c r="AT284" t="str">
        <f t="shared" si="43"/>
        <v>NoData</v>
      </c>
      <c r="AU284" t="str">
        <f t="shared" si="44"/>
        <v>NoData</v>
      </c>
      <c r="AV284">
        <v>3</v>
      </c>
      <c r="AW284" t="s">
        <v>11</v>
      </c>
      <c r="AX284">
        <v>4</v>
      </c>
      <c r="AY284" t="s">
        <v>11</v>
      </c>
      <c r="AZ284" t="str">
        <f t="shared" si="45"/>
        <v>NoData</v>
      </c>
      <c r="BA284" t="str">
        <f t="shared" si="46"/>
        <v>NoData</v>
      </c>
      <c r="BB284">
        <f t="shared" si="51"/>
        <v>210</v>
      </c>
      <c r="BC284">
        <f t="shared" si="52"/>
        <v>1685</v>
      </c>
      <c r="BD284" t="s">
        <v>11</v>
      </c>
      <c r="BE284" t="s">
        <v>11</v>
      </c>
      <c r="BF284" t="s">
        <v>11</v>
      </c>
      <c r="BG284" t="s">
        <v>11</v>
      </c>
      <c r="BH284">
        <v>36</v>
      </c>
      <c r="BI284" t="s">
        <v>11</v>
      </c>
      <c r="BJ284" t="s">
        <v>11</v>
      </c>
      <c r="BK284" t="s">
        <v>11</v>
      </c>
      <c r="BL284" t="s">
        <v>11</v>
      </c>
      <c r="BM284" t="s">
        <v>11</v>
      </c>
      <c r="BN284">
        <v>22</v>
      </c>
      <c r="BO284" t="s">
        <v>11</v>
      </c>
      <c r="BP284" t="str">
        <f t="shared" si="47"/>
        <v>NoData</v>
      </c>
      <c r="BQ284" t="str">
        <f t="shared" si="48"/>
        <v>NoData</v>
      </c>
      <c r="BR284">
        <v>75</v>
      </c>
      <c r="BS284" t="s">
        <v>11</v>
      </c>
      <c r="BT284">
        <v>34</v>
      </c>
      <c r="BU284" t="s">
        <v>11</v>
      </c>
    </row>
    <row r="285" spans="1:73" x14ac:dyDescent="0.25">
      <c r="A285" s="5">
        <v>34455</v>
      </c>
      <c r="B285">
        <v>3996</v>
      </c>
      <c r="C285" t="s">
        <v>11</v>
      </c>
      <c r="D285" t="s">
        <v>11</v>
      </c>
      <c r="E285" t="s">
        <v>11</v>
      </c>
      <c r="F285">
        <v>5530</v>
      </c>
      <c r="G285" t="s">
        <v>11</v>
      </c>
      <c r="H285">
        <v>1952</v>
      </c>
      <c r="I285" t="s">
        <v>11</v>
      </c>
      <c r="J285">
        <v>2841</v>
      </c>
      <c r="K285" t="s">
        <v>11</v>
      </c>
      <c r="L285">
        <v>71770</v>
      </c>
      <c r="M285">
        <v>49706</v>
      </c>
      <c r="N285">
        <v>759</v>
      </c>
      <c r="O285">
        <v>759</v>
      </c>
      <c r="P285" t="s">
        <v>11</v>
      </c>
      <c r="Q285" t="s">
        <v>11</v>
      </c>
      <c r="R285" t="s">
        <v>11</v>
      </c>
      <c r="S285" t="s">
        <v>11</v>
      </c>
      <c r="T285" s="34">
        <v>77730</v>
      </c>
      <c r="U285" s="34">
        <v>41711</v>
      </c>
      <c r="V285" s="34">
        <v>4680</v>
      </c>
      <c r="W285">
        <v>4582</v>
      </c>
      <c r="X285">
        <v>6031</v>
      </c>
      <c r="Y285">
        <v>5953</v>
      </c>
      <c r="Z285">
        <v>4742</v>
      </c>
      <c r="AA285">
        <v>2149</v>
      </c>
      <c r="AB285">
        <v>34910</v>
      </c>
      <c r="AC285">
        <v>20712</v>
      </c>
      <c r="AD285">
        <v>3050</v>
      </c>
      <c r="AE285">
        <v>2463</v>
      </c>
      <c r="AF285">
        <v>4910</v>
      </c>
      <c r="AG285">
        <v>4404</v>
      </c>
      <c r="AH285">
        <f t="shared" si="49"/>
        <v>3050</v>
      </c>
      <c r="AI285">
        <f t="shared" si="50"/>
        <v>2463</v>
      </c>
      <c r="AJ285">
        <v>24617</v>
      </c>
      <c r="AK285">
        <v>21050</v>
      </c>
      <c r="AL285">
        <v>34621</v>
      </c>
      <c r="AM285">
        <v>20391</v>
      </c>
      <c r="AN285" s="22">
        <v>0</v>
      </c>
      <c r="AO285">
        <v>1516</v>
      </c>
      <c r="AP285" t="s">
        <v>11</v>
      </c>
      <c r="AQ285" t="s">
        <v>11</v>
      </c>
      <c r="AR285">
        <v>273</v>
      </c>
      <c r="AS285" t="s">
        <v>11</v>
      </c>
      <c r="AT285" t="str">
        <f t="shared" si="43"/>
        <v>NoData</v>
      </c>
      <c r="AU285" t="str">
        <f t="shared" si="44"/>
        <v>NoData</v>
      </c>
      <c r="AV285">
        <v>5</v>
      </c>
      <c r="AW285" t="s">
        <v>11</v>
      </c>
      <c r="AX285">
        <v>4</v>
      </c>
      <c r="AY285" t="s">
        <v>11</v>
      </c>
      <c r="AZ285" t="str">
        <f t="shared" si="45"/>
        <v>NoData</v>
      </c>
      <c r="BA285" t="str">
        <f t="shared" si="46"/>
        <v>NoData</v>
      </c>
      <c r="BB285">
        <f t="shared" si="51"/>
        <v>0</v>
      </c>
      <c r="BC285">
        <f t="shared" si="52"/>
        <v>1516</v>
      </c>
      <c r="BD285" t="s">
        <v>11</v>
      </c>
      <c r="BE285" t="s">
        <v>11</v>
      </c>
      <c r="BF285" t="s">
        <v>11</v>
      </c>
      <c r="BG285" t="s">
        <v>11</v>
      </c>
      <c r="BH285">
        <v>37</v>
      </c>
      <c r="BI285" t="s">
        <v>11</v>
      </c>
      <c r="BJ285" t="s">
        <v>11</v>
      </c>
      <c r="BK285" t="s">
        <v>11</v>
      </c>
      <c r="BL285" t="s">
        <v>11</v>
      </c>
      <c r="BM285" t="s">
        <v>11</v>
      </c>
      <c r="BN285">
        <v>0</v>
      </c>
      <c r="BO285" t="s">
        <v>11</v>
      </c>
      <c r="BP285" t="str">
        <f t="shared" si="47"/>
        <v>NoData</v>
      </c>
      <c r="BQ285" t="str">
        <f t="shared" si="48"/>
        <v>NoData</v>
      </c>
      <c r="BR285">
        <v>92</v>
      </c>
      <c r="BS285" t="s">
        <v>11</v>
      </c>
      <c r="BT285">
        <v>41</v>
      </c>
      <c r="BU285" t="s">
        <v>11</v>
      </c>
    </row>
    <row r="286" spans="1:73" x14ac:dyDescent="0.25">
      <c r="A286" s="5">
        <v>34486</v>
      </c>
      <c r="B286">
        <v>5823</v>
      </c>
      <c r="C286" t="s">
        <v>11</v>
      </c>
      <c r="D286" t="s">
        <v>11</v>
      </c>
      <c r="E286" t="s">
        <v>11</v>
      </c>
      <c r="F286">
        <v>9200</v>
      </c>
      <c r="G286" t="s">
        <v>11</v>
      </c>
      <c r="H286">
        <v>2697</v>
      </c>
      <c r="I286" t="s">
        <v>11</v>
      </c>
      <c r="J286">
        <v>3444</v>
      </c>
      <c r="K286" t="s">
        <v>11</v>
      </c>
      <c r="L286">
        <v>87460</v>
      </c>
      <c r="M286">
        <v>65595</v>
      </c>
      <c r="N286">
        <v>912</v>
      </c>
      <c r="O286">
        <v>912</v>
      </c>
      <c r="P286" t="s">
        <v>11</v>
      </c>
      <c r="Q286" t="s">
        <v>11</v>
      </c>
      <c r="R286" t="s">
        <v>11</v>
      </c>
      <c r="S286" t="s">
        <v>11</v>
      </c>
      <c r="T286" s="34">
        <v>90940</v>
      </c>
      <c r="U286" s="34">
        <v>55116</v>
      </c>
      <c r="V286" s="34">
        <v>3788</v>
      </c>
      <c r="W286">
        <v>3719</v>
      </c>
      <c r="X286">
        <v>7045</v>
      </c>
      <c r="Y286">
        <v>6975</v>
      </c>
      <c r="Z286">
        <v>3996</v>
      </c>
      <c r="AA286">
        <v>1901</v>
      </c>
      <c r="AB286">
        <v>29007</v>
      </c>
      <c r="AC286">
        <v>20975</v>
      </c>
      <c r="AD286">
        <v>3800</v>
      </c>
      <c r="AE286">
        <v>3253</v>
      </c>
      <c r="AF286">
        <v>3602</v>
      </c>
      <c r="AG286">
        <v>3140</v>
      </c>
      <c r="AH286">
        <f t="shared" si="49"/>
        <v>3800</v>
      </c>
      <c r="AI286">
        <f t="shared" si="50"/>
        <v>3253</v>
      </c>
      <c r="AJ286">
        <v>29876</v>
      </c>
      <c r="AK286">
        <v>26531</v>
      </c>
      <c r="AL286">
        <v>44081</v>
      </c>
      <c r="AM286">
        <v>35898</v>
      </c>
      <c r="AN286" s="22">
        <v>292</v>
      </c>
      <c r="AO286">
        <v>2267</v>
      </c>
      <c r="AP286" t="s">
        <v>11</v>
      </c>
      <c r="AQ286" t="s">
        <v>11</v>
      </c>
      <c r="AR286">
        <v>332</v>
      </c>
      <c r="AS286" t="s">
        <v>11</v>
      </c>
      <c r="AT286" t="str">
        <f t="shared" si="43"/>
        <v>NoData</v>
      </c>
      <c r="AU286" t="str">
        <f t="shared" si="44"/>
        <v>NoData</v>
      </c>
      <c r="AV286">
        <v>3</v>
      </c>
      <c r="AW286" t="s">
        <v>11</v>
      </c>
      <c r="AX286">
        <v>4</v>
      </c>
      <c r="AY286" t="s">
        <v>11</v>
      </c>
      <c r="AZ286" t="str">
        <f t="shared" si="45"/>
        <v>NoData</v>
      </c>
      <c r="BA286" t="str">
        <f t="shared" si="46"/>
        <v>NoData</v>
      </c>
      <c r="BB286">
        <f t="shared" si="51"/>
        <v>292</v>
      </c>
      <c r="BC286">
        <f t="shared" si="52"/>
        <v>2267</v>
      </c>
      <c r="BD286" t="s">
        <v>11</v>
      </c>
      <c r="BE286" t="s">
        <v>11</v>
      </c>
      <c r="BF286" t="s">
        <v>11</v>
      </c>
      <c r="BG286" t="s">
        <v>11</v>
      </c>
      <c r="BH286">
        <v>17</v>
      </c>
      <c r="BI286" t="s">
        <v>11</v>
      </c>
      <c r="BJ286" t="s">
        <v>11</v>
      </c>
      <c r="BK286" t="s">
        <v>11</v>
      </c>
      <c r="BL286" t="s">
        <v>11</v>
      </c>
      <c r="BM286" t="s">
        <v>11</v>
      </c>
      <c r="BN286">
        <v>52</v>
      </c>
      <c r="BO286" t="s">
        <v>11</v>
      </c>
      <c r="BP286" t="str">
        <f t="shared" si="47"/>
        <v>NoData</v>
      </c>
      <c r="BQ286" t="str">
        <f t="shared" si="48"/>
        <v>NoData</v>
      </c>
      <c r="BR286">
        <v>111</v>
      </c>
      <c r="BS286" t="s">
        <v>11</v>
      </c>
      <c r="BT286">
        <v>50</v>
      </c>
      <c r="BU286" t="s">
        <v>11</v>
      </c>
    </row>
    <row r="287" spans="1:73" x14ac:dyDescent="0.25">
      <c r="A287" s="5">
        <v>34516</v>
      </c>
      <c r="B287">
        <v>6733</v>
      </c>
      <c r="C287" t="s">
        <v>11</v>
      </c>
      <c r="D287" t="s">
        <v>11</v>
      </c>
      <c r="E287" t="s">
        <v>11</v>
      </c>
      <c r="F287">
        <v>10105</v>
      </c>
      <c r="G287" t="s">
        <v>11</v>
      </c>
      <c r="H287">
        <v>2479</v>
      </c>
      <c r="I287" t="s">
        <v>11</v>
      </c>
      <c r="J287">
        <v>3760</v>
      </c>
      <c r="K287" t="s">
        <v>11</v>
      </c>
      <c r="L287">
        <v>86830</v>
      </c>
      <c r="M287">
        <v>63870</v>
      </c>
      <c r="N287">
        <v>845</v>
      </c>
      <c r="O287">
        <v>845</v>
      </c>
      <c r="P287" t="s">
        <v>11</v>
      </c>
      <c r="Q287" t="s">
        <v>11</v>
      </c>
      <c r="R287" t="s">
        <v>11</v>
      </c>
      <c r="S287" t="s">
        <v>11</v>
      </c>
      <c r="T287" s="34">
        <v>91850</v>
      </c>
      <c r="U287" s="34">
        <v>55076</v>
      </c>
      <c r="V287" s="34">
        <v>2279</v>
      </c>
      <c r="W287">
        <v>2236</v>
      </c>
      <c r="X287">
        <v>4456</v>
      </c>
      <c r="Y287">
        <v>4405</v>
      </c>
      <c r="Z287">
        <v>2900</v>
      </c>
      <c r="AA287">
        <v>1287</v>
      </c>
      <c r="AB287">
        <v>22933</v>
      </c>
      <c r="AC287">
        <v>15416</v>
      </c>
      <c r="AD287">
        <v>3629</v>
      </c>
      <c r="AE287">
        <v>3207</v>
      </c>
      <c r="AF287">
        <v>3103</v>
      </c>
      <c r="AG287">
        <v>3083</v>
      </c>
      <c r="AH287">
        <f t="shared" si="49"/>
        <v>3629</v>
      </c>
      <c r="AI287">
        <f t="shared" si="50"/>
        <v>3207</v>
      </c>
      <c r="AJ287">
        <v>30273</v>
      </c>
      <c r="AK287">
        <v>27812</v>
      </c>
      <c r="AL287">
        <v>43355</v>
      </c>
      <c r="AM287">
        <v>38158</v>
      </c>
      <c r="AN287" s="22">
        <v>272</v>
      </c>
      <c r="AO287">
        <v>2034</v>
      </c>
      <c r="AP287" t="s">
        <v>11</v>
      </c>
      <c r="AQ287" t="s">
        <v>11</v>
      </c>
      <c r="AR287">
        <v>362</v>
      </c>
      <c r="AS287" t="s">
        <v>11</v>
      </c>
      <c r="AT287" t="str">
        <f t="shared" si="43"/>
        <v>NoData</v>
      </c>
      <c r="AU287" t="str">
        <f t="shared" si="44"/>
        <v>NoData</v>
      </c>
      <c r="AV287">
        <v>7</v>
      </c>
      <c r="AW287" t="s">
        <v>11</v>
      </c>
      <c r="AX287">
        <v>4</v>
      </c>
      <c r="AY287" t="s">
        <v>11</v>
      </c>
      <c r="AZ287" t="str">
        <f t="shared" si="45"/>
        <v>NoData</v>
      </c>
      <c r="BA287" t="str">
        <f t="shared" si="46"/>
        <v>NoData</v>
      </c>
      <c r="BB287">
        <f t="shared" si="51"/>
        <v>272</v>
      </c>
      <c r="BC287">
        <f t="shared" si="52"/>
        <v>2034</v>
      </c>
      <c r="BD287" t="s">
        <v>11</v>
      </c>
      <c r="BE287" t="s">
        <v>11</v>
      </c>
      <c r="BF287" t="s">
        <v>11</v>
      </c>
      <c r="BG287" t="s">
        <v>11</v>
      </c>
      <c r="BH287">
        <v>21</v>
      </c>
      <c r="BI287" t="s">
        <v>11</v>
      </c>
      <c r="BJ287" t="s">
        <v>11</v>
      </c>
      <c r="BK287" t="s">
        <v>11</v>
      </c>
      <c r="BL287" t="s">
        <v>11</v>
      </c>
      <c r="BM287" t="s">
        <v>11</v>
      </c>
      <c r="BN287">
        <v>0</v>
      </c>
      <c r="BO287" t="s">
        <v>11</v>
      </c>
      <c r="BP287" t="str">
        <f t="shared" si="47"/>
        <v>NoData</v>
      </c>
      <c r="BQ287" t="str">
        <f t="shared" si="48"/>
        <v>NoData</v>
      </c>
      <c r="BR287">
        <v>122</v>
      </c>
      <c r="BS287" t="s">
        <v>11</v>
      </c>
      <c r="BT287">
        <v>54</v>
      </c>
      <c r="BU287" t="s">
        <v>11</v>
      </c>
    </row>
    <row r="288" spans="1:73" x14ac:dyDescent="0.25">
      <c r="A288" s="5">
        <v>34547</v>
      </c>
      <c r="B288">
        <v>5900</v>
      </c>
      <c r="C288" t="s">
        <v>11</v>
      </c>
      <c r="D288" t="s">
        <v>11</v>
      </c>
      <c r="E288" t="s">
        <v>11</v>
      </c>
      <c r="F288">
        <v>9101</v>
      </c>
      <c r="G288" t="s">
        <v>11</v>
      </c>
      <c r="H288">
        <v>2741</v>
      </c>
      <c r="I288" t="s">
        <v>11</v>
      </c>
      <c r="J288">
        <v>3615</v>
      </c>
      <c r="K288" t="s">
        <v>11</v>
      </c>
      <c r="L288">
        <v>85740</v>
      </c>
      <c r="M288">
        <v>61879</v>
      </c>
      <c r="N288">
        <v>1028</v>
      </c>
      <c r="O288">
        <v>1028</v>
      </c>
      <c r="P288" t="s">
        <v>11</v>
      </c>
      <c r="Q288" t="s">
        <v>11</v>
      </c>
      <c r="R288" t="s">
        <v>11</v>
      </c>
      <c r="S288" t="s">
        <v>11</v>
      </c>
      <c r="T288" s="34">
        <v>103200</v>
      </c>
      <c r="U288" s="34">
        <v>64105</v>
      </c>
      <c r="V288" s="34">
        <v>2774</v>
      </c>
      <c r="W288">
        <v>2729</v>
      </c>
      <c r="X288">
        <v>4613</v>
      </c>
      <c r="Y288">
        <v>4567</v>
      </c>
      <c r="Z288">
        <v>2353</v>
      </c>
      <c r="AA288">
        <v>1011</v>
      </c>
      <c r="AB288">
        <v>26741</v>
      </c>
      <c r="AC288">
        <v>18919</v>
      </c>
      <c r="AD288">
        <v>4208</v>
      </c>
      <c r="AE288">
        <v>3671</v>
      </c>
      <c r="AF288">
        <v>3604</v>
      </c>
      <c r="AG288">
        <v>3187</v>
      </c>
      <c r="AH288">
        <f t="shared" si="49"/>
        <v>4208</v>
      </c>
      <c r="AI288">
        <f t="shared" si="50"/>
        <v>3671</v>
      </c>
      <c r="AJ288">
        <v>30994</v>
      </c>
      <c r="AK288">
        <v>27768</v>
      </c>
      <c r="AL288">
        <v>38669</v>
      </c>
      <c r="AM288">
        <v>31580</v>
      </c>
      <c r="AN288" s="22">
        <v>27</v>
      </c>
      <c r="AO288">
        <v>1897</v>
      </c>
      <c r="AP288" t="s">
        <v>11</v>
      </c>
      <c r="AQ288" t="s">
        <v>11</v>
      </c>
      <c r="AR288">
        <v>348</v>
      </c>
      <c r="AS288" t="s">
        <v>11</v>
      </c>
      <c r="AT288" t="str">
        <f t="shared" si="43"/>
        <v>NoData</v>
      </c>
      <c r="AU288" t="str">
        <f t="shared" si="44"/>
        <v>NoData</v>
      </c>
      <c r="AV288">
        <v>0</v>
      </c>
      <c r="AW288" t="s">
        <v>11</v>
      </c>
      <c r="AX288">
        <v>4</v>
      </c>
      <c r="AY288" t="s">
        <v>11</v>
      </c>
      <c r="AZ288" t="str">
        <f t="shared" si="45"/>
        <v>NoData</v>
      </c>
      <c r="BA288" t="str">
        <f t="shared" si="46"/>
        <v>NoData</v>
      </c>
      <c r="BB288">
        <f t="shared" si="51"/>
        <v>27</v>
      </c>
      <c r="BC288">
        <f t="shared" si="52"/>
        <v>1897</v>
      </c>
      <c r="BD288" t="s">
        <v>11</v>
      </c>
      <c r="BE288" t="s">
        <v>11</v>
      </c>
      <c r="BF288" t="s">
        <v>11</v>
      </c>
      <c r="BG288" t="s">
        <v>11</v>
      </c>
      <c r="BH288">
        <v>0</v>
      </c>
      <c r="BI288" t="s">
        <v>11</v>
      </c>
      <c r="BJ288" t="s">
        <v>11</v>
      </c>
      <c r="BK288" t="s">
        <v>11</v>
      </c>
      <c r="BL288" t="s">
        <v>11</v>
      </c>
      <c r="BM288" t="s">
        <v>11</v>
      </c>
      <c r="BN288">
        <v>0</v>
      </c>
      <c r="BO288" t="s">
        <v>11</v>
      </c>
      <c r="BP288" t="str">
        <f t="shared" si="47"/>
        <v>NoData</v>
      </c>
      <c r="BQ288" t="str">
        <f t="shared" si="48"/>
        <v>NoData</v>
      </c>
      <c r="BR288">
        <v>117</v>
      </c>
      <c r="BS288" t="s">
        <v>11</v>
      </c>
      <c r="BT288">
        <v>52</v>
      </c>
      <c r="BU288" t="s">
        <v>11</v>
      </c>
    </row>
    <row r="289" spans="1:73" x14ac:dyDescent="0.25">
      <c r="A289" s="5">
        <v>34578</v>
      </c>
      <c r="B289">
        <v>3824</v>
      </c>
      <c r="C289" t="s">
        <v>11</v>
      </c>
      <c r="D289" t="s">
        <v>11</v>
      </c>
      <c r="E289" t="s">
        <v>11</v>
      </c>
      <c r="F289">
        <v>4188</v>
      </c>
      <c r="G289" t="s">
        <v>11</v>
      </c>
      <c r="H289">
        <v>2038</v>
      </c>
      <c r="I289" t="s">
        <v>11</v>
      </c>
      <c r="J289">
        <v>2841</v>
      </c>
      <c r="K289" t="s">
        <v>11</v>
      </c>
      <c r="L289">
        <v>57090</v>
      </c>
      <c r="M289">
        <v>34101</v>
      </c>
      <c r="N289">
        <v>1053</v>
      </c>
      <c r="O289">
        <v>1053</v>
      </c>
      <c r="P289" t="s">
        <v>11</v>
      </c>
      <c r="Q289" t="s">
        <v>11</v>
      </c>
      <c r="R289" t="s">
        <v>11</v>
      </c>
      <c r="S289" t="s">
        <v>11</v>
      </c>
      <c r="T289" s="34">
        <v>79920</v>
      </c>
      <c r="U289" s="34">
        <v>39417</v>
      </c>
      <c r="V289" s="34">
        <v>4133</v>
      </c>
      <c r="W289">
        <v>4060</v>
      </c>
      <c r="X289">
        <v>4207</v>
      </c>
      <c r="Y289">
        <v>4162</v>
      </c>
      <c r="Z289">
        <v>4255</v>
      </c>
      <c r="AA289">
        <v>1950</v>
      </c>
      <c r="AB289">
        <v>22402</v>
      </c>
      <c r="AC289">
        <v>15635</v>
      </c>
      <c r="AD289">
        <v>2586</v>
      </c>
      <c r="AE289">
        <v>2086</v>
      </c>
      <c r="AF289">
        <v>6413</v>
      </c>
      <c r="AG289">
        <v>5301</v>
      </c>
      <c r="AH289">
        <f t="shared" si="49"/>
        <v>2586</v>
      </c>
      <c r="AI289">
        <f t="shared" si="50"/>
        <v>2086</v>
      </c>
      <c r="AJ289">
        <v>21912</v>
      </c>
      <c r="AK289">
        <v>18603</v>
      </c>
      <c r="AL289">
        <v>32759</v>
      </c>
      <c r="AM289">
        <v>23879</v>
      </c>
      <c r="AN289" s="22">
        <v>110</v>
      </c>
      <c r="AO289">
        <v>2037</v>
      </c>
      <c r="AP289" t="s">
        <v>11</v>
      </c>
      <c r="AQ289" t="s">
        <v>11</v>
      </c>
      <c r="AR289">
        <v>273</v>
      </c>
      <c r="AS289" t="s">
        <v>11</v>
      </c>
      <c r="AT289" t="str">
        <f t="shared" si="43"/>
        <v>NoData</v>
      </c>
      <c r="AU289" t="str">
        <f t="shared" si="44"/>
        <v>NoData</v>
      </c>
      <c r="AV289">
        <v>5</v>
      </c>
      <c r="AW289" t="s">
        <v>11</v>
      </c>
      <c r="AX289">
        <v>4</v>
      </c>
      <c r="AY289" t="s">
        <v>11</v>
      </c>
      <c r="AZ289" t="str">
        <f t="shared" si="45"/>
        <v>NoData</v>
      </c>
      <c r="BA289" t="str">
        <f t="shared" si="46"/>
        <v>NoData</v>
      </c>
      <c r="BB289">
        <f t="shared" si="51"/>
        <v>110</v>
      </c>
      <c r="BC289">
        <f t="shared" si="52"/>
        <v>2037</v>
      </c>
      <c r="BD289" t="s">
        <v>11</v>
      </c>
      <c r="BE289" t="s">
        <v>11</v>
      </c>
      <c r="BF289" t="s">
        <v>11</v>
      </c>
      <c r="BG289" t="s">
        <v>11</v>
      </c>
      <c r="BH289">
        <v>10</v>
      </c>
      <c r="BI289" t="s">
        <v>11</v>
      </c>
      <c r="BJ289" t="s">
        <v>11</v>
      </c>
      <c r="BK289" t="s">
        <v>11</v>
      </c>
      <c r="BL289" t="s">
        <v>11</v>
      </c>
      <c r="BM289" t="s">
        <v>11</v>
      </c>
      <c r="BN289">
        <v>0</v>
      </c>
      <c r="BO289" t="s">
        <v>11</v>
      </c>
      <c r="BP289" t="str">
        <f t="shared" si="47"/>
        <v>NoData</v>
      </c>
      <c r="BQ289" t="str">
        <f t="shared" si="48"/>
        <v>NoData</v>
      </c>
      <c r="BR289">
        <v>92</v>
      </c>
      <c r="BS289" t="s">
        <v>11</v>
      </c>
      <c r="BT289">
        <v>41</v>
      </c>
      <c r="BU289" t="s">
        <v>11</v>
      </c>
    </row>
    <row r="290" spans="1:73" x14ac:dyDescent="0.25">
      <c r="A290" s="5">
        <v>34608</v>
      </c>
      <c r="B290">
        <v>2652</v>
      </c>
      <c r="C290" t="s">
        <v>11</v>
      </c>
      <c r="D290" t="s">
        <v>11</v>
      </c>
      <c r="E290" t="s">
        <v>11</v>
      </c>
      <c r="F290">
        <v>3129</v>
      </c>
      <c r="G290" t="s">
        <v>11</v>
      </c>
      <c r="H290">
        <v>1504</v>
      </c>
      <c r="I290" t="s">
        <v>11</v>
      </c>
      <c r="J290">
        <v>2380</v>
      </c>
      <c r="K290" t="s">
        <v>11</v>
      </c>
      <c r="L290">
        <v>42310</v>
      </c>
      <c r="M290">
        <v>21726</v>
      </c>
      <c r="N290">
        <v>359</v>
      </c>
      <c r="O290">
        <v>359</v>
      </c>
      <c r="P290" t="s">
        <v>11</v>
      </c>
      <c r="Q290" t="s">
        <v>11</v>
      </c>
      <c r="R290" t="s">
        <v>11</v>
      </c>
      <c r="S290" t="s">
        <v>11</v>
      </c>
      <c r="T290" s="34">
        <v>65730</v>
      </c>
      <c r="U290" s="34">
        <v>24896</v>
      </c>
      <c r="V290" s="34">
        <v>7794</v>
      </c>
      <c r="W290">
        <v>7629</v>
      </c>
      <c r="X290">
        <v>5852</v>
      </c>
      <c r="Y290">
        <v>5779</v>
      </c>
      <c r="Z290">
        <v>5019</v>
      </c>
      <c r="AA290">
        <v>2046</v>
      </c>
      <c r="AB290">
        <v>40413</v>
      </c>
      <c r="AC290">
        <v>28726</v>
      </c>
      <c r="AD290">
        <v>2306</v>
      </c>
      <c r="AE290">
        <v>1897</v>
      </c>
      <c r="AF290">
        <v>4957</v>
      </c>
      <c r="AG290">
        <v>4376</v>
      </c>
      <c r="AH290">
        <f t="shared" si="49"/>
        <v>2306</v>
      </c>
      <c r="AI290">
        <f t="shared" si="50"/>
        <v>1897</v>
      </c>
      <c r="AJ290">
        <v>18418</v>
      </c>
      <c r="AK290">
        <v>15843</v>
      </c>
      <c r="AL290">
        <v>30147</v>
      </c>
      <c r="AM290">
        <v>20475</v>
      </c>
      <c r="AN290" s="22">
        <v>0</v>
      </c>
      <c r="AO290">
        <v>404</v>
      </c>
      <c r="AP290" t="s">
        <v>11</v>
      </c>
      <c r="AQ290" t="s">
        <v>11</v>
      </c>
      <c r="AR290">
        <v>229</v>
      </c>
      <c r="AS290" t="s">
        <v>11</v>
      </c>
      <c r="AT290" t="str">
        <f t="shared" si="43"/>
        <v>NoData</v>
      </c>
      <c r="AU290" t="str">
        <f t="shared" si="44"/>
        <v>NoData</v>
      </c>
      <c r="AV290">
        <v>0</v>
      </c>
      <c r="AW290" t="s">
        <v>11</v>
      </c>
      <c r="AX290">
        <v>4</v>
      </c>
      <c r="AY290" t="s">
        <v>11</v>
      </c>
      <c r="AZ290" t="str">
        <f t="shared" si="45"/>
        <v>NoData</v>
      </c>
      <c r="BA290" t="str">
        <f t="shared" si="46"/>
        <v>NoData</v>
      </c>
      <c r="BB290">
        <f t="shared" si="51"/>
        <v>0</v>
      </c>
      <c r="BC290">
        <f t="shared" si="52"/>
        <v>404</v>
      </c>
      <c r="BD290" t="s">
        <v>11</v>
      </c>
      <c r="BE290" t="s">
        <v>11</v>
      </c>
      <c r="BF290" t="s">
        <v>11</v>
      </c>
      <c r="BG290" t="s">
        <v>11</v>
      </c>
      <c r="BH290">
        <v>92</v>
      </c>
      <c r="BI290" t="s">
        <v>11</v>
      </c>
      <c r="BJ290" t="s">
        <v>11</v>
      </c>
      <c r="BK290" t="s">
        <v>11</v>
      </c>
      <c r="BL290" t="s">
        <v>11</v>
      </c>
      <c r="BM290" t="s">
        <v>11</v>
      </c>
      <c r="BN290">
        <v>0</v>
      </c>
      <c r="BO290" t="s">
        <v>11</v>
      </c>
      <c r="BP290" t="str">
        <f t="shared" si="47"/>
        <v>NoData</v>
      </c>
      <c r="BQ290" t="str">
        <f t="shared" si="48"/>
        <v>NoData</v>
      </c>
      <c r="BR290">
        <v>77</v>
      </c>
      <c r="BS290" t="s">
        <v>11</v>
      </c>
      <c r="BT290">
        <v>34</v>
      </c>
      <c r="BU290" t="s">
        <v>11</v>
      </c>
    </row>
    <row r="291" spans="1:73" x14ac:dyDescent="0.25">
      <c r="A291" s="5">
        <v>34639</v>
      </c>
      <c r="B291">
        <v>1809</v>
      </c>
      <c r="C291" t="s">
        <v>11</v>
      </c>
      <c r="D291" t="s">
        <v>11</v>
      </c>
      <c r="E291" t="s">
        <v>11</v>
      </c>
      <c r="F291">
        <v>2362</v>
      </c>
      <c r="G291" t="s">
        <v>11</v>
      </c>
      <c r="H291">
        <v>903</v>
      </c>
      <c r="I291" t="s">
        <v>11</v>
      </c>
      <c r="J291">
        <v>1690</v>
      </c>
      <c r="K291" t="s">
        <v>11</v>
      </c>
      <c r="L291">
        <v>30190</v>
      </c>
      <c r="M291">
        <v>12384</v>
      </c>
      <c r="N291">
        <v>269</v>
      </c>
      <c r="O291">
        <v>269</v>
      </c>
      <c r="P291" t="s">
        <v>11</v>
      </c>
      <c r="Q291" t="s">
        <v>11</v>
      </c>
      <c r="R291" t="s">
        <v>11</v>
      </c>
      <c r="S291" t="s">
        <v>11</v>
      </c>
      <c r="T291" s="34">
        <v>50580</v>
      </c>
      <c r="U291" s="34">
        <v>14700</v>
      </c>
      <c r="V291" s="34">
        <v>4485</v>
      </c>
      <c r="W291">
        <v>4343</v>
      </c>
      <c r="X291">
        <v>3410</v>
      </c>
      <c r="Y291">
        <v>3347</v>
      </c>
      <c r="Z291">
        <v>2840</v>
      </c>
      <c r="AA291">
        <v>999</v>
      </c>
      <c r="AB291">
        <v>25823</v>
      </c>
      <c r="AC291">
        <v>13945</v>
      </c>
      <c r="AD291">
        <v>1591</v>
      </c>
      <c r="AE291">
        <v>1204</v>
      </c>
      <c r="AF291">
        <v>3572</v>
      </c>
      <c r="AG291">
        <v>3359</v>
      </c>
      <c r="AH291">
        <f t="shared" si="49"/>
        <v>1591</v>
      </c>
      <c r="AI291">
        <f t="shared" si="50"/>
        <v>1204</v>
      </c>
      <c r="AJ291">
        <v>12865</v>
      </c>
      <c r="AK291">
        <v>10648</v>
      </c>
      <c r="AL291">
        <v>20895</v>
      </c>
      <c r="AM291">
        <v>11238</v>
      </c>
      <c r="AN291" s="22">
        <v>67</v>
      </c>
      <c r="AO291">
        <v>555</v>
      </c>
      <c r="AP291" t="s">
        <v>11</v>
      </c>
      <c r="AQ291" t="s">
        <v>11</v>
      </c>
      <c r="AR291">
        <v>163</v>
      </c>
      <c r="AS291" t="s">
        <v>11</v>
      </c>
      <c r="AT291" t="str">
        <f t="shared" si="43"/>
        <v>NoData</v>
      </c>
      <c r="AU291" t="str">
        <f t="shared" si="44"/>
        <v>NoData</v>
      </c>
      <c r="AV291">
        <v>2</v>
      </c>
      <c r="AW291" t="s">
        <v>11</v>
      </c>
      <c r="AX291">
        <v>4</v>
      </c>
      <c r="AY291" t="s">
        <v>11</v>
      </c>
      <c r="AZ291" t="str">
        <f t="shared" si="45"/>
        <v>NoData</v>
      </c>
      <c r="BA291" t="str">
        <f t="shared" si="46"/>
        <v>NoData</v>
      </c>
      <c r="BB291">
        <f t="shared" si="51"/>
        <v>67</v>
      </c>
      <c r="BC291">
        <f t="shared" si="52"/>
        <v>555</v>
      </c>
      <c r="BD291" t="s">
        <v>11</v>
      </c>
      <c r="BE291" t="s">
        <v>11</v>
      </c>
      <c r="BF291" t="s">
        <v>11</v>
      </c>
      <c r="BG291" t="s">
        <v>11</v>
      </c>
      <c r="BH291">
        <v>84</v>
      </c>
      <c r="BI291" t="s">
        <v>11</v>
      </c>
      <c r="BJ291" t="s">
        <v>11</v>
      </c>
      <c r="BK291" t="s">
        <v>11</v>
      </c>
      <c r="BL291" t="s">
        <v>11</v>
      </c>
      <c r="BM291" t="s">
        <v>11</v>
      </c>
      <c r="BN291">
        <v>0</v>
      </c>
      <c r="BO291" t="s">
        <v>11</v>
      </c>
      <c r="BP291" t="str">
        <f t="shared" si="47"/>
        <v>NoData</v>
      </c>
      <c r="BQ291" t="str">
        <f t="shared" si="48"/>
        <v>NoData</v>
      </c>
      <c r="BR291">
        <v>54</v>
      </c>
      <c r="BS291" t="s">
        <v>11</v>
      </c>
      <c r="BT291">
        <v>24</v>
      </c>
      <c r="BU291" t="s">
        <v>11</v>
      </c>
    </row>
    <row r="292" spans="1:73" x14ac:dyDescent="0.25">
      <c r="A292" s="5">
        <v>34669</v>
      </c>
      <c r="B292">
        <v>1237</v>
      </c>
      <c r="C292" t="s">
        <v>11</v>
      </c>
      <c r="D292" t="s">
        <v>11</v>
      </c>
      <c r="E292" t="s">
        <v>11</v>
      </c>
      <c r="F292">
        <v>1611</v>
      </c>
      <c r="G292" t="s">
        <v>11</v>
      </c>
      <c r="H292">
        <v>851</v>
      </c>
      <c r="I292" t="s">
        <v>11</v>
      </c>
      <c r="J292">
        <v>1663</v>
      </c>
      <c r="K292" t="s">
        <v>11</v>
      </c>
      <c r="L292">
        <v>30130</v>
      </c>
      <c r="M292">
        <v>12610</v>
      </c>
      <c r="N292">
        <v>262</v>
      </c>
      <c r="O292">
        <v>262</v>
      </c>
      <c r="P292" t="s">
        <v>11</v>
      </c>
      <c r="Q292" t="s">
        <v>11</v>
      </c>
      <c r="R292" t="s">
        <v>11</v>
      </c>
      <c r="S292" t="s">
        <v>11</v>
      </c>
      <c r="T292" s="34">
        <v>42400</v>
      </c>
      <c r="U292" s="34">
        <v>6101</v>
      </c>
      <c r="V292" s="34">
        <v>1837</v>
      </c>
      <c r="W292">
        <v>1765</v>
      </c>
      <c r="X292">
        <v>2014</v>
      </c>
      <c r="Y292">
        <v>1964</v>
      </c>
      <c r="Z292">
        <v>2300</v>
      </c>
      <c r="AA292">
        <v>743</v>
      </c>
      <c r="AB292">
        <v>15477</v>
      </c>
      <c r="AC292">
        <v>5102</v>
      </c>
      <c r="AD292">
        <v>1427</v>
      </c>
      <c r="AE292">
        <v>748</v>
      </c>
      <c r="AF292">
        <v>2747</v>
      </c>
      <c r="AG292">
        <v>2317</v>
      </c>
      <c r="AH292">
        <f t="shared" si="49"/>
        <v>1427</v>
      </c>
      <c r="AI292">
        <f t="shared" si="50"/>
        <v>748</v>
      </c>
      <c r="AJ292">
        <v>7844</v>
      </c>
      <c r="AK292">
        <v>4029</v>
      </c>
      <c r="AL292">
        <v>14522</v>
      </c>
      <c r="AM292">
        <v>2736</v>
      </c>
      <c r="AN292" s="22">
        <v>51</v>
      </c>
      <c r="AO292">
        <v>636</v>
      </c>
      <c r="AP292" t="s">
        <v>11</v>
      </c>
      <c r="AQ292" t="s">
        <v>11</v>
      </c>
      <c r="AR292">
        <v>160</v>
      </c>
      <c r="AS292" t="s">
        <v>11</v>
      </c>
      <c r="AT292" t="str">
        <f t="shared" si="43"/>
        <v>NoData</v>
      </c>
      <c r="AU292" t="str">
        <f t="shared" si="44"/>
        <v>NoData</v>
      </c>
      <c r="AV292">
        <v>0</v>
      </c>
      <c r="AW292" t="s">
        <v>11</v>
      </c>
      <c r="AX292">
        <v>4</v>
      </c>
      <c r="AY292" t="s">
        <v>11</v>
      </c>
      <c r="AZ292" t="str">
        <f t="shared" si="45"/>
        <v>NoData</v>
      </c>
      <c r="BA292" t="str">
        <f t="shared" si="46"/>
        <v>NoData</v>
      </c>
      <c r="BB292">
        <f t="shared" si="51"/>
        <v>51</v>
      </c>
      <c r="BC292">
        <f t="shared" si="52"/>
        <v>636</v>
      </c>
      <c r="BD292" t="s">
        <v>11</v>
      </c>
      <c r="BE292" t="s">
        <v>11</v>
      </c>
      <c r="BF292" t="s">
        <v>11</v>
      </c>
      <c r="BG292" t="s">
        <v>11</v>
      </c>
      <c r="BH292">
        <v>0</v>
      </c>
      <c r="BI292" t="s">
        <v>11</v>
      </c>
      <c r="BJ292" t="s">
        <v>11</v>
      </c>
      <c r="BK292" t="s">
        <v>11</v>
      </c>
      <c r="BL292" t="s">
        <v>11</v>
      </c>
      <c r="BM292" t="s">
        <v>11</v>
      </c>
      <c r="BN292">
        <v>0</v>
      </c>
      <c r="BO292" t="s">
        <v>11</v>
      </c>
      <c r="BP292" t="str">
        <f t="shared" si="47"/>
        <v>NoData</v>
      </c>
      <c r="BQ292" t="str">
        <f t="shared" si="48"/>
        <v>NoData</v>
      </c>
      <c r="BR292">
        <v>54</v>
      </c>
      <c r="BS292" t="s">
        <v>11</v>
      </c>
      <c r="BT292">
        <v>24</v>
      </c>
      <c r="BU292" t="s">
        <v>11</v>
      </c>
    </row>
    <row r="293" spans="1:73" x14ac:dyDescent="0.25">
      <c r="A293" s="5">
        <v>34700</v>
      </c>
      <c r="B293">
        <v>349</v>
      </c>
      <c r="C293" t="s">
        <v>11</v>
      </c>
      <c r="D293" t="s">
        <v>11</v>
      </c>
      <c r="E293" t="s">
        <v>11</v>
      </c>
      <c r="F293">
        <v>120</v>
      </c>
      <c r="G293" t="s">
        <v>11</v>
      </c>
      <c r="H293">
        <v>3</v>
      </c>
      <c r="I293" t="s">
        <v>11</v>
      </c>
      <c r="J293">
        <v>104</v>
      </c>
      <c r="K293" t="s">
        <v>11</v>
      </c>
      <c r="L293">
        <v>1840</v>
      </c>
      <c r="M293">
        <v>-9870</v>
      </c>
      <c r="N293">
        <v>52</v>
      </c>
      <c r="O293">
        <v>52</v>
      </c>
      <c r="P293" t="s">
        <v>11</v>
      </c>
      <c r="Q293" t="s">
        <v>11</v>
      </c>
      <c r="R293" t="s">
        <v>11</v>
      </c>
      <c r="S293" t="s">
        <v>11</v>
      </c>
      <c r="T293" s="34">
        <v>13490</v>
      </c>
      <c r="U293" s="34">
        <v>-13835</v>
      </c>
      <c r="V293" s="34">
        <v>1411</v>
      </c>
      <c r="W293">
        <v>1356</v>
      </c>
      <c r="X293">
        <v>1232</v>
      </c>
      <c r="Y293">
        <v>1201</v>
      </c>
      <c r="Z293">
        <v>1851</v>
      </c>
      <c r="AA293">
        <v>546</v>
      </c>
      <c r="AB293">
        <v>8665</v>
      </c>
      <c r="AC293">
        <v>468</v>
      </c>
      <c r="AD293">
        <v>904</v>
      </c>
      <c r="AE293">
        <v>259</v>
      </c>
      <c r="AF293">
        <v>2120</v>
      </c>
      <c r="AG293">
        <v>1502</v>
      </c>
      <c r="AH293">
        <f t="shared" si="49"/>
        <v>904</v>
      </c>
      <c r="AI293">
        <f t="shared" si="50"/>
        <v>259</v>
      </c>
      <c r="AJ293">
        <v>6602</v>
      </c>
      <c r="AK293">
        <v>2632</v>
      </c>
      <c r="AL293">
        <v>6658</v>
      </c>
      <c r="AM293">
        <v>-5408</v>
      </c>
      <c r="AN293" s="22">
        <v>63</v>
      </c>
      <c r="AO293">
        <v>1769</v>
      </c>
      <c r="AP293" t="s">
        <v>11</v>
      </c>
      <c r="AQ293" t="s">
        <v>11</v>
      </c>
      <c r="AR293">
        <v>151</v>
      </c>
      <c r="AS293" t="s">
        <v>11</v>
      </c>
      <c r="AT293" t="str">
        <f t="shared" si="43"/>
        <v>NoData</v>
      </c>
      <c r="AU293" t="str">
        <f t="shared" si="44"/>
        <v>NoData</v>
      </c>
      <c r="AV293">
        <v>4</v>
      </c>
      <c r="AW293" t="s">
        <v>11</v>
      </c>
      <c r="AX293">
        <v>4</v>
      </c>
      <c r="AY293" t="s">
        <v>11</v>
      </c>
      <c r="AZ293" t="str">
        <f t="shared" si="45"/>
        <v>NoData</v>
      </c>
      <c r="BA293" t="str">
        <f t="shared" si="46"/>
        <v>NoData</v>
      </c>
      <c r="BB293">
        <f t="shared" si="51"/>
        <v>63</v>
      </c>
      <c r="BC293">
        <f t="shared" si="52"/>
        <v>1769</v>
      </c>
      <c r="BD293" t="s">
        <v>11</v>
      </c>
      <c r="BE293" t="s">
        <v>11</v>
      </c>
      <c r="BF293" t="s">
        <v>11</v>
      </c>
      <c r="BG293" t="s">
        <v>11</v>
      </c>
      <c r="BH293">
        <v>0</v>
      </c>
      <c r="BI293" t="s">
        <v>11</v>
      </c>
      <c r="BJ293" t="s">
        <v>11</v>
      </c>
      <c r="BK293" t="s">
        <v>11</v>
      </c>
      <c r="BL293" t="s">
        <v>11</v>
      </c>
      <c r="BM293" t="s">
        <v>11</v>
      </c>
      <c r="BN293">
        <v>1</v>
      </c>
      <c r="BO293" t="s">
        <v>11</v>
      </c>
      <c r="BP293" t="str">
        <f t="shared" si="47"/>
        <v>NoData</v>
      </c>
      <c r="BQ293" t="str">
        <f t="shared" si="48"/>
        <v>NoData</v>
      </c>
      <c r="BR293">
        <v>51</v>
      </c>
      <c r="BS293" t="s">
        <v>11</v>
      </c>
      <c r="BT293">
        <v>23</v>
      </c>
      <c r="BU293" t="s">
        <v>11</v>
      </c>
    </row>
    <row r="294" spans="1:73" x14ac:dyDescent="0.25">
      <c r="A294" s="5">
        <v>34731</v>
      </c>
      <c r="B294">
        <v>1268</v>
      </c>
      <c r="C294" t="s">
        <v>11</v>
      </c>
      <c r="D294" t="s">
        <v>11</v>
      </c>
      <c r="E294" t="s">
        <v>11</v>
      </c>
      <c r="F294">
        <v>3257</v>
      </c>
      <c r="G294" t="s">
        <v>11</v>
      </c>
      <c r="H294">
        <v>368</v>
      </c>
      <c r="I294" t="s">
        <v>11</v>
      </c>
      <c r="J294">
        <v>1045</v>
      </c>
      <c r="K294" t="s">
        <v>11</v>
      </c>
      <c r="L294">
        <v>15320</v>
      </c>
      <c r="M294">
        <v>5196</v>
      </c>
      <c r="N294">
        <v>210</v>
      </c>
      <c r="O294">
        <v>210</v>
      </c>
      <c r="P294" t="s">
        <v>11</v>
      </c>
      <c r="Q294" t="s">
        <v>11</v>
      </c>
      <c r="R294" t="s">
        <v>11</v>
      </c>
      <c r="S294" t="s">
        <v>11</v>
      </c>
      <c r="T294" s="34">
        <v>32330</v>
      </c>
      <c r="U294" s="34">
        <v>6811</v>
      </c>
      <c r="V294" s="34">
        <v>4106</v>
      </c>
      <c r="W294">
        <v>4053</v>
      </c>
      <c r="X294">
        <v>3926</v>
      </c>
      <c r="Y294">
        <v>3896</v>
      </c>
      <c r="Z294">
        <v>3594</v>
      </c>
      <c r="AA294">
        <v>1565</v>
      </c>
      <c r="AB294">
        <v>21304</v>
      </c>
      <c r="AC294">
        <v>14335</v>
      </c>
      <c r="AD294">
        <v>1600</v>
      </c>
      <c r="AE294">
        <v>1120</v>
      </c>
      <c r="AF294">
        <v>3519</v>
      </c>
      <c r="AG294">
        <v>3283</v>
      </c>
      <c r="AH294">
        <f t="shared" si="49"/>
        <v>1600</v>
      </c>
      <c r="AI294">
        <f t="shared" si="50"/>
        <v>1120</v>
      </c>
      <c r="AJ294">
        <v>12803</v>
      </c>
      <c r="AK294">
        <v>9902</v>
      </c>
      <c r="AL294">
        <v>26656</v>
      </c>
      <c r="AM294">
        <v>15541</v>
      </c>
      <c r="AN294" s="22">
        <v>58</v>
      </c>
      <c r="AO294">
        <v>767</v>
      </c>
      <c r="AP294" t="s">
        <v>11</v>
      </c>
      <c r="AQ294" t="s">
        <v>11</v>
      </c>
      <c r="AR294">
        <v>121</v>
      </c>
      <c r="AS294" t="s">
        <v>11</v>
      </c>
      <c r="AT294" t="str">
        <f t="shared" si="43"/>
        <v>NoData</v>
      </c>
      <c r="AU294" t="str">
        <f t="shared" si="44"/>
        <v>NoData</v>
      </c>
      <c r="AV294">
        <v>0</v>
      </c>
      <c r="AW294" t="s">
        <v>11</v>
      </c>
      <c r="AX294">
        <v>4</v>
      </c>
      <c r="AY294" t="s">
        <v>11</v>
      </c>
      <c r="AZ294" t="str">
        <f t="shared" si="45"/>
        <v>NoData</v>
      </c>
      <c r="BA294" t="str">
        <f t="shared" si="46"/>
        <v>NoData</v>
      </c>
      <c r="BB294">
        <f t="shared" si="51"/>
        <v>58</v>
      </c>
      <c r="BC294">
        <f t="shared" si="52"/>
        <v>767</v>
      </c>
      <c r="BD294" t="s">
        <v>11</v>
      </c>
      <c r="BE294" t="s">
        <v>11</v>
      </c>
      <c r="BF294" t="s">
        <v>11</v>
      </c>
      <c r="BG294" t="s">
        <v>11</v>
      </c>
      <c r="BH294">
        <v>4</v>
      </c>
      <c r="BI294" t="s">
        <v>11</v>
      </c>
      <c r="BJ294" t="s">
        <v>11</v>
      </c>
      <c r="BK294" t="s">
        <v>11</v>
      </c>
      <c r="BL294" t="s">
        <v>11</v>
      </c>
      <c r="BM294" t="s">
        <v>11</v>
      </c>
      <c r="BN294">
        <v>54</v>
      </c>
      <c r="BO294" t="s">
        <v>11</v>
      </c>
      <c r="BP294" t="str">
        <f t="shared" si="47"/>
        <v>NoData</v>
      </c>
      <c r="BQ294" t="str">
        <f t="shared" si="48"/>
        <v>NoData</v>
      </c>
      <c r="BR294">
        <v>41</v>
      </c>
      <c r="BS294" t="s">
        <v>11</v>
      </c>
      <c r="BT294">
        <v>18</v>
      </c>
      <c r="BU294" t="s">
        <v>11</v>
      </c>
    </row>
    <row r="295" spans="1:73" x14ac:dyDescent="0.25">
      <c r="A295" s="5">
        <v>34759</v>
      </c>
      <c r="B295">
        <v>3140</v>
      </c>
      <c r="C295" t="s">
        <v>11</v>
      </c>
      <c r="D295" t="s">
        <v>11</v>
      </c>
      <c r="E295" t="s">
        <v>11</v>
      </c>
      <c r="F295">
        <v>6619</v>
      </c>
      <c r="G295" t="s">
        <v>11</v>
      </c>
      <c r="H295">
        <v>724</v>
      </c>
      <c r="I295" t="s">
        <v>11</v>
      </c>
      <c r="J295">
        <v>2686</v>
      </c>
      <c r="K295" t="s">
        <v>11</v>
      </c>
      <c r="L295">
        <v>62720</v>
      </c>
      <c r="M295">
        <v>45081</v>
      </c>
      <c r="N295">
        <v>570</v>
      </c>
      <c r="O295">
        <v>570</v>
      </c>
      <c r="P295" t="s">
        <v>11</v>
      </c>
      <c r="Q295" t="s">
        <v>11</v>
      </c>
      <c r="R295" t="s">
        <v>11</v>
      </c>
      <c r="S295" t="s">
        <v>11</v>
      </c>
      <c r="T295" s="34">
        <v>69720</v>
      </c>
      <c r="U295" s="34">
        <v>38608</v>
      </c>
      <c r="V295" s="34">
        <v>5469</v>
      </c>
      <c r="W295">
        <v>5384</v>
      </c>
      <c r="X295">
        <v>4812</v>
      </c>
      <c r="Y295">
        <v>4769</v>
      </c>
      <c r="Z295">
        <v>4458</v>
      </c>
      <c r="AA295">
        <v>1964</v>
      </c>
      <c r="AB295">
        <v>31142</v>
      </c>
      <c r="AC295">
        <v>22433</v>
      </c>
      <c r="AD295">
        <v>2667</v>
      </c>
      <c r="AE295">
        <v>1687</v>
      </c>
      <c r="AF295">
        <v>4479</v>
      </c>
      <c r="AG295">
        <v>4225</v>
      </c>
      <c r="AH295">
        <f t="shared" si="49"/>
        <v>2667</v>
      </c>
      <c r="AI295">
        <f t="shared" si="50"/>
        <v>1687</v>
      </c>
      <c r="AJ295">
        <v>20178</v>
      </c>
      <c r="AK295">
        <v>14230</v>
      </c>
      <c r="AL295">
        <v>35318</v>
      </c>
      <c r="AM295">
        <v>22670</v>
      </c>
      <c r="AN295" s="22">
        <v>140</v>
      </c>
      <c r="AO295">
        <v>725</v>
      </c>
      <c r="AP295" t="s">
        <v>11</v>
      </c>
      <c r="AQ295" t="s">
        <v>11</v>
      </c>
      <c r="AR295">
        <v>207</v>
      </c>
      <c r="AS295" t="s">
        <v>11</v>
      </c>
      <c r="AT295" t="str">
        <f t="shared" si="43"/>
        <v>NoData</v>
      </c>
      <c r="AU295" t="str">
        <f t="shared" si="44"/>
        <v>NoData</v>
      </c>
      <c r="AV295">
        <v>0</v>
      </c>
      <c r="AW295" t="s">
        <v>11</v>
      </c>
      <c r="AX295">
        <v>4</v>
      </c>
      <c r="AY295" t="s">
        <v>11</v>
      </c>
      <c r="AZ295" t="str">
        <f t="shared" si="45"/>
        <v>NoData</v>
      </c>
      <c r="BA295" t="str">
        <f t="shared" si="46"/>
        <v>NoData</v>
      </c>
      <c r="BB295">
        <f t="shared" si="51"/>
        <v>140</v>
      </c>
      <c r="BC295">
        <f t="shared" si="52"/>
        <v>725</v>
      </c>
      <c r="BD295" t="s">
        <v>11</v>
      </c>
      <c r="BE295" t="s">
        <v>11</v>
      </c>
      <c r="BF295" t="s">
        <v>11</v>
      </c>
      <c r="BG295" t="s">
        <v>11</v>
      </c>
      <c r="BH295">
        <v>17</v>
      </c>
      <c r="BI295" t="s">
        <v>11</v>
      </c>
      <c r="BJ295" t="s">
        <v>11</v>
      </c>
      <c r="BK295" t="s">
        <v>11</v>
      </c>
      <c r="BL295" t="s">
        <v>11</v>
      </c>
      <c r="BM295" t="s">
        <v>11</v>
      </c>
      <c r="BN295">
        <v>1</v>
      </c>
      <c r="BO295" t="s">
        <v>11</v>
      </c>
      <c r="BP295" t="str">
        <f t="shared" si="47"/>
        <v>NoData</v>
      </c>
      <c r="BQ295" t="str">
        <f t="shared" si="48"/>
        <v>NoData</v>
      </c>
      <c r="BR295">
        <v>69</v>
      </c>
      <c r="BS295" t="s">
        <v>11</v>
      </c>
      <c r="BT295">
        <v>31</v>
      </c>
      <c r="BU295" t="s">
        <v>11</v>
      </c>
    </row>
    <row r="296" spans="1:73" x14ac:dyDescent="0.25">
      <c r="A296" s="5">
        <v>34790</v>
      </c>
      <c r="B296">
        <v>2815</v>
      </c>
      <c r="C296" t="s">
        <v>11</v>
      </c>
      <c r="D296" t="s">
        <v>11</v>
      </c>
      <c r="E296" t="s">
        <v>11</v>
      </c>
      <c r="F296">
        <v>5128</v>
      </c>
      <c r="G296" t="s">
        <v>11</v>
      </c>
      <c r="H296">
        <v>938</v>
      </c>
      <c r="I296" t="s">
        <v>11</v>
      </c>
      <c r="J296">
        <v>2347</v>
      </c>
      <c r="K296" t="s">
        <v>11</v>
      </c>
      <c r="L296">
        <v>65630</v>
      </c>
      <c r="M296">
        <v>44709</v>
      </c>
      <c r="N296">
        <v>800</v>
      </c>
      <c r="O296">
        <v>800</v>
      </c>
      <c r="P296" t="s">
        <v>11</v>
      </c>
      <c r="Q296" t="s">
        <v>11</v>
      </c>
      <c r="R296" t="s">
        <v>11</v>
      </c>
      <c r="S296" t="s">
        <v>11</v>
      </c>
      <c r="T296" s="34">
        <v>83520</v>
      </c>
      <c r="U296" s="34">
        <v>49316</v>
      </c>
      <c r="V296" s="34">
        <v>6339</v>
      </c>
      <c r="W296">
        <v>6249</v>
      </c>
      <c r="X296">
        <v>5259</v>
      </c>
      <c r="Y296">
        <v>5215</v>
      </c>
      <c r="Z296">
        <v>5362</v>
      </c>
      <c r="AA296">
        <v>2605</v>
      </c>
      <c r="AB296">
        <v>35729</v>
      </c>
      <c r="AC296">
        <v>26467</v>
      </c>
      <c r="AD296">
        <v>2462</v>
      </c>
      <c r="AE296">
        <v>1690</v>
      </c>
      <c r="AF296">
        <v>5350</v>
      </c>
      <c r="AG296">
        <v>5183</v>
      </c>
      <c r="AH296">
        <f t="shared" si="49"/>
        <v>2462</v>
      </c>
      <c r="AI296">
        <f t="shared" si="50"/>
        <v>1690</v>
      </c>
      <c r="AJ296">
        <v>18775</v>
      </c>
      <c r="AK296">
        <v>14392</v>
      </c>
      <c r="AL296">
        <v>34581</v>
      </c>
      <c r="AM296">
        <v>24151</v>
      </c>
      <c r="AN296" s="22">
        <v>82</v>
      </c>
      <c r="AO296">
        <v>1509</v>
      </c>
      <c r="AP296" t="s">
        <v>11</v>
      </c>
      <c r="AQ296" t="s">
        <v>11</v>
      </c>
      <c r="AR296">
        <v>224</v>
      </c>
      <c r="AS296" t="s">
        <v>11</v>
      </c>
      <c r="AT296" t="str">
        <f t="shared" si="43"/>
        <v>NoData</v>
      </c>
      <c r="AU296" t="str">
        <f t="shared" si="44"/>
        <v>NoData</v>
      </c>
      <c r="AV296">
        <v>4</v>
      </c>
      <c r="AW296" t="s">
        <v>11</v>
      </c>
      <c r="AX296">
        <v>4</v>
      </c>
      <c r="AY296" t="s">
        <v>11</v>
      </c>
      <c r="AZ296" t="str">
        <f t="shared" si="45"/>
        <v>NoData</v>
      </c>
      <c r="BA296" t="str">
        <f t="shared" si="46"/>
        <v>NoData</v>
      </c>
      <c r="BB296">
        <f t="shared" si="51"/>
        <v>82</v>
      </c>
      <c r="BC296">
        <f t="shared" si="52"/>
        <v>1509</v>
      </c>
      <c r="BD296" t="s">
        <v>11</v>
      </c>
      <c r="BE296" t="s">
        <v>11</v>
      </c>
      <c r="BF296" t="s">
        <v>11</v>
      </c>
      <c r="BG296" t="s">
        <v>11</v>
      </c>
      <c r="BH296">
        <v>7</v>
      </c>
      <c r="BI296" t="s">
        <v>11</v>
      </c>
      <c r="BJ296" t="s">
        <v>11</v>
      </c>
      <c r="BK296" t="s">
        <v>11</v>
      </c>
      <c r="BL296" t="s">
        <v>11</v>
      </c>
      <c r="BM296" t="s">
        <v>11</v>
      </c>
      <c r="BN296">
        <v>37</v>
      </c>
      <c r="BO296" t="s">
        <v>11</v>
      </c>
      <c r="BP296" t="str">
        <f t="shared" si="47"/>
        <v>NoData</v>
      </c>
      <c r="BQ296" t="str">
        <f t="shared" si="48"/>
        <v>NoData</v>
      </c>
      <c r="BR296">
        <v>75</v>
      </c>
      <c r="BS296" t="s">
        <v>11</v>
      </c>
      <c r="BT296">
        <v>34</v>
      </c>
      <c r="BU296" t="s">
        <v>11</v>
      </c>
    </row>
    <row r="297" spans="1:73" x14ac:dyDescent="0.25">
      <c r="A297" s="5">
        <v>34820</v>
      </c>
      <c r="B297">
        <v>3568</v>
      </c>
      <c r="C297" t="s">
        <v>11</v>
      </c>
      <c r="D297" t="s">
        <v>11</v>
      </c>
      <c r="E297" t="s">
        <v>11</v>
      </c>
      <c r="F297">
        <v>6294</v>
      </c>
      <c r="G297" t="s">
        <v>11</v>
      </c>
      <c r="H297">
        <v>2529</v>
      </c>
      <c r="I297" t="s">
        <v>11</v>
      </c>
      <c r="J297">
        <v>3351</v>
      </c>
      <c r="K297" t="s">
        <v>11</v>
      </c>
      <c r="L297">
        <v>75040</v>
      </c>
      <c r="M297">
        <v>53917</v>
      </c>
      <c r="N297">
        <v>1028</v>
      </c>
      <c r="O297">
        <v>1028</v>
      </c>
      <c r="P297" t="s">
        <v>11</v>
      </c>
      <c r="Q297" t="s">
        <v>11</v>
      </c>
      <c r="R297" t="s">
        <v>11</v>
      </c>
      <c r="S297" t="s">
        <v>11</v>
      </c>
      <c r="T297" s="34">
        <v>95310</v>
      </c>
      <c r="U297" s="34">
        <v>56855</v>
      </c>
      <c r="V297" s="34">
        <v>4320</v>
      </c>
      <c r="W297">
        <v>4265</v>
      </c>
      <c r="X297">
        <v>6394</v>
      </c>
      <c r="Y297">
        <v>6341</v>
      </c>
      <c r="Z297">
        <v>5586</v>
      </c>
      <c r="AA297">
        <v>2688</v>
      </c>
      <c r="AB297">
        <v>36394</v>
      </c>
      <c r="AC297">
        <v>26904</v>
      </c>
      <c r="AD297">
        <v>3387</v>
      </c>
      <c r="AE297">
        <v>3009</v>
      </c>
      <c r="AF297">
        <v>5764</v>
      </c>
      <c r="AG297">
        <v>5368</v>
      </c>
      <c r="AH297">
        <f t="shared" si="49"/>
        <v>3387</v>
      </c>
      <c r="AI297">
        <f t="shared" si="50"/>
        <v>3009</v>
      </c>
      <c r="AJ297">
        <v>24444</v>
      </c>
      <c r="AK297">
        <v>22238</v>
      </c>
      <c r="AL297">
        <v>39019</v>
      </c>
      <c r="AM297">
        <v>27168</v>
      </c>
      <c r="AN297" s="22">
        <v>93</v>
      </c>
      <c r="AO297">
        <v>1358</v>
      </c>
      <c r="AP297" t="s">
        <v>11</v>
      </c>
      <c r="AQ297" t="s">
        <v>11</v>
      </c>
      <c r="AR297">
        <v>273</v>
      </c>
      <c r="AS297" t="s">
        <v>11</v>
      </c>
      <c r="AT297" t="str">
        <f t="shared" si="43"/>
        <v>NoData</v>
      </c>
      <c r="AU297" t="str">
        <f t="shared" si="44"/>
        <v>NoData</v>
      </c>
      <c r="AV297">
        <v>2</v>
      </c>
      <c r="AW297" t="s">
        <v>11</v>
      </c>
      <c r="AX297">
        <v>4</v>
      </c>
      <c r="AY297" t="s">
        <v>11</v>
      </c>
      <c r="AZ297" t="str">
        <f t="shared" si="45"/>
        <v>NoData</v>
      </c>
      <c r="BA297" t="str">
        <f t="shared" si="46"/>
        <v>NoData</v>
      </c>
      <c r="BB297">
        <f t="shared" si="51"/>
        <v>93</v>
      </c>
      <c r="BC297">
        <f t="shared" si="52"/>
        <v>1358</v>
      </c>
      <c r="BD297" t="s">
        <v>11</v>
      </c>
      <c r="BE297" t="s">
        <v>11</v>
      </c>
      <c r="BF297" t="s">
        <v>11</v>
      </c>
      <c r="BG297" t="s">
        <v>11</v>
      </c>
      <c r="BH297">
        <v>0</v>
      </c>
      <c r="BI297" t="s">
        <v>11</v>
      </c>
      <c r="BJ297" t="s">
        <v>11</v>
      </c>
      <c r="BK297" t="s">
        <v>11</v>
      </c>
      <c r="BL297" t="s">
        <v>11</v>
      </c>
      <c r="BM297" t="s">
        <v>11</v>
      </c>
      <c r="BN297">
        <v>21</v>
      </c>
      <c r="BO297" t="s">
        <v>11</v>
      </c>
      <c r="BP297" t="str">
        <f t="shared" si="47"/>
        <v>NoData</v>
      </c>
      <c r="BQ297" t="str">
        <f t="shared" si="48"/>
        <v>NoData</v>
      </c>
      <c r="BR297">
        <v>92</v>
      </c>
      <c r="BS297" t="s">
        <v>11</v>
      </c>
      <c r="BT297">
        <v>41</v>
      </c>
      <c r="BU297" t="s">
        <v>11</v>
      </c>
    </row>
    <row r="298" spans="1:73" x14ac:dyDescent="0.25">
      <c r="A298" s="5">
        <v>34851</v>
      </c>
      <c r="B298">
        <v>5053</v>
      </c>
      <c r="C298" t="s">
        <v>11</v>
      </c>
      <c r="D298" t="s">
        <v>11</v>
      </c>
      <c r="E298" t="s">
        <v>11</v>
      </c>
      <c r="F298">
        <v>10791</v>
      </c>
      <c r="G298" t="s">
        <v>11</v>
      </c>
      <c r="H298">
        <v>2711</v>
      </c>
      <c r="I298" t="s">
        <v>11</v>
      </c>
      <c r="J298">
        <v>4428</v>
      </c>
      <c r="K298" t="s">
        <v>11</v>
      </c>
      <c r="L298">
        <v>84410</v>
      </c>
      <c r="M298">
        <v>64181</v>
      </c>
      <c r="N298">
        <v>1232</v>
      </c>
      <c r="O298">
        <v>1232</v>
      </c>
      <c r="P298" t="s">
        <v>11</v>
      </c>
      <c r="Q298" t="s">
        <v>11</v>
      </c>
      <c r="R298" t="s">
        <v>11</v>
      </c>
      <c r="S298" t="s">
        <v>11</v>
      </c>
      <c r="T298" s="34">
        <v>102800</v>
      </c>
      <c r="U298" s="34">
        <v>64460</v>
      </c>
      <c r="V298" s="34">
        <v>1706</v>
      </c>
      <c r="W298">
        <v>1678</v>
      </c>
      <c r="X298">
        <v>5831</v>
      </c>
      <c r="Y298">
        <v>5776</v>
      </c>
      <c r="Z298">
        <v>4056</v>
      </c>
      <c r="AA298">
        <v>1616</v>
      </c>
      <c r="AB298">
        <v>30946</v>
      </c>
      <c r="AC298">
        <v>22928</v>
      </c>
      <c r="AD298">
        <v>3435</v>
      </c>
      <c r="AE298">
        <v>3037</v>
      </c>
      <c r="AF298">
        <v>4291</v>
      </c>
      <c r="AG298">
        <v>4071</v>
      </c>
      <c r="AH298">
        <f t="shared" si="49"/>
        <v>3435</v>
      </c>
      <c r="AI298">
        <f t="shared" si="50"/>
        <v>3037</v>
      </c>
      <c r="AJ298">
        <v>25468</v>
      </c>
      <c r="AK298">
        <v>23083</v>
      </c>
      <c r="AL298">
        <v>48689</v>
      </c>
      <c r="AM298">
        <v>36561</v>
      </c>
      <c r="AN298" s="22">
        <v>164</v>
      </c>
      <c r="AO298">
        <v>1931</v>
      </c>
      <c r="AP298" t="s">
        <v>11</v>
      </c>
      <c r="AQ298" t="s">
        <v>11</v>
      </c>
      <c r="AR298">
        <v>332</v>
      </c>
      <c r="AS298" t="s">
        <v>11</v>
      </c>
      <c r="AT298" t="str">
        <f t="shared" si="43"/>
        <v>NoData</v>
      </c>
      <c r="AU298" t="str">
        <f t="shared" si="44"/>
        <v>NoData</v>
      </c>
      <c r="AV298">
        <v>4</v>
      </c>
      <c r="AW298" t="s">
        <v>11</v>
      </c>
      <c r="AX298">
        <v>4</v>
      </c>
      <c r="AY298" t="s">
        <v>11</v>
      </c>
      <c r="AZ298" t="str">
        <f t="shared" si="45"/>
        <v>NoData</v>
      </c>
      <c r="BA298" t="str">
        <f t="shared" si="46"/>
        <v>NoData</v>
      </c>
      <c r="BB298">
        <f t="shared" si="51"/>
        <v>164</v>
      </c>
      <c r="BC298">
        <f t="shared" si="52"/>
        <v>1931</v>
      </c>
      <c r="BD298" t="s">
        <v>11</v>
      </c>
      <c r="BE298" t="s">
        <v>11</v>
      </c>
      <c r="BF298" t="s">
        <v>11</v>
      </c>
      <c r="BG298" t="s">
        <v>11</v>
      </c>
      <c r="BH298">
        <v>14</v>
      </c>
      <c r="BI298" t="s">
        <v>11</v>
      </c>
      <c r="BJ298" t="s">
        <v>11</v>
      </c>
      <c r="BK298" t="s">
        <v>11</v>
      </c>
      <c r="BL298" t="s">
        <v>11</v>
      </c>
      <c r="BM298" t="s">
        <v>11</v>
      </c>
      <c r="BN298">
        <v>56</v>
      </c>
      <c r="BO298" t="s">
        <v>11</v>
      </c>
      <c r="BP298" t="str">
        <f t="shared" si="47"/>
        <v>NoData</v>
      </c>
      <c r="BQ298" t="str">
        <f t="shared" si="48"/>
        <v>NoData</v>
      </c>
      <c r="BR298">
        <v>111</v>
      </c>
      <c r="BS298" t="s">
        <v>11</v>
      </c>
      <c r="BT298">
        <v>50</v>
      </c>
      <c r="BU298" t="s">
        <v>11</v>
      </c>
    </row>
    <row r="299" spans="1:73" x14ac:dyDescent="0.25">
      <c r="A299" s="5">
        <v>34881</v>
      </c>
      <c r="B299">
        <v>7061</v>
      </c>
      <c r="C299" t="s">
        <v>11</v>
      </c>
      <c r="D299" t="s">
        <v>11</v>
      </c>
      <c r="E299" t="s">
        <v>11</v>
      </c>
      <c r="F299">
        <v>10535</v>
      </c>
      <c r="G299" t="s">
        <v>11</v>
      </c>
      <c r="H299">
        <v>3418</v>
      </c>
      <c r="I299" t="s">
        <v>11</v>
      </c>
      <c r="J299">
        <v>5383</v>
      </c>
      <c r="K299" t="s">
        <v>11</v>
      </c>
      <c r="L299">
        <v>93960</v>
      </c>
      <c r="M299">
        <v>71004</v>
      </c>
      <c r="N299">
        <v>1607</v>
      </c>
      <c r="O299">
        <v>1607</v>
      </c>
      <c r="P299" t="s">
        <v>11</v>
      </c>
      <c r="Q299" t="s">
        <v>11</v>
      </c>
      <c r="R299" t="s">
        <v>11</v>
      </c>
      <c r="S299" t="s">
        <v>11</v>
      </c>
      <c r="T299" s="34">
        <v>110700</v>
      </c>
      <c r="U299" s="34">
        <v>68438</v>
      </c>
      <c r="V299" s="34">
        <v>1751</v>
      </c>
      <c r="W299">
        <v>1725</v>
      </c>
      <c r="X299">
        <v>4817</v>
      </c>
      <c r="Y299">
        <v>4759</v>
      </c>
      <c r="Z299">
        <v>3641</v>
      </c>
      <c r="AA299">
        <v>1274</v>
      </c>
      <c r="AB299">
        <v>27448</v>
      </c>
      <c r="AC299">
        <v>19507</v>
      </c>
      <c r="AD299">
        <v>3764</v>
      </c>
      <c r="AE299">
        <v>3426</v>
      </c>
      <c r="AF299">
        <v>4104</v>
      </c>
      <c r="AG299">
        <v>3769</v>
      </c>
      <c r="AH299">
        <f t="shared" si="49"/>
        <v>3764</v>
      </c>
      <c r="AI299">
        <f t="shared" si="50"/>
        <v>3426</v>
      </c>
      <c r="AJ299">
        <v>27811</v>
      </c>
      <c r="AK299">
        <v>25893</v>
      </c>
      <c r="AL299">
        <v>46547</v>
      </c>
      <c r="AM299">
        <v>34222</v>
      </c>
      <c r="AN299" s="22">
        <v>190</v>
      </c>
      <c r="AO299">
        <v>2008</v>
      </c>
      <c r="AP299" t="s">
        <v>11</v>
      </c>
      <c r="AQ299" t="s">
        <v>11</v>
      </c>
      <c r="AR299">
        <v>362</v>
      </c>
      <c r="AS299" t="s">
        <v>11</v>
      </c>
      <c r="AT299" t="str">
        <f t="shared" si="43"/>
        <v>NoData</v>
      </c>
      <c r="AU299" t="str">
        <f t="shared" si="44"/>
        <v>NoData</v>
      </c>
      <c r="AV299">
        <v>5</v>
      </c>
      <c r="AW299" t="s">
        <v>11</v>
      </c>
      <c r="AX299">
        <v>4</v>
      </c>
      <c r="AY299" t="s">
        <v>11</v>
      </c>
      <c r="AZ299" t="str">
        <f t="shared" si="45"/>
        <v>NoData</v>
      </c>
      <c r="BA299" t="str">
        <f t="shared" si="46"/>
        <v>NoData</v>
      </c>
      <c r="BB299">
        <f t="shared" si="51"/>
        <v>190</v>
      </c>
      <c r="BC299">
        <f t="shared" si="52"/>
        <v>2008</v>
      </c>
      <c r="BD299" t="s">
        <v>11</v>
      </c>
      <c r="BE299" t="s">
        <v>11</v>
      </c>
      <c r="BF299" t="s">
        <v>11</v>
      </c>
      <c r="BG299" t="s">
        <v>11</v>
      </c>
      <c r="BH299">
        <v>24</v>
      </c>
      <c r="BI299" t="s">
        <v>11</v>
      </c>
      <c r="BJ299" t="s">
        <v>11</v>
      </c>
      <c r="BK299" t="s">
        <v>11</v>
      </c>
      <c r="BL299" t="s">
        <v>11</v>
      </c>
      <c r="BM299" t="s">
        <v>11</v>
      </c>
      <c r="BN299">
        <v>87</v>
      </c>
      <c r="BO299" t="s">
        <v>11</v>
      </c>
      <c r="BP299" t="str">
        <f t="shared" si="47"/>
        <v>NoData</v>
      </c>
      <c r="BQ299" t="str">
        <f t="shared" si="48"/>
        <v>NoData</v>
      </c>
      <c r="BR299">
        <v>122</v>
      </c>
      <c r="BS299" t="s">
        <v>11</v>
      </c>
      <c r="BT299">
        <v>54</v>
      </c>
      <c r="BU299" t="s">
        <v>11</v>
      </c>
    </row>
    <row r="300" spans="1:73" x14ac:dyDescent="0.25">
      <c r="A300" s="5">
        <v>34912</v>
      </c>
      <c r="B300">
        <v>5892</v>
      </c>
      <c r="C300" t="s">
        <v>11</v>
      </c>
      <c r="D300" t="s">
        <v>11</v>
      </c>
      <c r="E300" t="s">
        <v>11</v>
      </c>
      <c r="F300">
        <v>10099</v>
      </c>
      <c r="G300" t="s">
        <v>11</v>
      </c>
      <c r="H300">
        <v>4383</v>
      </c>
      <c r="I300" t="s">
        <v>11</v>
      </c>
      <c r="J300">
        <v>4523</v>
      </c>
      <c r="K300" t="s">
        <v>11</v>
      </c>
      <c r="L300">
        <v>89620</v>
      </c>
      <c r="M300">
        <v>65409</v>
      </c>
      <c r="N300">
        <v>1277</v>
      </c>
      <c r="O300">
        <v>1277</v>
      </c>
      <c r="P300" t="s">
        <v>11</v>
      </c>
      <c r="Q300" t="s">
        <v>11</v>
      </c>
      <c r="R300" t="s">
        <v>11</v>
      </c>
      <c r="S300" t="s">
        <v>11</v>
      </c>
      <c r="T300" s="34">
        <v>106900</v>
      </c>
      <c r="U300" s="34">
        <v>63033</v>
      </c>
      <c r="V300" s="34">
        <v>1837</v>
      </c>
      <c r="W300">
        <v>1810</v>
      </c>
      <c r="X300">
        <v>4035</v>
      </c>
      <c r="Y300">
        <v>4000</v>
      </c>
      <c r="Z300">
        <v>2391</v>
      </c>
      <c r="AA300">
        <v>651</v>
      </c>
      <c r="AB300">
        <v>27169</v>
      </c>
      <c r="AC300">
        <v>19385</v>
      </c>
      <c r="AD300">
        <v>4456</v>
      </c>
      <c r="AE300">
        <v>3884</v>
      </c>
      <c r="AF300">
        <v>3480</v>
      </c>
      <c r="AG300">
        <v>3336</v>
      </c>
      <c r="AH300">
        <f t="shared" si="49"/>
        <v>4456</v>
      </c>
      <c r="AI300">
        <f t="shared" si="50"/>
        <v>3884</v>
      </c>
      <c r="AJ300">
        <v>32401</v>
      </c>
      <c r="AK300">
        <v>29131</v>
      </c>
      <c r="AL300">
        <v>41701</v>
      </c>
      <c r="AM300">
        <v>29745</v>
      </c>
      <c r="AN300" s="22">
        <v>155</v>
      </c>
      <c r="AO300">
        <v>1758</v>
      </c>
      <c r="AP300" t="s">
        <v>11</v>
      </c>
      <c r="AQ300" t="s">
        <v>11</v>
      </c>
      <c r="AR300">
        <v>348</v>
      </c>
      <c r="AS300" t="s">
        <v>11</v>
      </c>
      <c r="AT300" t="str">
        <f t="shared" si="43"/>
        <v>NoData</v>
      </c>
      <c r="AU300" t="str">
        <f t="shared" si="44"/>
        <v>NoData</v>
      </c>
      <c r="AV300">
        <v>2</v>
      </c>
      <c r="AW300" t="s">
        <v>11</v>
      </c>
      <c r="AX300">
        <v>4</v>
      </c>
      <c r="AY300" t="s">
        <v>11</v>
      </c>
      <c r="AZ300" t="str">
        <f t="shared" si="45"/>
        <v>NoData</v>
      </c>
      <c r="BA300" t="str">
        <f t="shared" si="46"/>
        <v>NoData</v>
      </c>
      <c r="BB300">
        <f t="shared" si="51"/>
        <v>155</v>
      </c>
      <c r="BC300">
        <f t="shared" si="52"/>
        <v>1758</v>
      </c>
      <c r="BD300" t="s">
        <v>11</v>
      </c>
      <c r="BE300" t="s">
        <v>11</v>
      </c>
      <c r="BF300" t="s">
        <v>11</v>
      </c>
      <c r="BG300" t="s">
        <v>11</v>
      </c>
      <c r="BH300">
        <v>17</v>
      </c>
      <c r="BI300" t="s">
        <v>11</v>
      </c>
      <c r="BJ300" t="s">
        <v>11</v>
      </c>
      <c r="BK300" t="s">
        <v>11</v>
      </c>
      <c r="BL300" t="s">
        <v>11</v>
      </c>
      <c r="BM300" t="s">
        <v>11</v>
      </c>
      <c r="BN300">
        <v>74</v>
      </c>
      <c r="BO300" t="s">
        <v>11</v>
      </c>
      <c r="BP300" t="str">
        <f t="shared" si="47"/>
        <v>NoData</v>
      </c>
      <c r="BQ300" t="str">
        <f t="shared" si="48"/>
        <v>NoData</v>
      </c>
      <c r="BR300">
        <v>117</v>
      </c>
      <c r="BS300" t="s">
        <v>11</v>
      </c>
      <c r="BT300">
        <v>52</v>
      </c>
      <c r="BU300" t="s">
        <v>11</v>
      </c>
    </row>
    <row r="301" spans="1:73" x14ac:dyDescent="0.25">
      <c r="A301" s="5">
        <v>34943</v>
      </c>
      <c r="B301">
        <v>3811</v>
      </c>
      <c r="C301" t="s">
        <v>11</v>
      </c>
      <c r="D301" t="s">
        <v>11</v>
      </c>
      <c r="E301" t="s">
        <v>11</v>
      </c>
      <c r="F301">
        <v>5290</v>
      </c>
      <c r="G301" t="s">
        <v>11</v>
      </c>
      <c r="H301">
        <v>1254</v>
      </c>
      <c r="I301" t="s">
        <v>11</v>
      </c>
      <c r="J301">
        <v>2633</v>
      </c>
      <c r="K301" t="s">
        <v>11</v>
      </c>
      <c r="L301">
        <v>59220</v>
      </c>
      <c r="M301">
        <v>37513</v>
      </c>
      <c r="N301">
        <v>1419</v>
      </c>
      <c r="O301">
        <v>1419</v>
      </c>
      <c r="P301" t="s">
        <v>11</v>
      </c>
      <c r="Q301" t="s">
        <v>11</v>
      </c>
      <c r="R301" t="s">
        <v>11</v>
      </c>
      <c r="S301" t="s">
        <v>11</v>
      </c>
      <c r="T301" s="34">
        <v>81620</v>
      </c>
      <c r="U301" s="34">
        <v>39762</v>
      </c>
      <c r="V301" s="34">
        <v>2872</v>
      </c>
      <c r="W301">
        <v>2816</v>
      </c>
      <c r="X301">
        <v>4334</v>
      </c>
      <c r="Y301">
        <v>4273</v>
      </c>
      <c r="Z301">
        <v>4133</v>
      </c>
      <c r="AA301">
        <v>1658</v>
      </c>
      <c r="AB301">
        <v>27258</v>
      </c>
      <c r="AC301">
        <v>18882</v>
      </c>
      <c r="AD301">
        <v>3728</v>
      </c>
      <c r="AE301">
        <v>3123</v>
      </c>
      <c r="AF301">
        <v>7358</v>
      </c>
      <c r="AG301">
        <v>6751</v>
      </c>
      <c r="AH301">
        <f t="shared" si="49"/>
        <v>3728</v>
      </c>
      <c r="AI301">
        <f t="shared" si="50"/>
        <v>3123</v>
      </c>
      <c r="AJ301">
        <v>27436</v>
      </c>
      <c r="AK301">
        <v>23860</v>
      </c>
      <c r="AL301">
        <v>39330</v>
      </c>
      <c r="AM301">
        <v>29039</v>
      </c>
      <c r="AN301" s="22">
        <v>24</v>
      </c>
      <c r="AO301">
        <v>697</v>
      </c>
      <c r="AP301" t="s">
        <v>11</v>
      </c>
      <c r="AQ301" t="s">
        <v>11</v>
      </c>
      <c r="AR301">
        <v>273</v>
      </c>
      <c r="AS301" t="s">
        <v>11</v>
      </c>
      <c r="AT301" t="str">
        <f t="shared" si="43"/>
        <v>NoData</v>
      </c>
      <c r="AU301" t="str">
        <f t="shared" si="44"/>
        <v>NoData</v>
      </c>
      <c r="AV301">
        <v>4</v>
      </c>
      <c r="AW301" t="s">
        <v>11</v>
      </c>
      <c r="AX301">
        <v>4</v>
      </c>
      <c r="AY301" t="s">
        <v>11</v>
      </c>
      <c r="AZ301" t="str">
        <f t="shared" si="45"/>
        <v>NoData</v>
      </c>
      <c r="BA301" t="str">
        <f t="shared" si="46"/>
        <v>NoData</v>
      </c>
      <c r="BB301">
        <f t="shared" si="51"/>
        <v>24</v>
      </c>
      <c r="BC301">
        <f t="shared" si="52"/>
        <v>697</v>
      </c>
      <c r="BD301" t="s">
        <v>11</v>
      </c>
      <c r="BE301" t="s">
        <v>11</v>
      </c>
      <c r="BF301" t="s">
        <v>11</v>
      </c>
      <c r="BG301" t="s">
        <v>11</v>
      </c>
      <c r="BH301">
        <v>4</v>
      </c>
      <c r="BI301" t="s">
        <v>11</v>
      </c>
      <c r="BJ301" t="s">
        <v>11</v>
      </c>
      <c r="BK301" t="s">
        <v>11</v>
      </c>
      <c r="BL301" t="s">
        <v>11</v>
      </c>
      <c r="BM301" t="s">
        <v>11</v>
      </c>
      <c r="BN301">
        <v>28</v>
      </c>
      <c r="BO301" t="s">
        <v>11</v>
      </c>
      <c r="BP301" t="str">
        <f t="shared" si="47"/>
        <v>NoData</v>
      </c>
      <c r="BQ301" t="str">
        <f t="shared" si="48"/>
        <v>NoData</v>
      </c>
      <c r="BR301">
        <v>92</v>
      </c>
      <c r="BS301" t="s">
        <v>11</v>
      </c>
      <c r="BT301">
        <v>41</v>
      </c>
      <c r="BU301" t="s">
        <v>11</v>
      </c>
    </row>
    <row r="302" spans="1:73" x14ac:dyDescent="0.25">
      <c r="A302" s="5">
        <v>34973</v>
      </c>
      <c r="B302">
        <v>2289</v>
      </c>
      <c r="C302" t="s">
        <v>11</v>
      </c>
      <c r="D302" t="s">
        <v>11</v>
      </c>
      <c r="E302" t="s">
        <v>11</v>
      </c>
      <c r="F302">
        <v>3267</v>
      </c>
      <c r="G302" t="s">
        <v>11</v>
      </c>
      <c r="H302">
        <v>2720</v>
      </c>
      <c r="I302" t="s">
        <v>11</v>
      </c>
      <c r="J302">
        <v>1484</v>
      </c>
      <c r="K302" t="s">
        <v>11</v>
      </c>
      <c r="L302">
        <v>40810</v>
      </c>
      <c r="M302">
        <v>22171</v>
      </c>
      <c r="N302">
        <v>349</v>
      </c>
      <c r="O302">
        <v>349</v>
      </c>
      <c r="P302" t="s">
        <v>11</v>
      </c>
      <c r="Q302" t="s">
        <v>11</v>
      </c>
      <c r="R302" t="s">
        <v>11</v>
      </c>
      <c r="S302" t="s">
        <v>11</v>
      </c>
      <c r="T302" s="34">
        <v>61540</v>
      </c>
      <c r="U302" s="34">
        <v>20403</v>
      </c>
      <c r="V302" s="34">
        <v>4617</v>
      </c>
      <c r="W302">
        <v>4541</v>
      </c>
      <c r="X302">
        <v>5946</v>
      </c>
      <c r="Y302">
        <v>5880</v>
      </c>
      <c r="Z302">
        <v>4984</v>
      </c>
      <c r="AA302">
        <v>2126</v>
      </c>
      <c r="AB302">
        <v>41950</v>
      </c>
      <c r="AC302">
        <v>30572</v>
      </c>
      <c r="AD302">
        <v>2785</v>
      </c>
      <c r="AE302">
        <v>2349</v>
      </c>
      <c r="AF302">
        <v>6834</v>
      </c>
      <c r="AG302">
        <v>6003</v>
      </c>
      <c r="AH302">
        <f t="shared" si="49"/>
        <v>2785</v>
      </c>
      <c r="AI302">
        <f t="shared" si="50"/>
        <v>2349</v>
      </c>
      <c r="AJ302">
        <v>21125</v>
      </c>
      <c r="AK302">
        <v>18456</v>
      </c>
      <c r="AL302">
        <v>30444</v>
      </c>
      <c r="AM302">
        <v>17033</v>
      </c>
      <c r="AN302" s="22">
        <v>348</v>
      </c>
      <c r="AO302">
        <v>1191</v>
      </c>
      <c r="AP302" t="s">
        <v>11</v>
      </c>
      <c r="AQ302" t="s">
        <v>11</v>
      </c>
      <c r="AR302">
        <v>229</v>
      </c>
      <c r="AS302" t="s">
        <v>11</v>
      </c>
      <c r="AT302" t="str">
        <f t="shared" si="43"/>
        <v>NoData</v>
      </c>
      <c r="AU302" t="str">
        <f t="shared" si="44"/>
        <v>NoData</v>
      </c>
      <c r="AV302">
        <v>3</v>
      </c>
      <c r="AW302" t="s">
        <v>11</v>
      </c>
      <c r="AX302">
        <v>4</v>
      </c>
      <c r="AY302" t="s">
        <v>11</v>
      </c>
      <c r="AZ302" t="str">
        <f t="shared" si="45"/>
        <v>NoData</v>
      </c>
      <c r="BA302" t="str">
        <f t="shared" si="46"/>
        <v>NoData</v>
      </c>
      <c r="BB302">
        <f t="shared" si="51"/>
        <v>348</v>
      </c>
      <c r="BC302">
        <f t="shared" si="52"/>
        <v>1191</v>
      </c>
      <c r="BD302" t="s">
        <v>11</v>
      </c>
      <c r="BE302" t="s">
        <v>11</v>
      </c>
      <c r="BF302" t="s">
        <v>11</v>
      </c>
      <c r="BG302" t="s">
        <v>11</v>
      </c>
      <c r="BH302">
        <v>18</v>
      </c>
      <c r="BI302" t="s">
        <v>11</v>
      </c>
      <c r="BJ302" t="s">
        <v>11</v>
      </c>
      <c r="BK302" t="s">
        <v>11</v>
      </c>
      <c r="BL302" t="s">
        <v>11</v>
      </c>
      <c r="BM302" t="s">
        <v>11</v>
      </c>
      <c r="BN302">
        <v>0</v>
      </c>
      <c r="BO302" t="s">
        <v>11</v>
      </c>
      <c r="BP302" t="str">
        <f t="shared" si="47"/>
        <v>NoData</v>
      </c>
      <c r="BQ302" t="str">
        <f t="shared" si="48"/>
        <v>NoData</v>
      </c>
      <c r="BR302">
        <v>77</v>
      </c>
      <c r="BS302" t="s">
        <v>11</v>
      </c>
      <c r="BT302">
        <v>34</v>
      </c>
      <c r="BU302" t="s">
        <v>11</v>
      </c>
    </row>
    <row r="303" spans="1:73" x14ac:dyDescent="0.25">
      <c r="A303" s="5">
        <v>35004</v>
      </c>
      <c r="B303">
        <v>1767</v>
      </c>
      <c r="C303" t="s">
        <v>11</v>
      </c>
      <c r="D303" t="s">
        <v>11</v>
      </c>
      <c r="E303" t="s">
        <v>11</v>
      </c>
      <c r="F303">
        <v>2366</v>
      </c>
      <c r="G303" t="s">
        <v>11</v>
      </c>
      <c r="H303">
        <v>1394</v>
      </c>
      <c r="I303" t="s">
        <v>11</v>
      </c>
      <c r="J303">
        <v>639</v>
      </c>
      <c r="K303" t="s">
        <v>11</v>
      </c>
      <c r="L303">
        <v>28460</v>
      </c>
      <c r="M303">
        <v>10049</v>
      </c>
      <c r="N303">
        <v>241</v>
      </c>
      <c r="O303">
        <v>241</v>
      </c>
      <c r="P303" t="s">
        <v>11</v>
      </c>
      <c r="Q303" t="s">
        <v>11</v>
      </c>
      <c r="R303" t="s">
        <v>11</v>
      </c>
      <c r="S303" t="s">
        <v>11</v>
      </c>
      <c r="T303" s="34">
        <v>46540</v>
      </c>
      <c r="U303" s="34">
        <v>11293</v>
      </c>
      <c r="V303" s="34">
        <v>2760</v>
      </c>
      <c r="W303">
        <v>2708</v>
      </c>
      <c r="X303">
        <v>3486</v>
      </c>
      <c r="Y303">
        <v>3442</v>
      </c>
      <c r="Z303">
        <v>2880</v>
      </c>
      <c r="AA303">
        <v>664</v>
      </c>
      <c r="AB303">
        <v>25089</v>
      </c>
      <c r="AC303">
        <v>14418</v>
      </c>
      <c r="AD303">
        <v>1314</v>
      </c>
      <c r="AE303">
        <v>1002</v>
      </c>
      <c r="AF303">
        <v>4192</v>
      </c>
      <c r="AG303">
        <v>3619</v>
      </c>
      <c r="AH303">
        <f t="shared" si="49"/>
        <v>1314</v>
      </c>
      <c r="AI303">
        <f t="shared" si="50"/>
        <v>1002</v>
      </c>
      <c r="AJ303">
        <v>12450</v>
      </c>
      <c r="AK303">
        <v>10431</v>
      </c>
      <c r="AL303">
        <v>21442</v>
      </c>
      <c r="AM303">
        <v>12339</v>
      </c>
      <c r="AN303" s="22">
        <v>112</v>
      </c>
      <c r="AO303">
        <v>1356</v>
      </c>
      <c r="AP303" t="s">
        <v>11</v>
      </c>
      <c r="AQ303" t="s">
        <v>11</v>
      </c>
      <c r="AR303">
        <v>163</v>
      </c>
      <c r="AS303" t="s">
        <v>11</v>
      </c>
      <c r="AT303" t="str">
        <f t="shared" si="43"/>
        <v>NoData</v>
      </c>
      <c r="AU303" t="str">
        <f t="shared" si="44"/>
        <v>NoData</v>
      </c>
      <c r="AV303">
        <v>2</v>
      </c>
      <c r="AW303" t="s">
        <v>11</v>
      </c>
      <c r="AX303">
        <v>4</v>
      </c>
      <c r="AY303" t="s">
        <v>11</v>
      </c>
      <c r="AZ303" t="str">
        <f t="shared" si="45"/>
        <v>NoData</v>
      </c>
      <c r="BA303" t="str">
        <f t="shared" si="46"/>
        <v>NoData</v>
      </c>
      <c r="BB303">
        <f t="shared" si="51"/>
        <v>112</v>
      </c>
      <c r="BC303">
        <f t="shared" si="52"/>
        <v>1356</v>
      </c>
      <c r="BD303" t="s">
        <v>11</v>
      </c>
      <c r="BE303" t="s">
        <v>11</v>
      </c>
      <c r="BF303" t="s">
        <v>11</v>
      </c>
      <c r="BG303" t="s">
        <v>11</v>
      </c>
      <c r="BH303">
        <v>19</v>
      </c>
      <c r="BI303" t="s">
        <v>11</v>
      </c>
      <c r="BJ303" t="s">
        <v>11</v>
      </c>
      <c r="BK303" t="s">
        <v>11</v>
      </c>
      <c r="BL303" t="s">
        <v>11</v>
      </c>
      <c r="BM303" t="s">
        <v>11</v>
      </c>
      <c r="BN303">
        <v>0</v>
      </c>
      <c r="BO303" t="s">
        <v>11</v>
      </c>
      <c r="BP303" t="str">
        <f t="shared" si="47"/>
        <v>NoData</v>
      </c>
      <c r="BQ303" t="str">
        <f t="shared" si="48"/>
        <v>NoData</v>
      </c>
      <c r="BR303">
        <v>54</v>
      </c>
      <c r="BS303" t="s">
        <v>11</v>
      </c>
      <c r="BT303">
        <v>24</v>
      </c>
      <c r="BU303" t="s">
        <v>11</v>
      </c>
    </row>
    <row r="304" spans="1:73" x14ac:dyDescent="0.25">
      <c r="A304" s="5">
        <v>35034</v>
      </c>
      <c r="B304">
        <v>1385</v>
      </c>
      <c r="C304" t="s">
        <v>11</v>
      </c>
      <c r="D304" t="s">
        <v>11</v>
      </c>
      <c r="E304" t="s">
        <v>11</v>
      </c>
      <c r="F304">
        <v>1386</v>
      </c>
      <c r="G304" t="s">
        <v>11</v>
      </c>
      <c r="H304">
        <v>922</v>
      </c>
      <c r="I304" t="s">
        <v>11</v>
      </c>
      <c r="J304">
        <v>587</v>
      </c>
      <c r="K304" t="s">
        <v>11</v>
      </c>
      <c r="L304">
        <v>33810</v>
      </c>
      <c r="M304">
        <v>15742</v>
      </c>
      <c r="N304">
        <v>55</v>
      </c>
      <c r="O304">
        <v>55</v>
      </c>
      <c r="P304" t="s">
        <v>11</v>
      </c>
      <c r="Q304" t="s">
        <v>11</v>
      </c>
      <c r="R304" t="s">
        <v>11</v>
      </c>
      <c r="S304" t="s">
        <v>11</v>
      </c>
      <c r="T304" s="34">
        <v>57330</v>
      </c>
      <c r="U304" s="34">
        <v>21455</v>
      </c>
      <c r="V304" s="34">
        <v>1751</v>
      </c>
      <c r="W304">
        <v>1696</v>
      </c>
      <c r="X304">
        <v>2771</v>
      </c>
      <c r="Y304">
        <v>2708</v>
      </c>
      <c r="Z304">
        <v>2738</v>
      </c>
      <c r="AA304">
        <v>568</v>
      </c>
      <c r="AB304">
        <v>18519</v>
      </c>
      <c r="AC304">
        <v>8993</v>
      </c>
      <c r="AD304">
        <v>1671</v>
      </c>
      <c r="AE304">
        <v>1148</v>
      </c>
      <c r="AF304">
        <v>3203</v>
      </c>
      <c r="AG304">
        <v>2871</v>
      </c>
      <c r="AH304">
        <f t="shared" si="49"/>
        <v>1671</v>
      </c>
      <c r="AI304">
        <f t="shared" si="50"/>
        <v>1148</v>
      </c>
      <c r="AJ304">
        <v>9757</v>
      </c>
      <c r="AK304">
        <v>6773</v>
      </c>
      <c r="AL304">
        <v>18316</v>
      </c>
      <c r="AM304">
        <v>4348</v>
      </c>
      <c r="AN304" s="22">
        <v>40</v>
      </c>
      <c r="AO304">
        <v>696</v>
      </c>
      <c r="AP304" t="s">
        <v>11</v>
      </c>
      <c r="AQ304" t="s">
        <v>11</v>
      </c>
      <c r="AR304">
        <v>160</v>
      </c>
      <c r="AS304" t="s">
        <v>11</v>
      </c>
      <c r="AT304" t="str">
        <f t="shared" si="43"/>
        <v>NoData</v>
      </c>
      <c r="AU304" t="str">
        <f t="shared" si="44"/>
        <v>NoData</v>
      </c>
      <c r="AV304">
        <v>4</v>
      </c>
      <c r="AW304" t="s">
        <v>11</v>
      </c>
      <c r="AX304">
        <v>4</v>
      </c>
      <c r="AY304" t="s">
        <v>11</v>
      </c>
      <c r="AZ304" t="str">
        <f t="shared" si="45"/>
        <v>NoData</v>
      </c>
      <c r="BA304" t="str">
        <f t="shared" si="46"/>
        <v>NoData</v>
      </c>
      <c r="BB304">
        <f t="shared" si="51"/>
        <v>40</v>
      </c>
      <c r="BC304">
        <f t="shared" si="52"/>
        <v>696</v>
      </c>
      <c r="BD304" t="s">
        <v>11</v>
      </c>
      <c r="BE304" t="s">
        <v>11</v>
      </c>
      <c r="BF304" t="s">
        <v>11</v>
      </c>
      <c r="BG304" t="s">
        <v>11</v>
      </c>
      <c r="BH304">
        <v>97</v>
      </c>
      <c r="BI304" t="s">
        <v>11</v>
      </c>
      <c r="BJ304" t="s">
        <v>11</v>
      </c>
      <c r="BK304" t="s">
        <v>11</v>
      </c>
      <c r="BL304" t="s">
        <v>11</v>
      </c>
      <c r="BM304" t="s">
        <v>11</v>
      </c>
      <c r="BN304">
        <v>33</v>
      </c>
      <c r="BO304" t="s">
        <v>11</v>
      </c>
      <c r="BP304" t="str">
        <f t="shared" si="47"/>
        <v>NoData</v>
      </c>
      <c r="BQ304" t="str">
        <f t="shared" si="48"/>
        <v>NoData</v>
      </c>
      <c r="BR304">
        <v>54</v>
      </c>
      <c r="BS304" t="s">
        <v>11</v>
      </c>
      <c r="BT304">
        <v>24</v>
      </c>
      <c r="BU304" t="s">
        <v>11</v>
      </c>
    </row>
    <row r="305" spans="1:73" x14ac:dyDescent="0.25">
      <c r="A305" s="5">
        <v>35065</v>
      </c>
      <c r="B305">
        <v>1739</v>
      </c>
      <c r="C305" t="s">
        <v>11</v>
      </c>
      <c r="D305">
        <v>45</v>
      </c>
      <c r="E305">
        <v>45</v>
      </c>
      <c r="F305">
        <v>1512</v>
      </c>
      <c r="G305" t="s">
        <v>11</v>
      </c>
      <c r="H305">
        <v>1085</v>
      </c>
      <c r="I305" t="s">
        <v>11</v>
      </c>
      <c r="J305">
        <v>1024</v>
      </c>
      <c r="K305">
        <v>1024</v>
      </c>
      <c r="L305">
        <v>23240</v>
      </c>
      <c r="M305">
        <v>10531</v>
      </c>
      <c r="N305">
        <v>522</v>
      </c>
      <c r="O305">
        <v>522</v>
      </c>
      <c r="P305" t="s">
        <v>11</v>
      </c>
      <c r="Q305" t="s">
        <v>11</v>
      </c>
      <c r="R305" t="s">
        <v>11</v>
      </c>
      <c r="S305" t="s">
        <v>11</v>
      </c>
      <c r="T305" s="34">
        <v>39170</v>
      </c>
      <c r="U305" s="34">
        <v>11352</v>
      </c>
      <c r="V305" s="34">
        <v>2502</v>
      </c>
      <c r="W305">
        <v>2461</v>
      </c>
      <c r="X305">
        <v>2665</v>
      </c>
      <c r="Y305">
        <v>2636</v>
      </c>
      <c r="Z305">
        <v>2987</v>
      </c>
      <c r="AA305">
        <v>1132</v>
      </c>
      <c r="AB305">
        <v>19281</v>
      </c>
      <c r="AC305">
        <v>10703</v>
      </c>
      <c r="AD305">
        <v>1565</v>
      </c>
      <c r="AE305">
        <v>1183</v>
      </c>
      <c r="AF305">
        <v>3083</v>
      </c>
      <c r="AG305">
        <v>2817</v>
      </c>
      <c r="AH305">
        <f t="shared" si="49"/>
        <v>1565</v>
      </c>
      <c r="AI305">
        <f t="shared" si="50"/>
        <v>1183</v>
      </c>
      <c r="AJ305">
        <v>11651</v>
      </c>
      <c r="AK305">
        <v>9270</v>
      </c>
      <c r="AL305">
        <v>20977</v>
      </c>
      <c r="AM305">
        <v>4099</v>
      </c>
      <c r="AN305">
        <v>74</v>
      </c>
      <c r="AO305">
        <v>74</v>
      </c>
      <c r="AP305" t="s">
        <v>11</v>
      </c>
      <c r="AQ305" t="s">
        <v>11</v>
      </c>
      <c r="AR305">
        <v>151</v>
      </c>
      <c r="AS305" t="s">
        <v>11</v>
      </c>
      <c r="AT305" t="str">
        <f t="shared" si="43"/>
        <v>NoData</v>
      </c>
      <c r="AU305" t="str">
        <f t="shared" si="44"/>
        <v>NoData</v>
      </c>
      <c r="AV305">
        <v>7</v>
      </c>
      <c r="AW305" t="s">
        <v>11</v>
      </c>
      <c r="AX305">
        <v>4</v>
      </c>
      <c r="AY305" t="s">
        <v>11</v>
      </c>
      <c r="AZ305" t="str">
        <f t="shared" si="45"/>
        <v>NoData</v>
      </c>
      <c r="BA305" t="str">
        <f t="shared" si="46"/>
        <v>NoData</v>
      </c>
      <c r="BB305">
        <f t="shared" si="51"/>
        <v>74</v>
      </c>
      <c r="BC305">
        <f t="shared" si="52"/>
        <v>74</v>
      </c>
      <c r="BD305" t="s">
        <v>11</v>
      </c>
      <c r="BE305" t="s">
        <v>11</v>
      </c>
      <c r="BF305" t="s">
        <v>11</v>
      </c>
      <c r="BG305" t="s">
        <v>11</v>
      </c>
      <c r="BH305">
        <v>9</v>
      </c>
      <c r="BI305" t="s">
        <v>11</v>
      </c>
      <c r="BJ305" t="s">
        <v>11</v>
      </c>
      <c r="BK305" t="s">
        <v>11</v>
      </c>
      <c r="BL305" t="s">
        <v>11</v>
      </c>
      <c r="BM305" t="s">
        <v>11</v>
      </c>
      <c r="BN305">
        <v>0</v>
      </c>
      <c r="BO305" t="s">
        <v>11</v>
      </c>
      <c r="BP305" t="str">
        <f t="shared" si="47"/>
        <v>NoData</v>
      </c>
      <c r="BQ305" t="str">
        <f t="shared" si="48"/>
        <v>NoData</v>
      </c>
      <c r="BR305">
        <v>51</v>
      </c>
      <c r="BS305" t="s">
        <v>11</v>
      </c>
      <c r="BT305">
        <v>23</v>
      </c>
      <c r="BU305" t="s">
        <v>11</v>
      </c>
    </row>
    <row r="306" spans="1:73" x14ac:dyDescent="0.25">
      <c r="A306" s="5">
        <v>35096</v>
      </c>
      <c r="B306">
        <v>2192</v>
      </c>
      <c r="C306" t="s">
        <v>11</v>
      </c>
      <c r="D306">
        <v>36</v>
      </c>
      <c r="E306">
        <v>36</v>
      </c>
      <c r="F306">
        <v>3935</v>
      </c>
      <c r="G306" t="s">
        <v>11</v>
      </c>
      <c r="H306">
        <v>1239</v>
      </c>
      <c r="I306" t="s">
        <v>11</v>
      </c>
      <c r="J306">
        <v>1445</v>
      </c>
      <c r="K306">
        <v>1445</v>
      </c>
      <c r="L306">
        <v>42030</v>
      </c>
      <c r="M306">
        <v>27221</v>
      </c>
      <c r="N306">
        <v>134</v>
      </c>
      <c r="O306">
        <v>134</v>
      </c>
      <c r="P306" t="s">
        <v>11</v>
      </c>
      <c r="Q306" t="s">
        <v>11</v>
      </c>
      <c r="R306" t="s">
        <v>11</v>
      </c>
      <c r="S306" t="s">
        <v>11</v>
      </c>
      <c r="T306" s="34">
        <v>57400</v>
      </c>
      <c r="U306" s="34">
        <v>26907</v>
      </c>
      <c r="V306" s="34">
        <v>2655</v>
      </c>
      <c r="W306">
        <v>2622</v>
      </c>
      <c r="X306">
        <v>3822</v>
      </c>
      <c r="Y306">
        <v>3788</v>
      </c>
      <c r="Z306">
        <v>3496</v>
      </c>
      <c r="AA306">
        <v>1436</v>
      </c>
      <c r="AB306">
        <v>23098</v>
      </c>
      <c r="AC306">
        <v>15012</v>
      </c>
      <c r="AD306">
        <v>1472</v>
      </c>
      <c r="AE306">
        <v>1068</v>
      </c>
      <c r="AF306">
        <v>3779</v>
      </c>
      <c r="AG306">
        <v>3345</v>
      </c>
      <c r="AH306">
        <f t="shared" si="49"/>
        <v>1472</v>
      </c>
      <c r="AI306">
        <f t="shared" si="50"/>
        <v>1068</v>
      </c>
      <c r="AJ306">
        <v>11549</v>
      </c>
      <c r="AK306">
        <v>9120</v>
      </c>
      <c r="AL306">
        <v>22808</v>
      </c>
      <c r="AM306">
        <v>7852</v>
      </c>
      <c r="AN306">
        <v>59</v>
      </c>
      <c r="AO306">
        <v>59</v>
      </c>
      <c r="AP306" t="s">
        <v>11</v>
      </c>
      <c r="AQ306" t="s">
        <v>11</v>
      </c>
      <c r="AR306">
        <v>121</v>
      </c>
      <c r="AS306" t="s">
        <v>11</v>
      </c>
      <c r="AT306" t="str">
        <f t="shared" si="43"/>
        <v>NoData</v>
      </c>
      <c r="AU306" t="str">
        <f t="shared" si="44"/>
        <v>NoData</v>
      </c>
      <c r="AV306">
        <v>5</v>
      </c>
      <c r="AW306" t="s">
        <v>11</v>
      </c>
      <c r="AX306">
        <v>4</v>
      </c>
      <c r="AY306" t="s">
        <v>11</v>
      </c>
      <c r="AZ306" t="str">
        <f t="shared" si="45"/>
        <v>NoData</v>
      </c>
      <c r="BA306" t="str">
        <f t="shared" si="46"/>
        <v>NoData</v>
      </c>
      <c r="BB306">
        <f t="shared" si="51"/>
        <v>59</v>
      </c>
      <c r="BC306">
        <f t="shared" si="52"/>
        <v>59</v>
      </c>
      <c r="BD306" t="s">
        <v>11</v>
      </c>
      <c r="BE306" t="s">
        <v>11</v>
      </c>
      <c r="BF306" t="s">
        <v>11</v>
      </c>
      <c r="BG306" t="s">
        <v>11</v>
      </c>
      <c r="BH306">
        <v>29</v>
      </c>
      <c r="BI306" t="s">
        <v>11</v>
      </c>
      <c r="BJ306" t="s">
        <v>11</v>
      </c>
      <c r="BK306" t="s">
        <v>11</v>
      </c>
      <c r="BL306" t="s">
        <v>11</v>
      </c>
      <c r="BM306" t="s">
        <v>11</v>
      </c>
      <c r="BN306">
        <v>0</v>
      </c>
      <c r="BO306" t="s">
        <v>11</v>
      </c>
      <c r="BP306" t="str">
        <f t="shared" si="47"/>
        <v>NoData</v>
      </c>
      <c r="BQ306" t="str">
        <f t="shared" si="48"/>
        <v>NoData</v>
      </c>
      <c r="BR306">
        <v>41</v>
      </c>
      <c r="BS306" t="s">
        <v>11</v>
      </c>
      <c r="BT306">
        <v>18</v>
      </c>
      <c r="BU306" t="s">
        <v>11</v>
      </c>
    </row>
    <row r="307" spans="1:73" x14ac:dyDescent="0.25">
      <c r="A307" s="5">
        <v>35125</v>
      </c>
      <c r="B307">
        <v>3726</v>
      </c>
      <c r="C307" t="s">
        <v>11</v>
      </c>
      <c r="D307">
        <v>62</v>
      </c>
      <c r="E307">
        <v>62</v>
      </c>
      <c r="F307">
        <v>6762</v>
      </c>
      <c r="G307" t="s">
        <v>11</v>
      </c>
      <c r="H307">
        <v>1614</v>
      </c>
      <c r="I307" t="s">
        <v>11</v>
      </c>
      <c r="J307">
        <v>2537</v>
      </c>
      <c r="K307">
        <v>2537</v>
      </c>
      <c r="L307">
        <v>69610</v>
      </c>
      <c r="M307">
        <v>50251</v>
      </c>
      <c r="N307">
        <v>1108</v>
      </c>
      <c r="O307">
        <v>1108</v>
      </c>
      <c r="P307" t="s">
        <v>11</v>
      </c>
      <c r="Q307" t="s">
        <v>11</v>
      </c>
      <c r="R307" t="s">
        <v>11</v>
      </c>
      <c r="S307" t="s">
        <v>11</v>
      </c>
      <c r="T307" s="34">
        <v>78400</v>
      </c>
      <c r="U307" s="34">
        <v>44958</v>
      </c>
      <c r="V307" s="34">
        <v>3582</v>
      </c>
      <c r="W307">
        <v>3540</v>
      </c>
      <c r="X307">
        <v>5173</v>
      </c>
      <c r="Y307">
        <v>5135</v>
      </c>
      <c r="Z307">
        <v>4994</v>
      </c>
      <c r="AA307">
        <v>2262</v>
      </c>
      <c r="AB307">
        <v>35739</v>
      </c>
      <c r="AC307">
        <v>25989</v>
      </c>
      <c r="AD307">
        <v>2080</v>
      </c>
      <c r="AE307">
        <v>1540</v>
      </c>
      <c r="AF307">
        <v>5650</v>
      </c>
      <c r="AG307">
        <v>4892</v>
      </c>
      <c r="AH307">
        <f t="shared" si="49"/>
        <v>2080</v>
      </c>
      <c r="AI307">
        <f t="shared" si="50"/>
        <v>1540</v>
      </c>
      <c r="AJ307">
        <v>15054</v>
      </c>
      <c r="AK307">
        <v>11819</v>
      </c>
      <c r="AL307">
        <v>38503</v>
      </c>
      <c r="AM307">
        <v>22934</v>
      </c>
      <c r="AN307">
        <v>199</v>
      </c>
      <c r="AO307">
        <v>199</v>
      </c>
      <c r="AP307" t="s">
        <v>11</v>
      </c>
      <c r="AQ307" t="s">
        <v>11</v>
      </c>
      <c r="AR307">
        <v>207</v>
      </c>
      <c r="AS307" t="s">
        <v>11</v>
      </c>
      <c r="AT307" t="str">
        <f t="shared" si="43"/>
        <v>NoData</v>
      </c>
      <c r="AU307" t="str">
        <f t="shared" si="44"/>
        <v>NoData</v>
      </c>
      <c r="AV307">
        <v>6</v>
      </c>
      <c r="AW307" t="s">
        <v>11</v>
      </c>
      <c r="AX307">
        <v>4</v>
      </c>
      <c r="AY307" t="s">
        <v>11</v>
      </c>
      <c r="AZ307" t="str">
        <f t="shared" si="45"/>
        <v>NoData</v>
      </c>
      <c r="BA307" t="str">
        <f t="shared" si="46"/>
        <v>NoData</v>
      </c>
      <c r="BB307">
        <f t="shared" si="51"/>
        <v>199</v>
      </c>
      <c r="BC307">
        <f t="shared" si="52"/>
        <v>199</v>
      </c>
      <c r="BD307" t="s">
        <v>11</v>
      </c>
      <c r="BE307" t="s">
        <v>11</v>
      </c>
      <c r="BF307" t="s">
        <v>11</v>
      </c>
      <c r="BG307" t="s">
        <v>11</v>
      </c>
      <c r="BH307">
        <v>19</v>
      </c>
      <c r="BI307" t="s">
        <v>11</v>
      </c>
      <c r="BJ307" t="s">
        <v>11</v>
      </c>
      <c r="BK307" t="s">
        <v>11</v>
      </c>
      <c r="BL307" t="s">
        <v>11</v>
      </c>
      <c r="BM307" t="s">
        <v>11</v>
      </c>
      <c r="BN307">
        <v>29</v>
      </c>
      <c r="BO307" t="s">
        <v>11</v>
      </c>
      <c r="BP307" t="str">
        <f t="shared" si="47"/>
        <v>NoData</v>
      </c>
      <c r="BQ307" t="str">
        <f t="shared" si="48"/>
        <v>NoData</v>
      </c>
      <c r="BR307">
        <v>69</v>
      </c>
      <c r="BS307" t="s">
        <v>11</v>
      </c>
      <c r="BT307">
        <v>31</v>
      </c>
      <c r="BU307" t="s">
        <v>11</v>
      </c>
    </row>
    <row r="308" spans="1:73" x14ac:dyDescent="0.25">
      <c r="A308" s="5">
        <v>35156</v>
      </c>
      <c r="B308">
        <v>4179</v>
      </c>
      <c r="C308" t="s">
        <v>11</v>
      </c>
      <c r="D308">
        <v>67</v>
      </c>
      <c r="E308">
        <v>67</v>
      </c>
      <c r="F308">
        <v>5017</v>
      </c>
      <c r="G308" t="s">
        <v>11</v>
      </c>
      <c r="H308">
        <v>3066</v>
      </c>
      <c r="I308" t="s">
        <v>11</v>
      </c>
      <c r="J308">
        <v>3355</v>
      </c>
      <c r="K308">
        <v>3355</v>
      </c>
      <c r="L308">
        <v>67130</v>
      </c>
      <c r="M308">
        <v>48851</v>
      </c>
      <c r="N308">
        <v>913</v>
      </c>
      <c r="O308">
        <v>913</v>
      </c>
      <c r="P308" t="s">
        <v>11</v>
      </c>
      <c r="Q308" t="s">
        <v>11</v>
      </c>
      <c r="R308" t="s">
        <v>11</v>
      </c>
      <c r="S308" t="s">
        <v>11</v>
      </c>
      <c r="T308" s="34">
        <v>97800</v>
      </c>
      <c r="U308" s="34">
        <v>59997</v>
      </c>
      <c r="V308" s="34">
        <v>4306</v>
      </c>
      <c r="W308">
        <v>4254</v>
      </c>
      <c r="X308">
        <v>7019</v>
      </c>
      <c r="Y308">
        <v>6965</v>
      </c>
      <c r="Z308">
        <v>5938</v>
      </c>
      <c r="AA308">
        <v>2917</v>
      </c>
      <c r="AB308">
        <v>40843</v>
      </c>
      <c r="AC308">
        <v>30258</v>
      </c>
      <c r="AD308">
        <v>3158</v>
      </c>
      <c r="AE308">
        <v>2632</v>
      </c>
      <c r="AF308">
        <v>7099</v>
      </c>
      <c r="AG308">
        <v>6229</v>
      </c>
      <c r="AH308">
        <f t="shared" si="49"/>
        <v>3158</v>
      </c>
      <c r="AI308">
        <f t="shared" si="50"/>
        <v>2632</v>
      </c>
      <c r="AJ308">
        <v>20393</v>
      </c>
      <c r="AK308">
        <v>17312</v>
      </c>
      <c r="AL308">
        <v>42343</v>
      </c>
      <c r="AM308">
        <v>27923</v>
      </c>
      <c r="AN308">
        <v>18</v>
      </c>
      <c r="AO308">
        <v>18</v>
      </c>
      <c r="AP308" t="s">
        <v>11</v>
      </c>
      <c r="AQ308" t="s">
        <v>11</v>
      </c>
      <c r="AR308">
        <v>224</v>
      </c>
      <c r="AS308" t="s">
        <v>11</v>
      </c>
      <c r="AT308" t="str">
        <f t="shared" si="43"/>
        <v>NoData</v>
      </c>
      <c r="AU308" t="str">
        <f t="shared" si="44"/>
        <v>NoData</v>
      </c>
      <c r="AV308">
        <v>5</v>
      </c>
      <c r="AW308" t="s">
        <v>11</v>
      </c>
      <c r="AX308">
        <v>4</v>
      </c>
      <c r="AY308" t="s">
        <v>11</v>
      </c>
      <c r="AZ308" t="str">
        <f t="shared" si="45"/>
        <v>NoData</v>
      </c>
      <c r="BA308" t="str">
        <f t="shared" si="46"/>
        <v>NoData</v>
      </c>
      <c r="BB308">
        <f t="shared" si="51"/>
        <v>18</v>
      </c>
      <c r="BC308">
        <f t="shared" si="52"/>
        <v>18</v>
      </c>
      <c r="BD308" t="s">
        <v>11</v>
      </c>
      <c r="BE308" t="s">
        <v>11</v>
      </c>
      <c r="BF308" t="s">
        <v>11</v>
      </c>
      <c r="BG308" t="s">
        <v>11</v>
      </c>
      <c r="BH308">
        <v>0</v>
      </c>
      <c r="BI308" t="s">
        <v>11</v>
      </c>
      <c r="BJ308" t="s">
        <v>11</v>
      </c>
      <c r="BK308" t="s">
        <v>11</v>
      </c>
      <c r="BL308" t="s">
        <v>11</v>
      </c>
      <c r="BM308" t="s">
        <v>11</v>
      </c>
      <c r="BN308">
        <v>0</v>
      </c>
      <c r="BO308" t="s">
        <v>11</v>
      </c>
      <c r="BP308" t="str">
        <f t="shared" si="47"/>
        <v>NoData</v>
      </c>
      <c r="BQ308" t="str">
        <f t="shared" si="48"/>
        <v>NoData</v>
      </c>
      <c r="BR308">
        <v>75</v>
      </c>
      <c r="BS308" t="s">
        <v>11</v>
      </c>
      <c r="BT308">
        <v>34</v>
      </c>
      <c r="BU308" t="s">
        <v>11</v>
      </c>
    </row>
    <row r="309" spans="1:73" x14ac:dyDescent="0.25">
      <c r="A309" s="5">
        <v>35186</v>
      </c>
      <c r="B309">
        <v>4397</v>
      </c>
      <c r="C309" t="s">
        <v>11</v>
      </c>
      <c r="D309">
        <v>82</v>
      </c>
      <c r="E309">
        <v>82</v>
      </c>
      <c r="F309">
        <v>9227</v>
      </c>
      <c r="G309" t="s">
        <v>11</v>
      </c>
      <c r="H309">
        <v>2871</v>
      </c>
      <c r="I309" t="s">
        <v>11</v>
      </c>
      <c r="J309">
        <v>4467</v>
      </c>
      <c r="K309">
        <v>4467</v>
      </c>
      <c r="L309">
        <v>80910</v>
      </c>
      <c r="M309">
        <v>60813</v>
      </c>
      <c r="N309">
        <v>515</v>
      </c>
      <c r="O309">
        <v>515</v>
      </c>
      <c r="P309" t="s">
        <v>11</v>
      </c>
      <c r="Q309" t="s">
        <v>11</v>
      </c>
      <c r="R309" t="s">
        <v>11</v>
      </c>
      <c r="S309" t="s">
        <v>11</v>
      </c>
      <c r="T309" s="34">
        <v>104500</v>
      </c>
      <c r="U309" s="34">
        <v>61061</v>
      </c>
      <c r="V309" s="34">
        <v>3226</v>
      </c>
      <c r="W309">
        <v>3172</v>
      </c>
      <c r="X309">
        <v>6979</v>
      </c>
      <c r="Y309">
        <v>6906</v>
      </c>
      <c r="Z309">
        <v>6239</v>
      </c>
      <c r="AA309">
        <v>2948</v>
      </c>
      <c r="AB309">
        <v>34010</v>
      </c>
      <c r="AC309">
        <v>22981</v>
      </c>
      <c r="AD309">
        <v>3069</v>
      </c>
      <c r="AE309">
        <v>2719</v>
      </c>
      <c r="AF309">
        <v>6182</v>
      </c>
      <c r="AG309">
        <v>5654</v>
      </c>
      <c r="AH309">
        <f t="shared" si="49"/>
        <v>3069</v>
      </c>
      <c r="AI309">
        <f t="shared" si="50"/>
        <v>2719</v>
      </c>
      <c r="AJ309">
        <v>26827</v>
      </c>
      <c r="AK309">
        <v>24829</v>
      </c>
      <c r="AL309">
        <v>45355</v>
      </c>
      <c r="AM309">
        <v>33331</v>
      </c>
      <c r="AN309">
        <v>84</v>
      </c>
      <c r="AO309">
        <v>83</v>
      </c>
      <c r="AP309" t="s">
        <v>11</v>
      </c>
      <c r="AQ309" t="s">
        <v>11</v>
      </c>
      <c r="AR309">
        <v>273</v>
      </c>
      <c r="AS309" t="s">
        <v>11</v>
      </c>
      <c r="AT309" t="str">
        <f t="shared" ref="AT309:AT352" si="54">AP309</f>
        <v>NoData</v>
      </c>
      <c r="AU309" t="str">
        <f t="shared" ref="AU309:AU352" si="55">AQ309</f>
        <v>NoData</v>
      </c>
      <c r="AV309">
        <v>5</v>
      </c>
      <c r="AW309" t="s">
        <v>11</v>
      </c>
      <c r="AX309">
        <v>4</v>
      </c>
      <c r="AY309" t="s">
        <v>11</v>
      </c>
      <c r="AZ309" t="str">
        <f t="shared" ref="AZ309:AZ364" si="56">AT309</f>
        <v>NoData</v>
      </c>
      <c r="BA309" t="str">
        <f t="shared" ref="BA309:BA364" si="57">AU309</f>
        <v>NoData</v>
      </c>
      <c r="BB309">
        <f t="shared" si="51"/>
        <v>84</v>
      </c>
      <c r="BC309">
        <f t="shared" si="52"/>
        <v>83</v>
      </c>
      <c r="BD309" t="s">
        <v>11</v>
      </c>
      <c r="BE309" t="s">
        <v>11</v>
      </c>
      <c r="BF309" t="s">
        <v>11</v>
      </c>
      <c r="BG309" t="s">
        <v>11</v>
      </c>
      <c r="BH309">
        <v>26</v>
      </c>
      <c r="BI309" t="s">
        <v>11</v>
      </c>
      <c r="BJ309" t="s">
        <v>11</v>
      </c>
      <c r="BK309" t="s">
        <v>11</v>
      </c>
      <c r="BL309" t="s">
        <v>11</v>
      </c>
      <c r="BM309" t="s">
        <v>11</v>
      </c>
      <c r="BN309">
        <v>33</v>
      </c>
      <c r="BO309" t="s">
        <v>11</v>
      </c>
      <c r="BP309" t="str">
        <f t="shared" si="47"/>
        <v>NoData</v>
      </c>
      <c r="BQ309" t="str">
        <f t="shared" si="48"/>
        <v>NoData</v>
      </c>
      <c r="BR309">
        <v>92</v>
      </c>
      <c r="BS309" t="s">
        <v>11</v>
      </c>
      <c r="BT309">
        <v>41</v>
      </c>
      <c r="BU309" t="s">
        <v>11</v>
      </c>
    </row>
    <row r="310" spans="1:73" x14ac:dyDescent="0.25">
      <c r="A310" s="5">
        <v>35217</v>
      </c>
      <c r="B310">
        <v>5853</v>
      </c>
      <c r="C310" t="s">
        <v>11</v>
      </c>
      <c r="D310">
        <v>99</v>
      </c>
      <c r="E310">
        <v>99</v>
      </c>
      <c r="F310">
        <v>8123</v>
      </c>
      <c r="G310" t="s">
        <v>11</v>
      </c>
      <c r="H310">
        <v>5161</v>
      </c>
      <c r="I310" t="s">
        <v>11</v>
      </c>
      <c r="J310">
        <v>4554</v>
      </c>
      <c r="K310">
        <v>4554</v>
      </c>
      <c r="L310">
        <v>89360</v>
      </c>
      <c r="M310">
        <v>70280</v>
      </c>
      <c r="N310">
        <v>856</v>
      </c>
      <c r="O310">
        <v>856</v>
      </c>
      <c r="P310" t="s">
        <v>11</v>
      </c>
      <c r="Q310" t="s">
        <v>11</v>
      </c>
      <c r="R310" t="s">
        <v>11</v>
      </c>
      <c r="S310" t="s">
        <v>11</v>
      </c>
      <c r="T310" s="34">
        <v>107200</v>
      </c>
      <c r="U310" s="34">
        <v>63980</v>
      </c>
      <c r="V310" s="34">
        <v>905</v>
      </c>
      <c r="W310">
        <v>891</v>
      </c>
      <c r="X310">
        <v>5638</v>
      </c>
      <c r="Y310">
        <v>5587</v>
      </c>
      <c r="Z310">
        <v>3662</v>
      </c>
      <c r="AA310">
        <v>1449</v>
      </c>
      <c r="AB310">
        <v>23569</v>
      </c>
      <c r="AC310">
        <v>14496</v>
      </c>
      <c r="AD310">
        <v>3423</v>
      </c>
      <c r="AE310">
        <v>2963</v>
      </c>
      <c r="AF310">
        <v>4408</v>
      </c>
      <c r="AG310">
        <v>3953</v>
      </c>
      <c r="AH310">
        <f t="shared" si="49"/>
        <v>3423</v>
      </c>
      <c r="AI310">
        <f t="shared" si="50"/>
        <v>2963</v>
      </c>
      <c r="AJ310">
        <v>27845</v>
      </c>
      <c r="AK310">
        <v>24977</v>
      </c>
      <c r="AL310">
        <v>47811</v>
      </c>
      <c r="AM310">
        <v>37040</v>
      </c>
      <c r="AN310">
        <v>307</v>
      </c>
      <c r="AO310">
        <v>307</v>
      </c>
      <c r="AP310" t="s">
        <v>11</v>
      </c>
      <c r="AQ310" t="s">
        <v>11</v>
      </c>
      <c r="AR310">
        <v>332</v>
      </c>
      <c r="AS310" t="s">
        <v>11</v>
      </c>
      <c r="AT310" t="str">
        <f t="shared" si="54"/>
        <v>NoData</v>
      </c>
      <c r="AU310" t="str">
        <f t="shared" si="55"/>
        <v>NoData</v>
      </c>
      <c r="AV310">
        <v>4</v>
      </c>
      <c r="AW310" t="s">
        <v>11</v>
      </c>
      <c r="AX310">
        <v>4</v>
      </c>
      <c r="AY310" t="s">
        <v>11</v>
      </c>
      <c r="AZ310" t="str">
        <f t="shared" si="56"/>
        <v>NoData</v>
      </c>
      <c r="BA310" t="str">
        <f t="shared" si="57"/>
        <v>NoData</v>
      </c>
      <c r="BB310">
        <f t="shared" si="51"/>
        <v>307</v>
      </c>
      <c r="BC310">
        <f t="shared" si="52"/>
        <v>307</v>
      </c>
      <c r="BD310" t="s">
        <v>11</v>
      </c>
      <c r="BE310" t="s">
        <v>11</v>
      </c>
      <c r="BF310" t="s">
        <v>11</v>
      </c>
      <c r="BG310" t="s">
        <v>11</v>
      </c>
      <c r="BH310">
        <v>0</v>
      </c>
      <c r="BI310" t="s">
        <v>11</v>
      </c>
      <c r="BJ310" t="s">
        <v>11</v>
      </c>
      <c r="BK310" t="s">
        <v>11</v>
      </c>
      <c r="BL310" t="s">
        <v>11</v>
      </c>
      <c r="BM310" t="s">
        <v>11</v>
      </c>
      <c r="BN310">
        <v>67</v>
      </c>
      <c r="BO310" t="s">
        <v>11</v>
      </c>
      <c r="BP310" t="str">
        <f t="shared" si="47"/>
        <v>NoData</v>
      </c>
      <c r="BQ310" t="str">
        <f t="shared" si="48"/>
        <v>NoData</v>
      </c>
      <c r="BR310">
        <v>111</v>
      </c>
      <c r="BS310" t="s">
        <v>11</v>
      </c>
      <c r="BT310">
        <v>50</v>
      </c>
      <c r="BU310" t="s">
        <v>11</v>
      </c>
    </row>
    <row r="311" spans="1:73" x14ac:dyDescent="0.25">
      <c r="A311" s="5">
        <v>35247</v>
      </c>
      <c r="B311">
        <v>6227</v>
      </c>
      <c r="C311" t="s">
        <v>11</v>
      </c>
      <c r="D311">
        <v>108</v>
      </c>
      <c r="E311">
        <v>108</v>
      </c>
      <c r="F311">
        <v>10704</v>
      </c>
      <c r="G311" t="s">
        <v>11</v>
      </c>
      <c r="H311">
        <v>5325</v>
      </c>
      <c r="I311" t="s">
        <v>11</v>
      </c>
      <c r="J311">
        <v>4409</v>
      </c>
      <c r="K311">
        <v>4409</v>
      </c>
      <c r="L311">
        <v>92020</v>
      </c>
      <c r="M311">
        <v>71408</v>
      </c>
      <c r="N311">
        <v>881</v>
      </c>
      <c r="O311">
        <v>881</v>
      </c>
      <c r="P311" t="s">
        <v>11</v>
      </c>
      <c r="Q311" t="s">
        <v>11</v>
      </c>
      <c r="R311" t="s">
        <v>11</v>
      </c>
      <c r="S311" t="s">
        <v>11</v>
      </c>
      <c r="T311" s="34">
        <v>113600</v>
      </c>
      <c r="U311" s="34">
        <v>69571</v>
      </c>
      <c r="V311" s="34">
        <v>2015</v>
      </c>
      <c r="W311">
        <v>1982</v>
      </c>
      <c r="X311">
        <v>4653</v>
      </c>
      <c r="Y311">
        <v>4601</v>
      </c>
      <c r="Z311">
        <v>4085</v>
      </c>
      <c r="AA311">
        <v>1630</v>
      </c>
      <c r="AB311">
        <v>26889</v>
      </c>
      <c r="AC311">
        <v>18972</v>
      </c>
      <c r="AD311">
        <v>4118</v>
      </c>
      <c r="AE311">
        <v>3377</v>
      </c>
      <c r="AF311">
        <v>3772</v>
      </c>
      <c r="AG311">
        <v>3128</v>
      </c>
      <c r="AH311">
        <f t="shared" si="49"/>
        <v>4118</v>
      </c>
      <c r="AI311">
        <f t="shared" si="50"/>
        <v>3377</v>
      </c>
      <c r="AJ311">
        <v>33417</v>
      </c>
      <c r="AK311">
        <v>28267</v>
      </c>
      <c r="AL311">
        <v>48742</v>
      </c>
      <c r="AM311">
        <v>37899</v>
      </c>
      <c r="AN311">
        <v>172</v>
      </c>
      <c r="AO311">
        <v>171</v>
      </c>
      <c r="AP311" t="s">
        <v>11</v>
      </c>
      <c r="AQ311" t="s">
        <v>11</v>
      </c>
      <c r="AR311">
        <v>362</v>
      </c>
      <c r="AS311" t="s">
        <v>11</v>
      </c>
      <c r="AT311" t="str">
        <f t="shared" si="54"/>
        <v>NoData</v>
      </c>
      <c r="AU311" t="str">
        <f t="shared" si="55"/>
        <v>NoData</v>
      </c>
      <c r="AV311">
        <v>2</v>
      </c>
      <c r="AW311" t="s">
        <v>11</v>
      </c>
      <c r="AX311">
        <v>4</v>
      </c>
      <c r="AY311" t="s">
        <v>11</v>
      </c>
      <c r="AZ311" t="str">
        <f t="shared" si="56"/>
        <v>NoData</v>
      </c>
      <c r="BA311" t="str">
        <f t="shared" si="57"/>
        <v>NoData</v>
      </c>
      <c r="BB311">
        <f t="shared" si="51"/>
        <v>172</v>
      </c>
      <c r="BC311">
        <f t="shared" si="52"/>
        <v>171</v>
      </c>
      <c r="BD311" t="s">
        <v>11</v>
      </c>
      <c r="BE311" t="s">
        <v>11</v>
      </c>
      <c r="BF311" t="s">
        <v>11</v>
      </c>
      <c r="BG311" t="s">
        <v>11</v>
      </c>
      <c r="BH311">
        <v>57</v>
      </c>
      <c r="BI311" t="s">
        <v>11</v>
      </c>
      <c r="BJ311" t="s">
        <v>11</v>
      </c>
      <c r="BK311" t="s">
        <v>11</v>
      </c>
      <c r="BL311" t="s">
        <v>11</v>
      </c>
      <c r="BM311" t="s">
        <v>11</v>
      </c>
      <c r="BN311">
        <v>72</v>
      </c>
      <c r="BO311" t="s">
        <v>11</v>
      </c>
      <c r="BP311" t="str">
        <f t="shared" si="47"/>
        <v>NoData</v>
      </c>
      <c r="BQ311" t="str">
        <f t="shared" si="48"/>
        <v>NoData</v>
      </c>
      <c r="BR311">
        <v>122</v>
      </c>
      <c r="BS311" t="s">
        <v>11</v>
      </c>
      <c r="BT311">
        <v>54</v>
      </c>
      <c r="BU311" t="s">
        <v>11</v>
      </c>
    </row>
    <row r="312" spans="1:73" x14ac:dyDescent="0.25">
      <c r="A312" s="5">
        <v>35278</v>
      </c>
      <c r="B312">
        <v>6032</v>
      </c>
      <c r="C312" t="s">
        <v>11</v>
      </c>
      <c r="D312">
        <v>104</v>
      </c>
      <c r="E312">
        <v>104</v>
      </c>
      <c r="F312">
        <v>9968</v>
      </c>
      <c r="G312" t="s">
        <v>11</v>
      </c>
      <c r="H312">
        <v>2811</v>
      </c>
      <c r="I312" t="s">
        <v>11</v>
      </c>
      <c r="J312">
        <v>3210</v>
      </c>
      <c r="K312">
        <v>3210</v>
      </c>
      <c r="L312">
        <v>83120</v>
      </c>
      <c r="M312">
        <v>59891</v>
      </c>
      <c r="N312">
        <v>752</v>
      </c>
      <c r="O312">
        <v>752</v>
      </c>
      <c r="P312" t="s">
        <v>11</v>
      </c>
      <c r="Q312" t="s">
        <v>11</v>
      </c>
      <c r="R312" t="s">
        <v>11</v>
      </c>
      <c r="S312" t="s">
        <v>11</v>
      </c>
      <c r="T312" s="34">
        <v>103100</v>
      </c>
      <c r="U312" s="34">
        <v>56589</v>
      </c>
      <c r="V312" s="34">
        <v>1670</v>
      </c>
      <c r="W312">
        <v>1643</v>
      </c>
      <c r="X312">
        <v>3675</v>
      </c>
      <c r="Y312">
        <v>3636</v>
      </c>
      <c r="Z312">
        <v>1947</v>
      </c>
      <c r="AA312">
        <v>589</v>
      </c>
      <c r="AB312">
        <v>25900</v>
      </c>
      <c r="AC312">
        <v>18050</v>
      </c>
      <c r="AD312">
        <v>3875</v>
      </c>
      <c r="AE312">
        <v>3072</v>
      </c>
      <c r="AF312">
        <v>4228</v>
      </c>
      <c r="AG312">
        <v>3806</v>
      </c>
      <c r="AH312">
        <f t="shared" si="49"/>
        <v>3875</v>
      </c>
      <c r="AI312">
        <f t="shared" si="50"/>
        <v>3072</v>
      </c>
      <c r="AJ312">
        <v>29061</v>
      </c>
      <c r="AK312">
        <v>24299</v>
      </c>
      <c r="AL312">
        <v>37221</v>
      </c>
      <c r="AM312">
        <v>31728</v>
      </c>
      <c r="AN312">
        <v>40</v>
      </c>
      <c r="AO312">
        <v>40</v>
      </c>
      <c r="AP312" t="s">
        <v>11</v>
      </c>
      <c r="AQ312" t="s">
        <v>11</v>
      </c>
      <c r="AR312">
        <v>348</v>
      </c>
      <c r="AS312" t="s">
        <v>11</v>
      </c>
      <c r="AT312" t="str">
        <f t="shared" si="54"/>
        <v>NoData</v>
      </c>
      <c r="AU312" t="str">
        <f t="shared" si="55"/>
        <v>NoData</v>
      </c>
      <c r="AV312">
        <v>5</v>
      </c>
      <c r="AW312" t="s">
        <v>11</v>
      </c>
      <c r="AX312">
        <v>4</v>
      </c>
      <c r="AY312" t="s">
        <v>11</v>
      </c>
      <c r="AZ312" t="str">
        <f t="shared" si="56"/>
        <v>NoData</v>
      </c>
      <c r="BA312" t="str">
        <f t="shared" si="57"/>
        <v>NoData</v>
      </c>
      <c r="BB312">
        <f t="shared" si="51"/>
        <v>40</v>
      </c>
      <c r="BC312">
        <f t="shared" si="52"/>
        <v>40</v>
      </c>
      <c r="BD312" t="s">
        <v>11</v>
      </c>
      <c r="BE312" t="s">
        <v>11</v>
      </c>
      <c r="BF312" t="s">
        <v>11</v>
      </c>
      <c r="BG312" t="s">
        <v>11</v>
      </c>
      <c r="BH312">
        <v>24</v>
      </c>
      <c r="BI312" t="s">
        <v>11</v>
      </c>
      <c r="BJ312" t="s">
        <v>11</v>
      </c>
      <c r="BK312" t="s">
        <v>11</v>
      </c>
      <c r="BL312" t="s">
        <v>11</v>
      </c>
      <c r="BM312" t="s">
        <v>11</v>
      </c>
      <c r="BN312">
        <v>75</v>
      </c>
      <c r="BO312" t="s">
        <v>11</v>
      </c>
      <c r="BP312" t="str">
        <f t="shared" si="47"/>
        <v>NoData</v>
      </c>
      <c r="BQ312" t="str">
        <f t="shared" si="48"/>
        <v>NoData</v>
      </c>
      <c r="BR312">
        <v>117</v>
      </c>
      <c r="BS312" t="s">
        <v>11</v>
      </c>
      <c r="BT312">
        <v>52</v>
      </c>
      <c r="BU312" t="s">
        <v>11</v>
      </c>
    </row>
    <row r="313" spans="1:73" x14ac:dyDescent="0.25">
      <c r="A313" s="5">
        <v>35309</v>
      </c>
      <c r="B313">
        <v>4472</v>
      </c>
      <c r="C313" t="s">
        <v>11</v>
      </c>
      <c r="D313">
        <v>81</v>
      </c>
      <c r="E313">
        <v>81</v>
      </c>
      <c r="F313">
        <v>5938</v>
      </c>
      <c r="G313" t="s">
        <v>11</v>
      </c>
      <c r="H313">
        <v>1337</v>
      </c>
      <c r="I313" t="s">
        <v>11</v>
      </c>
      <c r="J313">
        <v>1660</v>
      </c>
      <c r="K313">
        <v>1660</v>
      </c>
      <c r="L313">
        <v>54760</v>
      </c>
      <c r="M313">
        <v>33424</v>
      </c>
      <c r="N313">
        <v>574</v>
      </c>
      <c r="O313">
        <v>574</v>
      </c>
      <c r="P313" t="s">
        <v>11</v>
      </c>
      <c r="Q313" t="s">
        <v>11</v>
      </c>
      <c r="R313" t="s">
        <v>11</v>
      </c>
      <c r="S313" t="s">
        <v>11</v>
      </c>
      <c r="T313" s="34">
        <v>76930</v>
      </c>
      <c r="U313" s="34">
        <v>33276</v>
      </c>
      <c r="V313" s="34">
        <v>2096</v>
      </c>
      <c r="W313">
        <v>2044</v>
      </c>
      <c r="X313">
        <v>3904</v>
      </c>
      <c r="Y313">
        <v>3844</v>
      </c>
      <c r="Z313">
        <v>3774</v>
      </c>
      <c r="AA313">
        <v>1646</v>
      </c>
      <c r="AB313">
        <v>26951</v>
      </c>
      <c r="AC313">
        <v>18128</v>
      </c>
      <c r="AD313">
        <v>3161</v>
      </c>
      <c r="AE313">
        <v>2528</v>
      </c>
      <c r="AF313">
        <v>6465</v>
      </c>
      <c r="AG313">
        <v>5716</v>
      </c>
      <c r="AH313">
        <f t="shared" si="49"/>
        <v>3161</v>
      </c>
      <c r="AI313">
        <f t="shared" si="50"/>
        <v>2528</v>
      </c>
      <c r="AJ313">
        <v>22907</v>
      </c>
      <c r="AK313">
        <v>19173</v>
      </c>
      <c r="AL313">
        <v>35446</v>
      </c>
      <c r="AM313">
        <v>24945</v>
      </c>
      <c r="AN313">
        <v>122</v>
      </c>
      <c r="AO313">
        <v>120</v>
      </c>
      <c r="AP313" t="s">
        <v>11</v>
      </c>
      <c r="AQ313" t="s">
        <v>11</v>
      </c>
      <c r="AR313">
        <v>273</v>
      </c>
      <c r="AS313" t="s">
        <v>11</v>
      </c>
      <c r="AT313" t="str">
        <f t="shared" si="54"/>
        <v>NoData</v>
      </c>
      <c r="AU313" t="str">
        <f t="shared" si="55"/>
        <v>NoData</v>
      </c>
      <c r="AV313">
        <v>4</v>
      </c>
      <c r="AW313" t="s">
        <v>11</v>
      </c>
      <c r="AX313">
        <v>4</v>
      </c>
      <c r="AY313" t="s">
        <v>11</v>
      </c>
      <c r="AZ313" t="str">
        <f t="shared" si="56"/>
        <v>NoData</v>
      </c>
      <c r="BA313" t="str">
        <f t="shared" si="57"/>
        <v>NoData</v>
      </c>
      <c r="BB313">
        <f t="shared" si="51"/>
        <v>122</v>
      </c>
      <c r="BC313">
        <f t="shared" si="52"/>
        <v>120</v>
      </c>
      <c r="BD313" t="s">
        <v>11</v>
      </c>
      <c r="BE313" t="s">
        <v>11</v>
      </c>
      <c r="BF313" t="s">
        <v>11</v>
      </c>
      <c r="BG313" t="s">
        <v>11</v>
      </c>
      <c r="BH313">
        <v>24</v>
      </c>
      <c r="BI313" t="s">
        <v>11</v>
      </c>
      <c r="BJ313" t="s">
        <v>11</v>
      </c>
      <c r="BK313" t="s">
        <v>11</v>
      </c>
      <c r="BL313" t="s">
        <v>11</v>
      </c>
      <c r="BM313" t="s">
        <v>11</v>
      </c>
      <c r="BN313">
        <v>24</v>
      </c>
      <c r="BO313" t="s">
        <v>11</v>
      </c>
      <c r="BP313" t="str">
        <f t="shared" si="47"/>
        <v>NoData</v>
      </c>
      <c r="BQ313" t="str">
        <f t="shared" si="48"/>
        <v>NoData</v>
      </c>
      <c r="BR313">
        <v>92</v>
      </c>
      <c r="BS313" t="s">
        <v>11</v>
      </c>
      <c r="BT313">
        <v>41</v>
      </c>
      <c r="BU313" t="s">
        <v>11</v>
      </c>
    </row>
    <row r="314" spans="1:73" x14ac:dyDescent="0.25">
      <c r="A314" s="5">
        <v>35339</v>
      </c>
      <c r="B314">
        <v>3276</v>
      </c>
      <c r="C314" t="s">
        <v>11</v>
      </c>
      <c r="D314">
        <v>68</v>
      </c>
      <c r="E314">
        <v>68</v>
      </c>
      <c r="F314">
        <v>4561</v>
      </c>
      <c r="G314" t="s">
        <v>11</v>
      </c>
      <c r="H314">
        <v>2587</v>
      </c>
      <c r="I314" t="s">
        <v>11</v>
      </c>
      <c r="J314">
        <v>1674</v>
      </c>
      <c r="K314">
        <v>1674</v>
      </c>
      <c r="L314">
        <v>39040</v>
      </c>
      <c r="M314">
        <v>19752</v>
      </c>
      <c r="N314">
        <v>384</v>
      </c>
      <c r="O314">
        <v>384</v>
      </c>
      <c r="P314" t="s">
        <v>11</v>
      </c>
      <c r="Q314" t="s">
        <v>11</v>
      </c>
      <c r="R314" t="s">
        <v>11</v>
      </c>
      <c r="S314" t="s">
        <v>11</v>
      </c>
      <c r="T314" s="34">
        <v>68440</v>
      </c>
      <c r="U314" s="34">
        <v>28493</v>
      </c>
      <c r="V314" s="34">
        <v>4777</v>
      </c>
      <c r="W314">
        <v>4645</v>
      </c>
      <c r="X314">
        <v>6020</v>
      </c>
      <c r="Y314">
        <v>5925</v>
      </c>
      <c r="Z314">
        <v>5685</v>
      </c>
      <c r="AA314">
        <v>2530</v>
      </c>
      <c r="AB314">
        <v>41399</v>
      </c>
      <c r="AC314">
        <v>29661</v>
      </c>
      <c r="AD314">
        <v>2620</v>
      </c>
      <c r="AE314">
        <v>2136</v>
      </c>
      <c r="AF314">
        <v>7015</v>
      </c>
      <c r="AG314">
        <v>5990</v>
      </c>
      <c r="AH314">
        <f t="shared" si="49"/>
        <v>2620</v>
      </c>
      <c r="AI314">
        <f t="shared" si="50"/>
        <v>2136</v>
      </c>
      <c r="AJ314">
        <v>21065</v>
      </c>
      <c r="AK314">
        <v>18031</v>
      </c>
      <c r="AL314">
        <v>32693</v>
      </c>
      <c r="AM314">
        <v>20304</v>
      </c>
      <c r="AN314">
        <v>117</v>
      </c>
      <c r="AO314">
        <v>114</v>
      </c>
      <c r="AP314" t="s">
        <v>11</v>
      </c>
      <c r="AQ314" t="s">
        <v>11</v>
      </c>
      <c r="AR314">
        <v>229</v>
      </c>
      <c r="AS314" t="s">
        <v>11</v>
      </c>
      <c r="AT314" t="str">
        <f t="shared" si="54"/>
        <v>NoData</v>
      </c>
      <c r="AU314" t="str">
        <f t="shared" si="55"/>
        <v>NoData</v>
      </c>
      <c r="AV314">
        <v>2</v>
      </c>
      <c r="AW314" t="s">
        <v>11</v>
      </c>
      <c r="AX314">
        <v>4</v>
      </c>
      <c r="AY314" t="s">
        <v>11</v>
      </c>
      <c r="AZ314" t="str">
        <f t="shared" si="56"/>
        <v>NoData</v>
      </c>
      <c r="BA314" t="str">
        <f t="shared" si="57"/>
        <v>NoData</v>
      </c>
      <c r="BB314">
        <f t="shared" si="51"/>
        <v>117</v>
      </c>
      <c r="BC314">
        <f t="shared" si="52"/>
        <v>114</v>
      </c>
      <c r="BD314" t="s">
        <v>11</v>
      </c>
      <c r="BE314" t="s">
        <v>11</v>
      </c>
      <c r="BF314" t="s">
        <v>11</v>
      </c>
      <c r="BG314" t="s">
        <v>11</v>
      </c>
      <c r="BH314">
        <v>68</v>
      </c>
      <c r="BI314" t="s">
        <v>11</v>
      </c>
      <c r="BJ314" t="s">
        <v>11</v>
      </c>
      <c r="BK314" t="s">
        <v>11</v>
      </c>
      <c r="BL314" t="s">
        <v>11</v>
      </c>
      <c r="BM314" t="s">
        <v>11</v>
      </c>
      <c r="BN314">
        <v>0</v>
      </c>
      <c r="BO314" t="s">
        <v>11</v>
      </c>
      <c r="BP314" t="str">
        <f t="shared" si="47"/>
        <v>NoData</v>
      </c>
      <c r="BQ314" t="str">
        <f t="shared" si="48"/>
        <v>NoData</v>
      </c>
      <c r="BR314">
        <v>77</v>
      </c>
      <c r="BS314" t="s">
        <v>11</v>
      </c>
      <c r="BT314">
        <v>34</v>
      </c>
      <c r="BU314" t="s">
        <v>11</v>
      </c>
    </row>
    <row r="315" spans="1:73" x14ac:dyDescent="0.25">
      <c r="A315" s="5">
        <v>35370</v>
      </c>
      <c r="B315">
        <v>2120</v>
      </c>
      <c r="C315" t="s">
        <v>11</v>
      </c>
      <c r="D315">
        <v>49</v>
      </c>
      <c r="E315">
        <v>49</v>
      </c>
      <c r="F315">
        <v>1768</v>
      </c>
      <c r="G315" t="s">
        <v>11</v>
      </c>
      <c r="H315">
        <v>2019</v>
      </c>
      <c r="I315" t="s">
        <v>11</v>
      </c>
      <c r="J315">
        <v>683</v>
      </c>
      <c r="K315">
        <v>683</v>
      </c>
      <c r="L315">
        <v>25430</v>
      </c>
      <c r="M315">
        <v>7460</v>
      </c>
      <c r="N315">
        <v>339</v>
      </c>
      <c r="O315">
        <v>339</v>
      </c>
      <c r="P315" t="s">
        <v>11</v>
      </c>
      <c r="Q315" t="s">
        <v>11</v>
      </c>
      <c r="R315" t="s">
        <v>11</v>
      </c>
      <c r="S315" t="s">
        <v>11</v>
      </c>
      <c r="T315" s="34">
        <v>48870</v>
      </c>
      <c r="U315" s="34">
        <v>14046</v>
      </c>
      <c r="V315" s="34">
        <v>3621</v>
      </c>
      <c r="W315">
        <v>3498</v>
      </c>
      <c r="X315">
        <v>3790</v>
      </c>
      <c r="Y315">
        <v>3706</v>
      </c>
      <c r="Z315">
        <v>3337</v>
      </c>
      <c r="AA315">
        <v>1219</v>
      </c>
      <c r="AB315">
        <v>28438</v>
      </c>
      <c r="AC315">
        <v>16743</v>
      </c>
      <c r="AD315">
        <v>1886</v>
      </c>
      <c r="AE315">
        <v>1460</v>
      </c>
      <c r="AF315">
        <v>4372</v>
      </c>
      <c r="AG315">
        <v>3900</v>
      </c>
      <c r="AH315">
        <f t="shared" si="49"/>
        <v>1886</v>
      </c>
      <c r="AI315">
        <f t="shared" si="50"/>
        <v>1460</v>
      </c>
      <c r="AJ315">
        <v>12514</v>
      </c>
      <c r="AK315">
        <v>10048</v>
      </c>
      <c r="AL315">
        <v>25422</v>
      </c>
      <c r="AM315">
        <v>15843</v>
      </c>
      <c r="AN315">
        <v>139</v>
      </c>
      <c r="AO315">
        <v>135</v>
      </c>
      <c r="AP315" t="s">
        <v>11</v>
      </c>
      <c r="AQ315" t="s">
        <v>11</v>
      </c>
      <c r="AR315">
        <v>163</v>
      </c>
      <c r="AS315" t="s">
        <v>11</v>
      </c>
      <c r="AT315" t="str">
        <f t="shared" si="54"/>
        <v>NoData</v>
      </c>
      <c r="AU315" t="str">
        <f t="shared" si="55"/>
        <v>NoData</v>
      </c>
      <c r="AV315">
        <v>2</v>
      </c>
      <c r="AW315" t="s">
        <v>11</v>
      </c>
      <c r="AX315">
        <v>4</v>
      </c>
      <c r="AY315" t="s">
        <v>11</v>
      </c>
      <c r="AZ315" t="str">
        <f t="shared" si="56"/>
        <v>NoData</v>
      </c>
      <c r="BA315" t="str">
        <f t="shared" si="57"/>
        <v>NoData</v>
      </c>
      <c r="BB315">
        <f t="shared" si="51"/>
        <v>139</v>
      </c>
      <c r="BC315">
        <f t="shared" si="52"/>
        <v>135</v>
      </c>
      <c r="BD315" t="s">
        <v>11</v>
      </c>
      <c r="BE315" t="s">
        <v>11</v>
      </c>
      <c r="BF315" t="s">
        <v>11</v>
      </c>
      <c r="BG315" t="s">
        <v>11</v>
      </c>
      <c r="BH315">
        <v>7</v>
      </c>
      <c r="BI315" t="s">
        <v>11</v>
      </c>
      <c r="BJ315" t="s">
        <v>11</v>
      </c>
      <c r="BK315" t="s">
        <v>11</v>
      </c>
      <c r="BL315" t="s">
        <v>11</v>
      </c>
      <c r="BM315" t="s">
        <v>11</v>
      </c>
      <c r="BN315">
        <v>0</v>
      </c>
      <c r="BO315" t="s">
        <v>11</v>
      </c>
      <c r="BP315" t="str">
        <f t="shared" si="47"/>
        <v>NoData</v>
      </c>
      <c r="BQ315" t="str">
        <f t="shared" si="48"/>
        <v>NoData</v>
      </c>
      <c r="BR315">
        <v>54</v>
      </c>
      <c r="BS315" t="s">
        <v>11</v>
      </c>
      <c r="BT315">
        <v>24</v>
      </c>
      <c r="BU315" t="s">
        <v>11</v>
      </c>
    </row>
    <row r="316" spans="1:73" x14ac:dyDescent="0.25">
      <c r="A316" s="5">
        <v>35400</v>
      </c>
      <c r="B316">
        <v>1580</v>
      </c>
      <c r="C316" t="s">
        <v>11</v>
      </c>
      <c r="D316">
        <v>48</v>
      </c>
      <c r="E316">
        <v>48</v>
      </c>
      <c r="F316">
        <v>515</v>
      </c>
      <c r="G316" t="s">
        <v>11</v>
      </c>
      <c r="H316">
        <v>1075</v>
      </c>
      <c r="I316" t="s">
        <v>11</v>
      </c>
      <c r="J316">
        <v>206</v>
      </c>
      <c r="K316">
        <v>206</v>
      </c>
      <c r="L316">
        <v>34360</v>
      </c>
      <c r="M316">
        <v>16456</v>
      </c>
      <c r="N316">
        <v>343</v>
      </c>
      <c r="O316">
        <v>343</v>
      </c>
      <c r="P316" t="s">
        <v>11</v>
      </c>
      <c r="Q316" t="s">
        <v>11</v>
      </c>
      <c r="R316" t="s">
        <v>11</v>
      </c>
      <c r="S316" t="s">
        <v>11</v>
      </c>
      <c r="T316" s="34">
        <v>57600</v>
      </c>
      <c r="U316" s="34">
        <v>23342</v>
      </c>
      <c r="V316" s="34">
        <v>1841</v>
      </c>
      <c r="W316">
        <v>1768</v>
      </c>
      <c r="X316">
        <v>3074</v>
      </c>
      <c r="Y316">
        <v>2997</v>
      </c>
      <c r="Z316">
        <v>2429</v>
      </c>
      <c r="AA316">
        <v>888</v>
      </c>
      <c r="AB316">
        <v>20427</v>
      </c>
      <c r="AC316">
        <v>10129</v>
      </c>
      <c r="AD316">
        <v>917</v>
      </c>
      <c r="AE316">
        <v>553</v>
      </c>
      <c r="AF316">
        <v>2764</v>
      </c>
      <c r="AG316">
        <v>2643</v>
      </c>
      <c r="AH316">
        <f t="shared" si="49"/>
        <v>917</v>
      </c>
      <c r="AI316">
        <f t="shared" si="50"/>
        <v>553</v>
      </c>
      <c r="AJ316">
        <v>8633</v>
      </c>
      <c r="AK316">
        <v>6642</v>
      </c>
      <c r="AL316">
        <v>17810</v>
      </c>
      <c r="AM316">
        <v>10523</v>
      </c>
      <c r="AN316">
        <v>37</v>
      </c>
      <c r="AO316">
        <v>32</v>
      </c>
      <c r="AP316" t="s">
        <v>11</v>
      </c>
      <c r="AQ316" t="s">
        <v>11</v>
      </c>
      <c r="AR316">
        <v>160</v>
      </c>
      <c r="AS316" t="s">
        <v>11</v>
      </c>
      <c r="AT316" t="str">
        <f t="shared" si="54"/>
        <v>NoData</v>
      </c>
      <c r="AU316" t="str">
        <f t="shared" si="55"/>
        <v>NoData</v>
      </c>
      <c r="AV316">
        <v>3</v>
      </c>
      <c r="AW316" t="s">
        <v>11</v>
      </c>
      <c r="AX316">
        <v>4</v>
      </c>
      <c r="AY316" t="s">
        <v>11</v>
      </c>
      <c r="AZ316" t="str">
        <f t="shared" si="56"/>
        <v>NoData</v>
      </c>
      <c r="BA316" t="str">
        <f t="shared" si="57"/>
        <v>NoData</v>
      </c>
      <c r="BB316">
        <f t="shared" si="51"/>
        <v>37</v>
      </c>
      <c r="BC316">
        <f t="shared" si="52"/>
        <v>32</v>
      </c>
      <c r="BD316" t="s">
        <v>11</v>
      </c>
      <c r="BE316" t="s">
        <v>11</v>
      </c>
      <c r="BF316" t="s">
        <v>11</v>
      </c>
      <c r="BG316" t="s">
        <v>11</v>
      </c>
      <c r="BH316">
        <v>8</v>
      </c>
      <c r="BI316" t="s">
        <v>11</v>
      </c>
      <c r="BJ316" t="s">
        <v>11</v>
      </c>
      <c r="BK316" t="s">
        <v>11</v>
      </c>
      <c r="BL316" t="s">
        <v>11</v>
      </c>
      <c r="BM316" t="s">
        <v>11</v>
      </c>
      <c r="BN316">
        <v>26</v>
      </c>
      <c r="BO316" t="s">
        <v>11</v>
      </c>
      <c r="BP316" t="str">
        <f t="shared" si="47"/>
        <v>NoData</v>
      </c>
      <c r="BQ316" t="str">
        <f t="shared" si="48"/>
        <v>NoData</v>
      </c>
      <c r="BR316">
        <v>54</v>
      </c>
      <c r="BS316" t="s">
        <v>11</v>
      </c>
      <c r="BT316">
        <v>24</v>
      </c>
      <c r="BU316" t="s">
        <v>11</v>
      </c>
    </row>
    <row r="317" spans="1:73" x14ac:dyDescent="0.25">
      <c r="A317" s="5">
        <v>35431</v>
      </c>
      <c r="B317">
        <v>1099</v>
      </c>
      <c r="C317" t="s">
        <v>11</v>
      </c>
      <c r="D317">
        <v>8</v>
      </c>
      <c r="E317" t="s">
        <v>11</v>
      </c>
      <c r="F317">
        <v>1040</v>
      </c>
      <c r="G317" t="s">
        <v>11</v>
      </c>
      <c r="H317">
        <v>808</v>
      </c>
      <c r="I317" t="s">
        <v>11</v>
      </c>
      <c r="J317">
        <v>411</v>
      </c>
      <c r="K317" t="s">
        <v>11</v>
      </c>
      <c r="L317">
        <v>7720</v>
      </c>
      <c r="M317">
        <v>-3729</v>
      </c>
      <c r="N317">
        <v>84</v>
      </c>
      <c r="O317" t="s">
        <v>11</v>
      </c>
      <c r="P317" t="s">
        <v>11</v>
      </c>
      <c r="Q317" t="s">
        <v>11</v>
      </c>
      <c r="R317" t="s">
        <v>11</v>
      </c>
      <c r="S317" t="s">
        <v>11</v>
      </c>
      <c r="T317" s="34">
        <v>32700</v>
      </c>
      <c r="U317" s="34">
        <v>6312</v>
      </c>
      <c r="V317" s="34">
        <v>1553</v>
      </c>
      <c r="W317">
        <v>1520</v>
      </c>
      <c r="X317">
        <v>2662</v>
      </c>
      <c r="Y317">
        <v>2590</v>
      </c>
      <c r="Z317">
        <v>2366</v>
      </c>
      <c r="AA317">
        <v>920</v>
      </c>
      <c r="AB317">
        <v>18769</v>
      </c>
      <c r="AC317">
        <v>10052</v>
      </c>
      <c r="AD317">
        <v>1041</v>
      </c>
      <c r="AE317">
        <v>730</v>
      </c>
      <c r="AF317">
        <v>2549</v>
      </c>
      <c r="AG317">
        <v>2523</v>
      </c>
      <c r="AH317">
        <f t="shared" si="49"/>
        <v>1041</v>
      </c>
      <c r="AI317">
        <f t="shared" si="50"/>
        <v>730</v>
      </c>
      <c r="AJ317">
        <v>9079</v>
      </c>
      <c r="AK317">
        <v>7410</v>
      </c>
      <c r="AL317">
        <v>16499</v>
      </c>
      <c r="AM317">
        <v>9286</v>
      </c>
      <c r="AN317" s="22">
        <v>88</v>
      </c>
      <c r="AO317">
        <v>541</v>
      </c>
      <c r="AP317" t="s">
        <v>11</v>
      </c>
      <c r="AQ317" t="s">
        <v>11</v>
      </c>
      <c r="AR317">
        <v>151</v>
      </c>
      <c r="AS317" t="s">
        <v>11</v>
      </c>
      <c r="AT317" t="str">
        <f t="shared" si="54"/>
        <v>NoData</v>
      </c>
      <c r="AU317" t="str">
        <f t="shared" si="55"/>
        <v>NoData</v>
      </c>
      <c r="AV317">
        <v>0</v>
      </c>
      <c r="AW317" t="s">
        <v>11</v>
      </c>
      <c r="AX317">
        <v>4</v>
      </c>
      <c r="AY317" t="s">
        <v>11</v>
      </c>
      <c r="AZ317" t="str">
        <f t="shared" si="56"/>
        <v>NoData</v>
      </c>
      <c r="BA317" t="str">
        <f t="shared" si="57"/>
        <v>NoData</v>
      </c>
      <c r="BB317">
        <f t="shared" si="51"/>
        <v>88</v>
      </c>
      <c r="BC317">
        <f t="shared" si="52"/>
        <v>541</v>
      </c>
      <c r="BD317" t="s">
        <v>11</v>
      </c>
      <c r="BE317" t="s">
        <v>11</v>
      </c>
      <c r="BF317" t="s">
        <v>11</v>
      </c>
      <c r="BG317" t="s">
        <v>11</v>
      </c>
      <c r="BH317">
        <v>6</v>
      </c>
      <c r="BI317" t="s">
        <v>11</v>
      </c>
      <c r="BJ317" t="s">
        <v>11</v>
      </c>
      <c r="BK317" t="s">
        <v>11</v>
      </c>
      <c r="BL317" t="s">
        <v>11</v>
      </c>
      <c r="BM317" t="s">
        <v>11</v>
      </c>
      <c r="BN317">
        <v>19</v>
      </c>
      <c r="BO317" t="s">
        <v>11</v>
      </c>
      <c r="BP317" t="str">
        <f t="shared" si="47"/>
        <v>NoData</v>
      </c>
      <c r="BQ317" t="str">
        <f t="shared" si="48"/>
        <v>NoData</v>
      </c>
      <c r="BR317">
        <v>51</v>
      </c>
      <c r="BS317" t="s">
        <v>11</v>
      </c>
      <c r="BT317">
        <v>23</v>
      </c>
      <c r="BU317" t="s">
        <v>11</v>
      </c>
    </row>
    <row r="318" spans="1:73" x14ac:dyDescent="0.25">
      <c r="A318" s="5">
        <v>35462</v>
      </c>
      <c r="B318">
        <v>2301</v>
      </c>
      <c r="C318" t="s">
        <v>11</v>
      </c>
      <c r="D318">
        <v>15</v>
      </c>
      <c r="E318" t="s">
        <v>11</v>
      </c>
      <c r="F318">
        <v>1932</v>
      </c>
      <c r="G318" t="s">
        <v>11</v>
      </c>
      <c r="H318">
        <v>1236</v>
      </c>
      <c r="I318" t="s">
        <v>11</v>
      </c>
      <c r="J318">
        <v>3001</v>
      </c>
      <c r="K318" t="s">
        <v>11</v>
      </c>
      <c r="L318">
        <v>42700</v>
      </c>
      <c r="M318">
        <v>29377</v>
      </c>
      <c r="N318">
        <v>228</v>
      </c>
      <c r="O318" t="s">
        <v>11</v>
      </c>
      <c r="P318" t="s">
        <v>11</v>
      </c>
      <c r="Q318" t="s">
        <v>11</v>
      </c>
      <c r="R318" t="s">
        <v>11</v>
      </c>
      <c r="S318" t="s">
        <v>11</v>
      </c>
      <c r="T318" s="34">
        <v>58990</v>
      </c>
      <c r="U318" s="34">
        <v>28393</v>
      </c>
      <c r="V318" s="34">
        <v>2817</v>
      </c>
      <c r="W318">
        <v>2805</v>
      </c>
      <c r="X318">
        <v>3121</v>
      </c>
      <c r="Y318">
        <v>3113</v>
      </c>
      <c r="Z318">
        <v>3501</v>
      </c>
      <c r="AA318">
        <v>1622</v>
      </c>
      <c r="AB318">
        <v>27104</v>
      </c>
      <c r="AC318">
        <v>19228</v>
      </c>
      <c r="AD318">
        <v>1582</v>
      </c>
      <c r="AE318">
        <v>1164</v>
      </c>
      <c r="AF318">
        <v>4078</v>
      </c>
      <c r="AG318">
        <v>3684</v>
      </c>
      <c r="AH318">
        <f t="shared" si="49"/>
        <v>1582</v>
      </c>
      <c r="AI318">
        <f t="shared" si="50"/>
        <v>1164</v>
      </c>
      <c r="AJ318">
        <v>10800</v>
      </c>
      <c r="AK318">
        <v>8376</v>
      </c>
      <c r="AL318">
        <v>27704</v>
      </c>
      <c r="AM318">
        <v>18166</v>
      </c>
      <c r="AN318" s="22">
        <v>120</v>
      </c>
      <c r="AO318">
        <v>839</v>
      </c>
      <c r="AP318" t="s">
        <v>11</v>
      </c>
      <c r="AQ318" t="s">
        <v>11</v>
      </c>
      <c r="AR318">
        <v>121</v>
      </c>
      <c r="AS318" t="s">
        <v>11</v>
      </c>
      <c r="AT318" t="str">
        <f t="shared" si="54"/>
        <v>NoData</v>
      </c>
      <c r="AU318" t="str">
        <f t="shared" si="55"/>
        <v>NoData</v>
      </c>
      <c r="AV318">
        <v>2</v>
      </c>
      <c r="AW318" t="s">
        <v>11</v>
      </c>
      <c r="AX318">
        <v>4</v>
      </c>
      <c r="AY318" t="s">
        <v>11</v>
      </c>
      <c r="AZ318" t="str">
        <f t="shared" si="56"/>
        <v>NoData</v>
      </c>
      <c r="BA318" t="str">
        <f t="shared" si="57"/>
        <v>NoData</v>
      </c>
      <c r="BB318">
        <f t="shared" si="51"/>
        <v>120</v>
      </c>
      <c r="BC318">
        <f t="shared" si="52"/>
        <v>839</v>
      </c>
      <c r="BD318" t="s">
        <v>11</v>
      </c>
      <c r="BE318" t="s">
        <v>11</v>
      </c>
      <c r="BF318" t="s">
        <v>11</v>
      </c>
      <c r="BG318" t="s">
        <v>11</v>
      </c>
      <c r="BH318">
        <v>61</v>
      </c>
      <c r="BI318" t="s">
        <v>11</v>
      </c>
      <c r="BJ318" t="s">
        <v>11</v>
      </c>
      <c r="BK318" t="s">
        <v>11</v>
      </c>
      <c r="BL318" t="s">
        <v>11</v>
      </c>
      <c r="BM318" t="s">
        <v>11</v>
      </c>
      <c r="BN318">
        <v>19</v>
      </c>
      <c r="BO318" t="s">
        <v>11</v>
      </c>
      <c r="BP318" t="str">
        <f t="shared" si="47"/>
        <v>NoData</v>
      </c>
      <c r="BQ318" t="str">
        <f t="shared" si="48"/>
        <v>NoData</v>
      </c>
      <c r="BR318">
        <v>41</v>
      </c>
      <c r="BS318" t="s">
        <v>11</v>
      </c>
      <c r="BT318">
        <v>18</v>
      </c>
      <c r="BU318" t="s">
        <v>11</v>
      </c>
    </row>
    <row r="319" spans="1:73" x14ac:dyDescent="0.25">
      <c r="A319" s="5">
        <v>35490</v>
      </c>
      <c r="B319">
        <v>4168</v>
      </c>
      <c r="C319" t="s">
        <v>11</v>
      </c>
      <c r="D319">
        <v>23</v>
      </c>
      <c r="E319" t="s">
        <v>11</v>
      </c>
      <c r="F319">
        <v>5602</v>
      </c>
      <c r="G319" t="s">
        <v>11</v>
      </c>
      <c r="H319">
        <v>2130</v>
      </c>
      <c r="I319" t="s">
        <v>11</v>
      </c>
      <c r="J319">
        <v>1671</v>
      </c>
      <c r="K319" t="s">
        <v>11</v>
      </c>
      <c r="L319">
        <v>55570</v>
      </c>
      <c r="M319">
        <v>37836</v>
      </c>
      <c r="N319">
        <v>397</v>
      </c>
      <c r="O319" t="s">
        <v>11</v>
      </c>
      <c r="P319" t="s">
        <v>11</v>
      </c>
      <c r="Q319" t="s">
        <v>11</v>
      </c>
      <c r="R319" t="s">
        <v>11</v>
      </c>
      <c r="S319" t="s">
        <v>11</v>
      </c>
      <c r="T319" s="34">
        <v>75330</v>
      </c>
      <c r="U319" s="34">
        <v>38305</v>
      </c>
      <c r="V319" s="34">
        <v>3663</v>
      </c>
      <c r="W319">
        <v>3646</v>
      </c>
      <c r="X319">
        <v>4806</v>
      </c>
      <c r="Y319">
        <v>4792</v>
      </c>
      <c r="Z319">
        <v>4897</v>
      </c>
      <c r="AA319">
        <v>2158</v>
      </c>
      <c r="AB319">
        <v>33204</v>
      </c>
      <c r="AC319">
        <v>24191</v>
      </c>
      <c r="AD319">
        <v>1997</v>
      </c>
      <c r="AE319">
        <v>1464</v>
      </c>
      <c r="AF319">
        <v>6149</v>
      </c>
      <c r="AG319">
        <v>5403</v>
      </c>
      <c r="AH319">
        <f t="shared" si="49"/>
        <v>1997</v>
      </c>
      <c r="AI319">
        <f t="shared" si="50"/>
        <v>1464</v>
      </c>
      <c r="AJ319">
        <v>16591</v>
      </c>
      <c r="AK319">
        <v>13367</v>
      </c>
      <c r="AL319">
        <v>37383</v>
      </c>
      <c r="AM319">
        <v>26167</v>
      </c>
      <c r="AN319" s="22">
        <v>74</v>
      </c>
      <c r="AO319">
        <v>831</v>
      </c>
      <c r="AP319" t="s">
        <v>11</v>
      </c>
      <c r="AQ319" t="s">
        <v>11</v>
      </c>
      <c r="AR319">
        <v>207</v>
      </c>
      <c r="AS319" t="s">
        <v>11</v>
      </c>
      <c r="AT319" t="str">
        <f t="shared" si="54"/>
        <v>NoData</v>
      </c>
      <c r="AU319" t="str">
        <f t="shared" si="55"/>
        <v>NoData</v>
      </c>
      <c r="AV319">
        <v>2</v>
      </c>
      <c r="AW319" t="s">
        <v>11</v>
      </c>
      <c r="AX319">
        <v>4</v>
      </c>
      <c r="AY319" t="s">
        <v>11</v>
      </c>
      <c r="AZ319" t="str">
        <f t="shared" si="56"/>
        <v>NoData</v>
      </c>
      <c r="BA319" t="str">
        <f t="shared" si="57"/>
        <v>NoData</v>
      </c>
      <c r="BB319">
        <f t="shared" si="51"/>
        <v>74</v>
      </c>
      <c r="BC319">
        <f t="shared" si="52"/>
        <v>831</v>
      </c>
      <c r="BD319" t="s">
        <v>11</v>
      </c>
      <c r="BE319" t="s">
        <v>11</v>
      </c>
      <c r="BF319" t="s">
        <v>11</v>
      </c>
      <c r="BG319" t="s">
        <v>11</v>
      </c>
      <c r="BH319">
        <v>3</v>
      </c>
      <c r="BI319" t="s">
        <v>11</v>
      </c>
      <c r="BJ319" t="s">
        <v>11</v>
      </c>
      <c r="BK319" t="s">
        <v>11</v>
      </c>
      <c r="BL319" t="s">
        <v>11</v>
      </c>
      <c r="BM319" t="s">
        <v>11</v>
      </c>
      <c r="BN319">
        <v>57</v>
      </c>
      <c r="BO319" t="s">
        <v>11</v>
      </c>
      <c r="BP319" t="str">
        <f t="shared" si="47"/>
        <v>NoData</v>
      </c>
      <c r="BQ319" t="str">
        <f t="shared" si="48"/>
        <v>NoData</v>
      </c>
      <c r="BR319">
        <v>69</v>
      </c>
      <c r="BS319" t="s">
        <v>11</v>
      </c>
      <c r="BT319">
        <v>31</v>
      </c>
      <c r="BU319" t="s">
        <v>11</v>
      </c>
    </row>
    <row r="320" spans="1:73" x14ac:dyDescent="0.25">
      <c r="A320" s="5">
        <v>35521</v>
      </c>
      <c r="B320">
        <v>4515</v>
      </c>
      <c r="C320" t="s">
        <v>11</v>
      </c>
      <c r="D320">
        <v>25</v>
      </c>
      <c r="E320" t="s">
        <v>11</v>
      </c>
      <c r="F320">
        <v>5496</v>
      </c>
      <c r="G320" t="s">
        <v>11</v>
      </c>
      <c r="H320">
        <v>2804</v>
      </c>
      <c r="I320" t="s">
        <v>11</v>
      </c>
      <c r="J320">
        <v>2823</v>
      </c>
      <c r="K320" t="s">
        <v>11</v>
      </c>
      <c r="L320">
        <v>59260</v>
      </c>
      <c r="M320">
        <v>40162</v>
      </c>
      <c r="N320">
        <v>385</v>
      </c>
      <c r="O320" t="s">
        <v>11</v>
      </c>
      <c r="P320" t="s">
        <v>11</v>
      </c>
      <c r="Q320" t="s">
        <v>11</v>
      </c>
      <c r="R320" t="s">
        <v>11</v>
      </c>
      <c r="S320" t="s">
        <v>11</v>
      </c>
      <c r="T320" s="34">
        <v>84360</v>
      </c>
      <c r="U320" s="34">
        <v>46803</v>
      </c>
      <c r="V320" s="34">
        <v>4142</v>
      </c>
      <c r="W320">
        <v>4089</v>
      </c>
      <c r="X320">
        <v>5454</v>
      </c>
      <c r="Y320">
        <v>5411</v>
      </c>
      <c r="Z320">
        <v>5095</v>
      </c>
      <c r="AA320">
        <v>2527</v>
      </c>
      <c r="AB320">
        <v>39305</v>
      </c>
      <c r="AC320">
        <v>28960</v>
      </c>
      <c r="AD320">
        <v>2471</v>
      </c>
      <c r="AE320">
        <v>2121</v>
      </c>
      <c r="AF320">
        <v>6438</v>
      </c>
      <c r="AG320">
        <v>6077</v>
      </c>
      <c r="AH320">
        <f t="shared" si="49"/>
        <v>2471</v>
      </c>
      <c r="AI320">
        <f t="shared" si="50"/>
        <v>2121</v>
      </c>
      <c r="AJ320">
        <v>18981</v>
      </c>
      <c r="AK320">
        <v>17223</v>
      </c>
      <c r="AL320">
        <v>38564</v>
      </c>
      <c r="AM320">
        <v>30852</v>
      </c>
      <c r="AN320" s="22">
        <v>134</v>
      </c>
      <c r="AO320">
        <v>834</v>
      </c>
      <c r="AP320" t="s">
        <v>11</v>
      </c>
      <c r="AQ320" t="s">
        <v>11</v>
      </c>
      <c r="AR320">
        <v>224</v>
      </c>
      <c r="AS320" t="s">
        <v>11</v>
      </c>
      <c r="AT320" t="str">
        <f t="shared" si="54"/>
        <v>NoData</v>
      </c>
      <c r="AU320" t="str">
        <f t="shared" si="55"/>
        <v>NoData</v>
      </c>
      <c r="AV320">
        <v>5</v>
      </c>
      <c r="AW320" t="s">
        <v>11</v>
      </c>
      <c r="AX320">
        <v>4</v>
      </c>
      <c r="AY320" t="s">
        <v>11</v>
      </c>
      <c r="AZ320" t="str">
        <f t="shared" si="56"/>
        <v>NoData</v>
      </c>
      <c r="BA320" t="str">
        <f t="shared" si="57"/>
        <v>NoData</v>
      </c>
      <c r="BB320">
        <f t="shared" si="51"/>
        <v>134</v>
      </c>
      <c r="BC320">
        <f t="shared" si="52"/>
        <v>834</v>
      </c>
      <c r="BD320" t="s">
        <v>11</v>
      </c>
      <c r="BE320" t="s">
        <v>11</v>
      </c>
      <c r="BF320" t="s">
        <v>11</v>
      </c>
      <c r="BG320" t="s">
        <v>11</v>
      </c>
      <c r="BH320">
        <v>9</v>
      </c>
      <c r="BI320" t="s">
        <v>11</v>
      </c>
      <c r="BJ320" t="s">
        <v>11</v>
      </c>
      <c r="BK320" t="s">
        <v>11</v>
      </c>
      <c r="BL320" t="s">
        <v>11</v>
      </c>
      <c r="BM320" t="s">
        <v>11</v>
      </c>
      <c r="BN320">
        <v>41</v>
      </c>
      <c r="BO320" t="s">
        <v>11</v>
      </c>
      <c r="BP320" t="str">
        <f t="shared" si="47"/>
        <v>NoData</v>
      </c>
      <c r="BQ320" t="str">
        <f t="shared" si="48"/>
        <v>NoData</v>
      </c>
      <c r="BR320">
        <v>75</v>
      </c>
      <c r="BS320" t="s">
        <v>11</v>
      </c>
      <c r="BT320">
        <v>34</v>
      </c>
      <c r="BU320" t="s">
        <v>11</v>
      </c>
    </row>
    <row r="321" spans="1:73" x14ac:dyDescent="0.25">
      <c r="A321" s="5">
        <v>35551</v>
      </c>
      <c r="B321">
        <v>4487</v>
      </c>
      <c r="C321" t="s">
        <v>11</v>
      </c>
      <c r="D321">
        <v>30</v>
      </c>
      <c r="E321" t="s">
        <v>11</v>
      </c>
      <c r="F321">
        <v>8211</v>
      </c>
      <c r="G321" t="s">
        <v>11</v>
      </c>
      <c r="H321">
        <v>3232</v>
      </c>
      <c r="I321" t="s">
        <v>11</v>
      </c>
      <c r="J321">
        <v>4005</v>
      </c>
      <c r="K321" t="s">
        <v>11</v>
      </c>
      <c r="L321">
        <v>75820</v>
      </c>
      <c r="M321">
        <v>55502</v>
      </c>
      <c r="N321">
        <v>659</v>
      </c>
      <c r="O321" t="s">
        <v>11</v>
      </c>
      <c r="P321" t="s">
        <v>11</v>
      </c>
      <c r="Q321" t="s">
        <v>11</v>
      </c>
      <c r="R321" t="s">
        <v>11</v>
      </c>
      <c r="S321" t="s">
        <v>11</v>
      </c>
      <c r="T321" s="34">
        <v>105000</v>
      </c>
      <c r="U321" s="34">
        <v>63304</v>
      </c>
      <c r="V321" s="34">
        <v>3648</v>
      </c>
      <c r="W321">
        <v>3638</v>
      </c>
      <c r="X321">
        <v>7334</v>
      </c>
      <c r="Y321">
        <v>7322</v>
      </c>
      <c r="Z321">
        <v>7554</v>
      </c>
      <c r="AA321">
        <v>3797</v>
      </c>
      <c r="AB321">
        <v>37090</v>
      </c>
      <c r="AC321">
        <v>27092</v>
      </c>
      <c r="AD321">
        <v>2761</v>
      </c>
      <c r="AE321">
        <v>2398</v>
      </c>
      <c r="AF321">
        <v>5752</v>
      </c>
      <c r="AG321">
        <v>5348</v>
      </c>
      <c r="AH321">
        <f t="shared" si="49"/>
        <v>2761</v>
      </c>
      <c r="AI321">
        <f t="shared" si="50"/>
        <v>2398</v>
      </c>
      <c r="AJ321">
        <v>24851</v>
      </c>
      <c r="AK321">
        <v>23060</v>
      </c>
      <c r="AL321">
        <v>52362</v>
      </c>
      <c r="AM321">
        <v>42138</v>
      </c>
      <c r="AN321" s="22">
        <v>138</v>
      </c>
      <c r="AO321">
        <v>885</v>
      </c>
      <c r="AP321" t="s">
        <v>11</v>
      </c>
      <c r="AQ321" t="s">
        <v>11</v>
      </c>
      <c r="AR321">
        <v>273</v>
      </c>
      <c r="AS321" t="s">
        <v>11</v>
      </c>
      <c r="AT321" t="str">
        <f t="shared" si="54"/>
        <v>NoData</v>
      </c>
      <c r="AU321" t="str">
        <f t="shared" si="55"/>
        <v>NoData</v>
      </c>
      <c r="AV321">
        <v>4</v>
      </c>
      <c r="AW321" t="s">
        <v>11</v>
      </c>
      <c r="AX321">
        <v>4</v>
      </c>
      <c r="AY321" t="s">
        <v>11</v>
      </c>
      <c r="AZ321" t="str">
        <f t="shared" si="56"/>
        <v>NoData</v>
      </c>
      <c r="BA321" t="str">
        <f t="shared" si="57"/>
        <v>NoData</v>
      </c>
      <c r="BB321">
        <f t="shared" si="51"/>
        <v>138</v>
      </c>
      <c r="BC321">
        <f t="shared" si="52"/>
        <v>885</v>
      </c>
      <c r="BD321" t="s">
        <v>11</v>
      </c>
      <c r="BE321" t="s">
        <v>11</v>
      </c>
      <c r="BF321" t="s">
        <v>11</v>
      </c>
      <c r="BG321" t="s">
        <v>11</v>
      </c>
      <c r="BH321">
        <v>25</v>
      </c>
      <c r="BI321" t="s">
        <v>11</v>
      </c>
      <c r="BJ321" t="s">
        <v>11</v>
      </c>
      <c r="BK321" t="s">
        <v>11</v>
      </c>
      <c r="BL321" t="s">
        <v>11</v>
      </c>
      <c r="BM321" t="s">
        <v>11</v>
      </c>
      <c r="BN321">
        <v>23</v>
      </c>
      <c r="BO321" t="s">
        <v>11</v>
      </c>
      <c r="BP321" t="str">
        <f t="shared" si="47"/>
        <v>NoData</v>
      </c>
      <c r="BQ321" t="str">
        <f t="shared" si="48"/>
        <v>NoData</v>
      </c>
      <c r="BR321">
        <v>92</v>
      </c>
      <c r="BS321" t="s">
        <v>11</v>
      </c>
      <c r="BT321">
        <v>41</v>
      </c>
      <c r="BU321" t="s">
        <v>11</v>
      </c>
    </row>
    <row r="322" spans="1:73" x14ac:dyDescent="0.25">
      <c r="A322" s="5">
        <v>35582</v>
      </c>
      <c r="B322">
        <v>5713</v>
      </c>
      <c r="C322" t="s">
        <v>11</v>
      </c>
      <c r="D322">
        <v>33</v>
      </c>
      <c r="E322" t="s">
        <v>11</v>
      </c>
      <c r="F322">
        <v>10555</v>
      </c>
      <c r="G322" t="s">
        <v>11</v>
      </c>
      <c r="H322">
        <v>3758</v>
      </c>
      <c r="I322" t="s">
        <v>11</v>
      </c>
      <c r="J322">
        <v>4470</v>
      </c>
      <c r="K322" t="s">
        <v>11</v>
      </c>
      <c r="L322">
        <v>76440</v>
      </c>
      <c r="M322">
        <v>55403</v>
      </c>
      <c r="N322">
        <v>651</v>
      </c>
      <c r="O322" t="s">
        <v>11</v>
      </c>
      <c r="P322" t="s">
        <v>11</v>
      </c>
      <c r="Q322" t="s">
        <v>11</v>
      </c>
      <c r="R322" t="s">
        <v>11</v>
      </c>
      <c r="S322" t="s">
        <v>11</v>
      </c>
      <c r="T322" s="34">
        <v>107300</v>
      </c>
      <c r="U322" s="34">
        <v>63995</v>
      </c>
      <c r="V322" s="34">
        <v>1510</v>
      </c>
      <c r="W322">
        <v>1488</v>
      </c>
      <c r="X322">
        <v>6495</v>
      </c>
      <c r="Y322">
        <v>6438</v>
      </c>
      <c r="Z322">
        <v>6059</v>
      </c>
      <c r="AA322">
        <v>2444</v>
      </c>
      <c r="AB322">
        <v>28285</v>
      </c>
      <c r="AC322">
        <v>19401</v>
      </c>
      <c r="AD322">
        <v>3462</v>
      </c>
      <c r="AE322">
        <v>2787</v>
      </c>
      <c r="AF322">
        <v>5695</v>
      </c>
      <c r="AG322">
        <v>4660</v>
      </c>
      <c r="AH322">
        <f t="shared" si="49"/>
        <v>3462</v>
      </c>
      <c r="AI322">
        <f t="shared" si="50"/>
        <v>2787</v>
      </c>
      <c r="AJ322">
        <v>28671</v>
      </c>
      <c r="AK322">
        <v>24112</v>
      </c>
      <c r="AL322">
        <v>55104</v>
      </c>
      <c r="AM322">
        <v>40992</v>
      </c>
      <c r="AN322" s="22">
        <v>2</v>
      </c>
      <c r="AO322">
        <v>886</v>
      </c>
      <c r="AP322" t="s">
        <v>11</v>
      </c>
      <c r="AQ322" t="s">
        <v>11</v>
      </c>
      <c r="AR322">
        <v>332</v>
      </c>
      <c r="AS322" t="s">
        <v>11</v>
      </c>
      <c r="AT322" t="str">
        <f t="shared" si="54"/>
        <v>NoData</v>
      </c>
      <c r="AU322" t="str">
        <f t="shared" si="55"/>
        <v>NoData</v>
      </c>
      <c r="AV322">
        <v>5</v>
      </c>
      <c r="AW322" t="s">
        <v>11</v>
      </c>
      <c r="AX322">
        <v>4</v>
      </c>
      <c r="AY322" t="s">
        <v>11</v>
      </c>
      <c r="AZ322" t="str">
        <f t="shared" si="56"/>
        <v>NoData</v>
      </c>
      <c r="BA322" t="str">
        <f t="shared" si="57"/>
        <v>NoData</v>
      </c>
      <c r="BB322">
        <f t="shared" si="51"/>
        <v>2</v>
      </c>
      <c r="BC322">
        <f t="shared" si="52"/>
        <v>886</v>
      </c>
      <c r="BD322" t="s">
        <v>11</v>
      </c>
      <c r="BE322" t="s">
        <v>11</v>
      </c>
      <c r="BF322" t="s">
        <v>11</v>
      </c>
      <c r="BG322" t="s">
        <v>11</v>
      </c>
      <c r="BH322">
        <v>22</v>
      </c>
      <c r="BI322" t="s">
        <v>11</v>
      </c>
      <c r="BJ322" t="s">
        <v>11</v>
      </c>
      <c r="BK322" t="s">
        <v>11</v>
      </c>
      <c r="BL322" t="s">
        <v>11</v>
      </c>
      <c r="BM322" t="s">
        <v>11</v>
      </c>
      <c r="BN322">
        <v>0</v>
      </c>
      <c r="BO322" t="s">
        <v>11</v>
      </c>
      <c r="BP322" t="str">
        <f t="shared" si="47"/>
        <v>NoData</v>
      </c>
      <c r="BQ322" t="str">
        <f t="shared" si="48"/>
        <v>NoData</v>
      </c>
      <c r="BR322">
        <v>111</v>
      </c>
      <c r="BS322" t="s">
        <v>11</v>
      </c>
      <c r="BT322">
        <v>50</v>
      </c>
      <c r="BU322" t="s">
        <v>11</v>
      </c>
    </row>
    <row r="323" spans="1:73" x14ac:dyDescent="0.25">
      <c r="A323" s="5">
        <v>35612</v>
      </c>
      <c r="B323">
        <v>6082</v>
      </c>
      <c r="C323" t="s">
        <v>11</v>
      </c>
      <c r="D323">
        <v>33</v>
      </c>
      <c r="E323" t="s">
        <v>11</v>
      </c>
      <c r="F323">
        <v>11118</v>
      </c>
      <c r="G323" t="s">
        <v>11</v>
      </c>
      <c r="H323">
        <v>3506</v>
      </c>
      <c r="I323" t="s">
        <v>11</v>
      </c>
      <c r="J323">
        <v>5059</v>
      </c>
      <c r="K323" t="s">
        <v>11</v>
      </c>
      <c r="L323">
        <v>81880</v>
      </c>
      <c r="M323">
        <v>59949</v>
      </c>
      <c r="N323">
        <v>555</v>
      </c>
      <c r="O323" t="s">
        <v>11</v>
      </c>
      <c r="P323" t="s">
        <v>11</v>
      </c>
      <c r="Q323" t="s">
        <v>11</v>
      </c>
      <c r="R323" t="s">
        <v>11</v>
      </c>
      <c r="S323" t="s">
        <v>11</v>
      </c>
      <c r="T323" s="34">
        <v>108500</v>
      </c>
      <c r="U323" s="34">
        <v>61350</v>
      </c>
      <c r="V323" s="34">
        <v>1338</v>
      </c>
      <c r="W323">
        <v>1330</v>
      </c>
      <c r="X323">
        <v>5961</v>
      </c>
      <c r="Y323">
        <v>5939</v>
      </c>
      <c r="Z323">
        <v>4184</v>
      </c>
      <c r="AA323">
        <v>1880</v>
      </c>
      <c r="AB323">
        <v>29691</v>
      </c>
      <c r="AC323">
        <v>21465</v>
      </c>
      <c r="AD323">
        <v>3279</v>
      </c>
      <c r="AE323">
        <v>3239</v>
      </c>
      <c r="AF323">
        <v>3438</v>
      </c>
      <c r="AG323">
        <v>3461</v>
      </c>
      <c r="AH323">
        <f t="shared" si="49"/>
        <v>3279</v>
      </c>
      <c r="AI323">
        <f t="shared" si="50"/>
        <v>3239</v>
      </c>
      <c r="AJ323">
        <v>25863</v>
      </c>
      <c r="AK323">
        <v>26442</v>
      </c>
      <c r="AL323">
        <v>48976</v>
      </c>
      <c r="AM323">
        <v>44719</v>
      </c>
      <c r="AN323" s="22">
        <v>610</v>
      </c>
      <c r="AO323">
        <v>1263</v>
      </c>
      <c r="AP323" t="s">
        <v>11</v>
      </c>
      <c r="AQ323" t="s">
        <v>11</v>
      </c>
      <c r="AR323">
        <v>362</v>
      </c>
      <c r="AS323" t="s">
        <v>11</v>
      </c>
      <c r="AT323" t="str">
        <f t="shared" si="54"/>
        <v>NoData</v>
      </c>
      <c r="AU323" t="str">
        <f t="shared" si="55"/>
        <v>NoData</v>
      </c>
      <c r="AV323">
        <v>2</v>
      </c>
      <c r="AW323" t="s">
        <v>11</v>
      </c>
      <c r="AX323">
        <v>4</v>
      </c>
      <c r="AY323" t="s">
        <v>11</v>
      </c>
      <c r="AZ323" t="str">
        <f t="shared" si="56"/>
        <v>NoData</v>
      </c>
      <c r="BA323" t="str">
        <f t="shared" si="57"/>
        <v>NoData</v>
      </c>
      <c r="BB323">
        <f t="shared" si="51"/>
        <v>610</v>
      </c>
      <c r="BC323">
        <f t="shared" si="52"/>
        <v>1263</v>
      </c>
      <c r="BD323" t="s">
        <v>11</v>
      </c>
      <c r="BE323" t="s">
        <v>11</v>
      </c>
      <c r="BF323" t="s">
        <v>11</v>
      </c>
      <c r="BG323" t="s">
        <v>11</v>
      </c>
      <c r="BH323">
        <v>19</v>
      </c>
      <c r="BI323" t="s">
        <v>11</v>
      </c>
      <c r="BJ323" t="s">
        <v>11</v>
      </c>
      <c r="BK323" t="s">
        <v>11</v>
      </c>
      <c r="BL323" t="s">
        <v>11</v>
      </c>
      <c r="BM323" t="s">
        <v>11</v>
      </c>
      <c r="BN323">
        <v>0</v>
      </c>
      <c r="BO323" t="s">
        <v>11</v>
      </c>
      <c r="BP323" t="str">
        <f t="shared" si="47"/>
        <v>NoData</v>
      </c>
      <c r="BQ323" t="str">
        <f t="shared" si="48"/>
        <v>NoData</v>
      </c>
      <c r="BR323">
        <v>122</v>
      </c>
      <c r="BS323" t="s">
        <v>11</v>
      </c>
      <c r="BT323">
        <v>54</v>
      </c>
      <c r="BU323" t="s">
        <v>11</v>
      </c>
    </row>
    <row r="324" spans="1:73" x14ac:dyDescent="0.25">
      <c r="A324" s="5">
        <v>35643</v>
      </c>
      <c r="B324">
        <v>5466</v>
      </c>
      <c r="C324" t="s">
        <v>11</v>
      </c>
      <c r="D324">
        <v>30</v>
      </c>
      <c r="E324" t="s">
        <v>11</v>
      </c>
      <c r="F324">
        <v>8915</v>
      </c>
      <c r="G324" t="s">
        <v>11</v>
      </c>
      <c r="H324">
        <v>3152</v>
      </c>
      <c r="I324" t="s">
        <v>11</v>
      </c>
      <c r="J324">
        <v>4535</v>
      </c>
      <c r="K324" t="s">
        <v>11</v>
      </c>
      <c r="L324">
        <v>73480</v>
      </c>
      <c r="M324">
        <v>50906</v>
      </c>
      <c r="N324">
        <v>556</v>
      </c>
      <c r="O324" t="s">
        <v>11</v>
      </c>
      <c r="P324" t="s">
        <v>11</v>
      </c>
      <c r="Q324" t="s">
        <v>11</v>
      </c>
      <c r="R324" t="s">
        <v>11</v>
      </c>
      <c r="S324" t="s">
        <v>11</v>
      </c>
      <c r="T324" s="34">
        <v>110100</v>
      </c>
      <c r="U324" s="34">
        <v>60241</v>
      </c>
      <c r="V324" s="34">
        <v>2460</v>
      </c>
      <c r="W324">
        <v>2440</v>
      </c>
      <c r="X324">
        <v>3286</v>
      </c>
      <c r="Y324">
        <v>3268</v>
      </c>
      <c r="Z324">
        <v>2778</v>
      </c>
      <c r="AA324">
        <v>1030</v>
      </c>
      <c r="AB324">
        <v>26281</v>
      </c>
      <c r="AC324">
        <v>17879</v>
      </c>
      <c r="AD324">
        <v>3293</v>
      </c>
      <c r="AE324">
        <v>3083</v>
      </c>
      <c r="AF324">
        <v>4149</v>
      </c>
      <c r="AG324">
        <v>4005</v>
      </c>
      <c r="AH324">
        <f t="shared" si="49"/>
        <v>3293</v>
      </c>
      <c r="AI324">
        <f t="shared" si="50"/>
        <v>3083</v>
      </c>
      <c r="AJ324">
        <v>25612</v>
      </c>
      <c r="AK324">
        <v>24860</v>
      </c>
      <c r="AL324">
        <v>39040</v>
      </c>
      <c r="AM324">
        <v>34526</v>
      </c>
      <c r="AN324" s="22">
        <v>171</v>
      </c>
      <c r="AO324">
        <v>926</v>
      </c>
      <c r="AP324" t="s">
        <v>11</v>
      </c>
      <c r="AQ324" t="s">
        <v>11</v>
      </c>
      <c r="AR324">
        <v>348</v>
      </c>
      <c r="AS324" t="s">
        <v>11</v>
      </c>
      <c r="AT324" t="str">
        <f t="shared" si="54"/>
        <v>NoData</v>
      </c>
      <c r="AU324" t="str">
        <f t="shared" si="55"/>
        <v>NoData</v>
      </c>
      <c r="AV324">
        <v>5</v>
      </c>
      <c r="AW324" t="s">
        <v>11</v>
      </c>
      <c r="AX324">
        <v>4</v>
      </c>
      <c r="AY324" t="s">
        <v>11</v>
      </c>
      <c r="AZ324" t="str">
        <f t="shared" si="56"/>
        <v>NoData</v>
      </c>
      <c r="BA324" t="str">
        <f t="shared" si="57"/>
        <v>NoData</v>
      </c>
      <c r="BB324">
        <f t="shared" si="51"/>
        <v>171</v>
      </c>
      <c r="BC324">
        <f t="shared" si="52"/>
        <v>926</v>
      </c>
      <c r="BD324" t="s">
        <v>11</v>
      </c>
      <c r="BE324" t="s">
        <v>11</v>
      </c>
      <c r="BF324" t="s">
        <v>11</v>
      </c>
      <c r="BG324" t="s">
        <v>11</v>
      </c>
      <c r="BH324">
        <v>3</v>
      </c>
      <c r="BI324" t="s">
        <v>11</v>
      </c>
      <c r="BJ324" t="s">
        <v>11</v>
      </c>
      <c r="BK324" t="s">
        <v>11</v>
      </c>
      <c r="BL324" t="s">
        <v>11</v>
      </c>
      <c r="BM324" t="s">
        <v>11</v>
      </c>
      <c r="BN324">
        <v>0</v>
      </c>
      <c r="BO324" t="s">
        <v>11</v>
      </c>
      <c r="BP324" t="str">
        <f t="shared" si="47"/>
        <v>NoData</v>
      </c>
      <c r="BQ324" t="str">
        <f t="shared" si="48"/>
        <v>NoData</v>
      </c>
      <c r="BR324">
        <v>117</v>
      </c>
      <c r="BS324" t="s">
        <v>11</v>
      </c>
      <c r="BT324">
        <v>52</v>
      </c>
      <c r="BU324" t="s">
        <v>11</v>
      </c>
    </row>
    <row r="325" spans="1:73" x14ac:dyDescent="0.25">
      <c r="A325" s="5">
        <v>35674</v>
      </c>
      <c r="B325">
        <v>2793</v>
      </c>
      <c r="C325" t="s">
        <v>11</v>
      </c>
      <c r="D325">
        <v>20</v>
      </c>
      <c r="E325" t="s">
        <v>11</v>
      </c>
      <c r="F325">
        <v>7069</v>
      </c>
      <c r="G325" t="s">
        <v>11</v>
      </c>
      <c r="H325">
        <v>1249</v>
      </c>
      <c r="I325" t="s">
        <v>11</v>
      </c>
      <c r="J325">
        <v>2137</v>
      </c>
      <c r="K325" t="s">
        <v>11</v>
      </c>
      <c r="L325">
        <v>50230</v>
      </c>
      <c r="M325">
        <v>29686</v>
      </c>
      <c r="N325">
        <v>263</v>
      </c>
      <c r="O325" t="s">
        <v>11</v>
      </c>
      <c r="P325" t="s">
        <v>11</v>
      </c>
      <c r="Q325" t="s">
        <v>11</v>
      </c>
      <c r="R325" t="s">
        <v>11</v>
      </c>
      <c r="S325" t="s">
        <v>11</v>
      </c>
      <c r="T325" s="34">
        <v>74250</v>
      </c>
      <c r="U325" s="34">
        <v>21731</v>
      </c>
      <c r="V325" s="34">
        <v>1866</v>
      </c>
      <c r="W325">
        <v>1849</v>
      </c>
      <c r="X325">
        <v>3463</v>
      </c>
      <c r="Y325">
        <v>3440</v>
      </c>
      <c r="Z325">
        <v>2821</v>
      </c>
      <c r="AA325">
        <v>742</v>
      </c>
      <c r="AB325">
        <v>19988</v>
      </c>
      <c r="AC325">
        <v>11806</v>
      </c>
      <c r="AD325">
        <v>1690</v>
      </c>
      <c r="AE325">
        <v>1216</v>
      </c>
      <c r="AF325">
        <v>6202</v>
      </c>
      <c r="AG325">
        <v>4845</v>
      </c>
      <c r="AH325">
        <f t="shared" si="49"/>
        <v>1690</v>
      </c>
      <c r="AI325">
        <f t="shared" si="50"/>
        <v>1216</v>
      </c>
      <c r="AJ325">
        <v>17152</v>
      </c>
      <c r="AK325">
        <v>13631</v>
      </c>
      <c r="AL325">
        <v>31655</v>
      </c>
      <c r="AM325">
        <v>22758</v>
      </c>
      <c r="AN325" s="22">
        <v>143</v>
      </c>
      <c r="AO325">
        <v>712</v>
      </c>
      <c r="AP325" t="s">
        <v>11</v>
      </c>
      <c r="AQ325" t="s">
        <v>11</v>
      </c>
      <c r="AR325">
        <v>273</v>
      </c>
      <c r="AS325" t="s">
        <v>11</v>
      </c>
      <c r="AT325" t="str">
        <f t="shared" si="54"/>
        <v>NoData</v>
      </c>
      <c r="AU325" t="str">
        <f t="shared" si="55"/>
        <v>NoData</v>
      </c>
      <c r="AV325">
        <v>2</v>
      </c>
      <c r="AW325" t="s">
        <v>11</v>
      </c>
      <c r="AX325">
        <v>4</v>
      </c>
      <c r="AY325" t="s">
        <v>11</v>
      </c>
      <c r="AZ325" t="str">
        <f t="shared" si="56"/>
        <v>NoData</v>
      </c>
      <c r="BA325" t="str">
        <f t="shared" si="57"/>
        <v>NoData</v>
      </c>
      <c r="BB325">
        <f t="shared" si="51"/>
        <v>143</v>
      </c>
      <c r="BC325">
        <f t="shared" si="52"/>
        <v>712</v>
      </c>
      <c r="BD325" t="s">
        <v>11</v>
      </c>
      <c r="BE325" t="s">
        <v>11</v>
      </c>
      <c r="BF325" t="s">
        <v>11</v>
      </c>
      <c r="BG325" t="s">
        <v>11</v>
      </c>
      <c r="BH325">
        <v>0</v>
      </c>
      <c r="BI325" t="s">
        <v>11</v>
      </c>
      <c r="BJ325" t="s">
        <v>11</v>
      </c>
      <c r="BK325" t="s">
        <v>11</v>
      </c>
      <c r="BL325" t="s">
        <v>11</v>
      </c>
      <c r="BM325" t="s">
        <v>11</v>
      </c>
      <c r="BN325">
        <v>0</v>
      </c>
      <c r="BO325" t="s">
        <v>11</v>
      </c>
      <c r="BP325" t="str">
        <f t="shared" ref="BP325:BP388" si="58">BF325</f>
        <v>NoData</v>
      </c>
      <c r="BQ325" t="str">
        <f t="shared" ref="BQ325:BQ388" si="59">BG325</f>
        <v>NoData</v>
      </c>
      <c r="BR325">
        <v>92</v>
      </c>
      <c r="BS325" t="s">
        <v>11</v>
      </c>
      <c r="BT325">
        <v>41</v>
      </c>
      <c r="BU325" t="s">
        <v>11</v>
      </c>
    </row>
    <row r="326" spans="1:73" x14ac:dyDescent="0.25">
      <c r="A326" s="5">
        <v>35704</v>
      </c>
      <c r="B326">
        <v>2896</v>
      </c>
      <c r="C326" t="s">
        <v>11</v>
      </c>
      <c r="D326">
        <v>15</v>
      </c>
      <c r="E326" t="s">
        <v>11</v>
      </c>
      <c r="F326">
        <v>4266</v>
      </c>
      <c r="G326" t="s">
        <v>11</v>
      </c>
      <c r="H326">
        <v>2728</v>
      </c>
      <c r="I326" t="s">
        <v>11</v>
      </c>
      <c r="J326">
        <v>1275</v>
      </c>
      <c r="K326" t="s">
        <v>11</v>
      </c>
      <c r="L326">
        <v>38460</v>
      </c>
      <c r="M326">
        <v>19447</v>
      </c>
      <c r="N326">
        <v>243</v>
      </c>
      <c r="O326" t="s">
        <v>11</v>
      </c>
      <c r="P326" t="s">
        <v>11</v>
      </c>
      <c r="Q326" t="s">
        <v>11</v>
      </c>
      <c r="R326" t="s">
        <v>11</v>
      </c>
      <c r="S326" t="s">
        <v>11</v>
      </c>
      <c r="T326" s="34">
        <v>67120</v>
      </c>
      <c r="U326" s="34">
        <v>19850</v>
      </c>
      <c r="V326" s="34">
        <v>3961</v>
      </c>
      <c r="W326">
        <v>3824</v>
      </c>
      <c r="X326">
        <v>5285</v>
      </c>
      <c r="Y326">
        <v>5170</v>
      </c>
      <c r="Z326">
        <v>5511</v>
      </c>
      <c r="AA326">
        <v>2361</v>
      </c>
      <c r="AB326">
        <v>37106</v>
      </c>
      <c r="AC326">
        <v>23749</v>
      </c>
      <c r="AD326">
        <v>1973</v>
      </c>
      <c r="AE326">
        <v>1690</v>
      </c>
      <c r="AF326">
        <v>6528</v>
      </c>
      <c r="AG326">
        <v>5974</v>
      </c>
      <c r="AH326">
        <f t="shared" ref="AH326:AH389" si="60">AD326</f>
        <v>1973</v>
      </c>
      <c r="AI326">
        <f t="shared" ref="AI326:AI389" si="61">AE326</f>
        <v>1690</v>
      </c>
      <c r="AJ326">
        <v>19011</v>
      </c>
      <c r="AK326">
        <v>17583</v>
      </c>
      <c r="AL326">
        <v>28997</v>
      </c>
      <c r="AM326">
        <v>21844</v>
      </c>
      <c r="AN326" s="22">
        <v>41</v>
      </c>
      <c r="AO326">
        <v>381</v>
      </c>
      <c r="AP326" t="s">
        <v>11</v>
      </c>
      <c r="AQ326" t="s">
        <v>11</v>
      </c>
      <c r="AR326">
        <v>229</v>
      </c>
      <c r="AS326" t="s">
        <v>11</v>
      </c>
      <c r="AT326" t="str">
        <f t="shared" si="54"/>
        <v>NoData</v>
      </c>
      <c r="AU326" t="str">
        <f t="shared" si="55"/>
        <v>NoData</v>
      </c>
      <c r="AV326">
        <v>2</v>
      </c>
      <c r="AW326" t="s">
        <v>11</v>
      </c>
      <c r="AX326">
        <v>4</v>
      </c>
      <c r="AY326" t="s">
        <v>11</v>
      </c>
      <c r="AZ326" t="str">
        <f t="shared" si="56"/>
        <v>NoData</v>
      </c>
      <c r="BA326" t="str">
        <f t="shared" si="57"/>
        <v>NoData</v>
      </c>
      <c r="BB326">
        <f t="shared" ref="BB326:BB389" si="62">AN326</f>
        <v>41</v>
      </c>
      <c r="BC326">
        <f t="shared" ref="BC326:BC389" si="63">AO326</f>
        <v>381</v>
      </c>
      <c r="BD326" t="s">
        <v>11</v>
      </c>
      <c r="BE326" t="s">
        <v>11</v>
      </c>
      <c r="BF326" t="s">
        <v>11</v>
      </c>
      <c r="BG326" t="s">
        <v>11</v>
      </c>
      <c r="BH326">
        <v>0</v>
      </c>
      <c r="BI326" t="s">
        <v>11</v>
      </c>
      <c r="BJ326" t="s">
        <v>11</v>
      </c>
      <c r="BK326" t="s">
        <v>11</v>
      </c>
      <c r="BL326" t="s">
        <v>11</v>
      </c>
      <c r="BM326" t="s">
        <v>11</v>
      </c>
      <c r="BN326">
        <v>0</v>
      </c>
      <c r="BO326" t="s">
        <v>11</v>
      </c>
      <c r="BP326" t="str">
        <f t="shared" si="58"/>
        <v>NoData</v>
      </c>
      <c r="BQ326" t="str">
        <f t="shared" si="59"/>
        <v>NoData</v>
      </c>
      <c r="BR326">
        <v>77</v>
      </c>
      <c r="BS326" t="s">
        <v>11</v>
      </c>
      <c r="BT326">
        <v>34</v>
      </c>
      <c r="BU326" t="s">
        <v>11</v>
      </c>
    </row>
    <row r="327" spans="1:73" x14ac:dyDescent="0.25">
      <c r="A327" s="5">
        <v>35735</v>
      </c>
      <c r="B327">
        <v>2016</v>
      </c>
      <c r="C327" t="s">
        <v>11</v>
      </c>
      <c r="D327">
        <v>10</v>
      </c>
      <c r="E327" t="s">
        <v>11</v>
      </c>
      <c r="F327">
        <v>4395</v>
      </c>
      <c r="G327" t="s">
        <v>11</v>
      </c>
      <c r="H327">
        <v>1717</v>
      </c>
      <c r="I327" t="s">
        <v>11</v>
      </c>
      <c r="J327">
        <v>714</v>
      </c>
      <c r="K327" t="s">
        <v>11</v>
      </c>
      <c r="L327">
        <v>28580</v>
      </c>
      <c r="M327">
        <v>10410</v>
      </c>
      <c r="N327">
        <v>388</v>
      </c>
      <c r="O327" t="s">
        <v>11</v>
      </c>
      <c r="P327" t="s">
        <v>11</v>
      </c>
      <c r="Q327" t="s">
        <v>11</v>
      </c>
      <c r="R327" t="s">
        <v>11</v>
      </c>
      <c r="S327" t="s">
        <v>11</v>
      </c>
      <c r="T327" s="34">
        <v>49460</v>
      </c>
      <c r="U327" s="34">
        <v>5455</v>
      </c>
      <c r="V327" s="34">
        <v>2719</v>
      </c>
      <c r="W327">
        <v>2660</v>
      </c>
      <c r="X327">
        <v>3516</v>
      </c>
      <c r="Y327">
        <v>3462</v>
      </c>
      <c r="Z327">
        <v>3007</v>
      </c>
      <c r="AA327">
        <v>808</v>
      </c>
      <c r="AB327">
        <v>27661</v>
      </c>
      <c r="AC327">
        <v>14522</v>
      </c>
      <c r="AD327">
        <v>1597</v>
      </c>
      <c r="AE327">
        <v>1112</v>
      </c>
      <c r="AF327">
        <v>4230</v>
      </c>
      <c r="AG327">
        <v>3344</v>
      </c>
      <c r="AH327">
        <f t="shared" si="60"/>
        <v>1597</v>
      </c>
      <c r="AI327">
        <f t="shared" si="61"/>
        <v>1112</v>
      </c>
      <c r="AJ327">
        <v>12455</v>
      </c>
      <c r="AK327">
        <v>9526</v>
      </c>
      <c r="AL327">
        <v>23236</v>
      </c>
      <c r="AM327">
        <v>14766</v>
      </c>
      <c r="AN327" s="22">
        <v>54</v>
      </c>
      <c r="AO327">
        <v>362</v>
      </c>
      <c r="AP327" t="s">
        <v>11</v>
      </c>
      <c r="AQ327" t="s">
        <v>11</v>
      </c>
      <c r="AR327">
        <v>163</v>
      </c>
      <c r="AS327" t="s">
        <v>11</v>
      </c>
      <c r="AT327" t="str">
        <f t="shared" si="54"/>
        <v>NoData</v>
      </c>
      <c r="AU327" t="str">
        <f t="shared" si="55"/>
        <v>NoData</v>
      </c>
      <c r="AV327">
        <v>0</v>
      </c>
      <c r="AW327" t="s">
        <v>11</v>
      </c>
      <c r="AX327">
        <v>4</v>
      </c>
      <c r="AY327" t="s">
        <v>11</v>
      </c>
      <c r="AZ327" t="str">
        <f t="shared" si="56"/>
        <v>NoData</v>
      </c>
      <c r="BA327" t="str">
        <f t="shared" si="57"/>
        <v>NoData</v>
      </c>
      <c r="BB327">
        <f t="shared" si="62"/>
        <v>54</v>
      </c>
      <c r="BC327">
        <f t="shared" si="63"/>
        <v>362</v>
      </c>
      <c r="BD327" t="s">
        <v>11</v>
      </c>
      <c r="BE327" t="s">
        <v>11</v>
      </c>
      <c r="BF327" t="s">
        <v>11</v>
      </c>
      <c r="BG327" t="s">
        <v>11</v>
      </c>
      <c r="BH327">
        <v>0</v>
      </c>
      <c r="BI327" t="s">
        <v>11</v>
      </c>
      <c r="BJ327" t="s">
        <v>11</v>
      </c>
      <c r="BK327" t="s">
        <v>11</v>
      </c>
      <c r="BL327" t="s">
        <v>11</v>
      </c>
      <c r="BM327" t="s">
        <v>11</v>
      </c>
      <c r="BN327">
        <v>0</v>
      </c>
      <c r="BO327" t="s">
        <v>11</v>
      </c>
      <c r="BP327" t="str">
        <f t="shared" si="58"/>
        <v>NoData</v>
      </c>
      <c r="BQ327" t="str">
        <f t="shared" si="59"/>
        <v>NoData</v>
      </c>
      <c r="BR327">
        <v>54</v>
      </c>
      <c r="BS327" t="s">
        <v>11</v>
      </c>
      <c r="BT327">
        <v>24</v>
      </c>
      <c r="BU327" t="s">
        <v>11</v>
      </c>
    </row>
    <row r="328" spans="1:73" x14ac:dyDescent="0.25">
      <c r="A328" s="5">
        <v>35765</v>
      </c>
      <c r="B328">
        <v>1064</v>
      </c>
      <c r="C328" t="s">
        <v>11</v>
      </c>
      <c r="D328">
        <v>10</v>
      </c>
      <c r="E328" t="s">
        <v>11</v>
      </c>
      <c r="F328">
        <v>1367</v>
      </c>
      <c r="G328" t="s">
        <v>11</v>
      </c>
      <c r="H328">
        <v>920</v>
      </c>
      <c r="I328" t="s">
        <v>11</v>
      </c>
      <c r="J328">
        <v>782</v>
      </c>
      <c r="K328" t="s">
        <v>11</v>
      </c>
      <c r="L328">
        <v>26240</v>
      </c>
      <c r="M328">
        <v>7772</v>
      </c>
      <c r="N328">
        <v>88</v>
      </c>
      <c r="O328" t="s">
        <v>11</v>
      </c>
      <c r="P328" t="s">
        <v>11</v>
      </c>
      <c r="Q328" t="s">
        <v>11</v>
      </c>
      <c r="R328" t="s">
        <v>11</v>
      </c>
      <c r="S328" t="s">
        <v>11</v>
      </c>
      <c r="T328" s="34">
        <v>44410</v>
      </c>
      <c r="U328" s="34">
        <v>6112</v>
      </c>
      <c r="V328" s="34">
        <v>1331</v>
      </c>
      <c r="W328">
        <v>1286</v>
      </c>
      <c r="X328">
        <v>1836</v>
      </c>
      <c r="Y328">
        <v>1799</v>
      </c>
      <c r="Z328">
        <v>2070</v>
      </c>
      <c r="AA328">
        <v>310</v>
      </c>
      <c r="AB328">
        <v>15815</v>
      </c>
      <c r="AC328">
        <v>4361</v>
      </c>
      <c r="AD328">
        <v>850</v>
      </c>
      <c r="AE328">
        <v>278</v>
      </c>
      <c r="AF328">
        <v>2122</v>
      </c>
      <c r="AG328">
        <v>1551</v>
      </c>
      <c r="AH328">
        <f t="shared" si="60"/>
        <v>850</v>
      </c>
      <c r="AI328">
        <f t="shared" si="61"/>
        <v>278</v>
      </c>
      <c r="AJ328">
        <v>6168</v>
      </c>
      <c r="AK328">
        <v>2766</v>
      </c>
      <c r="AL328">
        <v>15670</v>
      </c>
      <c r="AM328">
        <v>6300</v>
      </c>
      <c r="AN328" s="22">
        <v>248</v>
      </c>
      <c r="AO328">
        <v>395</v>
      </c>
      <c r="AP328" t="s">
        <v>11</v>
      </c>
      <c r="AQ328" t="s">
        <v>11</v>
      </c>
      <c r="AR328">
        <v>160</v>
      </c>
      <c r="AS328" t="s">
        <v>11</v>
      </c>
      <c r="AT328" t="str">
        <f t="shared" si="54"/>
        <v>NoData</v>
      </c>
      <c r="AU328" t="str">
        <f t="shared" si="55"/>
        <v>NoData</v>
      </c>
      <c r="AV328">
        <v>0</v>
      </c>
      <c r="AW328" t="s">
        <v>11</v>
      </c>
      <c r="AX328">
        <v>4</v>
      </c>
      <c r="AY328" t="s">
        <v>11</v>
      </c>
      <c r="AZ328" t="str">
        <f t="shared" si="56"/>
        <v>NoData</v>
      </c>
      <c r="BA328" t="str">
        <f t="shared" si="57"/>
        <v>NoData</v>
      </c>
      <c r="BB328">
        <f t="shared" si="62"/>
        <v>248</v>
      </c>
      <c r="BC328">
        <f t="shared" si="63"/>
        <v>395</v>
      </c>
      <c r="BD328" t="s">
        <v>11</v>
      </c>
      <c r="BE328" t="s">
        <v>11</v>
      </c>
      <c r="BF328" t="s">
        <v>11</v>
      </c>
      <c r="BG328" t="s">
        <v>11</v>
      </c>
      <c r="BH328">
        <v>0</v>
      </c>
      <c r="BI328" t="s">
        <v>11</v>
      </c>
      <c r="BJ328" t="s">
        <v>11</v>
      </c>
      <c r="BK328" t="s">
        <v>11</v>
      </c>
      <c r="BL328" t="s">
        <v>11</v>
      </c>
      <c r="BM328" t="s">
        <v>11</v>
      </c>
      <c r="BN328">
        <v>0</v>
      </c>
      <c r="BO328" t="s">
        <v>11</v>
      </c>
      <c r="BP328" t="str">
        <f t="shared" si="58"/>
        <v>NoData</v>
      </c>
      <c r="BQ328" t="str">
        <f t="shared" si="59"/>
        <v>NoData</v>
      </c>
      <c r="BR328">
        <v>54</v>
      </c>
      <c r="BS328" t="s">
        <v>11</v>
      </c>
      <c r="BT328">
        <v>24</v>
      </c>
      <c r="BU328" t="s">
        <v>11</v>
      </c>
    </row>
    <row r="329" spans="1:73" x14ac:dyDescent="0.25">
      <c r="A329" s="5">
        <v>35796</v>
      </c>
      <c r="B329">
        <v>1283</v>
      </c>
      <c r="C329" t="s">
        <v>11</v>
      </c>
      <c r="D329">
        <v>35</v>
      </c>
      <c r="E329" t="s">
        <v>11</v>
      </c>
      <c r="F329">
        <v>784</v>
      </c>
      <c r="G329" t="s">
        <v>11</v>
      </c>
      <c r="H329">
        <v>1012</v>
      </c>
      <c r="I329">
        <v>1012</v>
      </c>
      <c r="J329">
        <v>1543</v>
      </c>
      <c r="K329" t="s">
        <v>11</v>
      </c>
      <c r="L329">
        <v>20590</v>
      </c>
      <c r="M329">
        <v>2986</v>
      </c>
      <c r="N329">
        <v>697</v>
      </c>
      <c r="O329" t="s">
        <v>11</v>
      </c>
      <c r="P329" t="s">
        <v>11</v>
      </c>
      <c r="Q329" t="s">
        <v>11</v>
      </c>
      <c r="R329" t="s">
        <v>11</v>
      </c>
      <c r="S329" t="s">
        <v>11</v>
      </c>
      <c r="T329" s="34">
        <v>33700</v>
      </c>
      <c r="U329" s="34">
        <v>3739</v>
      </c>
      <c r="V329" s="34">
        <v>1752</v>
      </c>
      <c r="W329">
        <v>1739</v>
      </c>
      <c r="X329">
        <v>2359</v>
      </c>
      <c r="Y329">
        <v>2346</v>
      </c>
      <c r="Z329">
        <v>2225</v>
      </c>
      <c r="AA329">
        <v>702</v>
      </c>
      <c r="AB329">
        <v>17377</v>
      </c>
      <c r="AC329">
        <v>7424</v>
      </c>
      <c r="AD329">
        <v>1083</v>
      </c>
      <c r="AE329">
        <v>601</v>
      </c>
      <c r="AF329">
        <v>2728</v>
      </c>
      <c r="AG329">
        <v>2194</v>
      </c>
      <c r="AH329">
        <f t="shared" si="60"/>
        <v>1083</v>
      </c>
      <c r="AI329">
        <f t="shared" si="61"/>
        <v>601</v>
      </c>
      <c r="AJ329">
        <v>8577</v>
      </c>
      <c r="AK329">
        <v>5762</v>
      </c>
      <c r="AL329">
        <v>16826</v>
      </c>
      <c r="AM329">
        <v>6798</v>
      </c>
      <c r="AN329" s="22">
        <v>243</v>
      </c>
      <c r="AO329">
        <v>533</v>
      </c>
      <c r="AP329" t="s">
        <v>11</v>
      </c>
      <c r="AQ329" t="s">
        <v>11</v>
      </c>
      <c r="AR329">
        <v>151</v>
      </c>
      <c r="AS329" t="s">
        <v>11</v>
      </c>
      <c r="AT329" t="str">
        <f t="shared" si="54"/>
        <v>NoData</v>
      </c>
      <c r="AU329" t="str">
        <f t="shared" si="55"/>
        <v>NoData</v>
      </c>
      <c r="AV329">
        <v>0</v>
      </c>
      <c r="AW329" t="s">
        <v>11</v>
      </c>
      <c r="AX329">
        <v>4</v>
      </c>
      <c r="AY329" t="s">
        <v>11</v>
      </c>
      <c r="AZ329" t="str">
        <f t="shared" si="56"/>
        <v>NoData</v>
      </c>
      <c r="BA329" t="str">
        <f t="shared" si="57"/>
        <v>NoData</v>
      </c>
      <c r="BB329">
        <f t="shared" si="62"/>
        <v>243</v>
      </c>
      <c r="BC329">
        <f t="shared" si="63"/>
        <v>533</v>
      </c>
      <c r="BD329" t="s">
        <v>11</v>
      </c>
      <c r="BE329" t="s">
        <v>11</v>
      </c>
      <c r="BF329" t="s">
        <v>11</v>
      </c>
      <c r="BG329" t="s">
        <v>11</v>
      </c>
      <c r="BH329">
        <v>0</v>
      </c>
      <c r="BI329" t="s">
        <v>11</v>
      </c>
      <c r="BJ329">
        <v>26</v>
      </c>
      <c r="BK329" t="s">
        <v>11</v>
      </c>
      <c r="BL329" t="s">
        <v>11</v>
      </c>
      <c r="BM329" t="s">
        <v>11</v>
      </c>
      <c r="BN329">
        <v>0</v>
      </c>
      <c r="BO329" t="s">
        <v>11</v>
      </c>
      <c r="BP329" t="str">
        <f t="shared" si="58"/>
        <v>NoData</v>
      </c>
      <c r="BQ329" t="str">
        <f t="shared" si="59"/>
        <v>NoData</v>
      </c>
      <c r="BR329">
        <v>51</v>
      </c>
      <c r="BS329" t="s">
        <v>11</v>
      </c>
      <c r="BT329">
        <v>23</v>
      </c>
      <c r="BU329" t="s">
        <v>11</v>
      </c>
    </row>
    <row r="330" spans="1:73" x14ac:dyDescent="0.25">
      <c r="A330" s="5">
        <v>35827</v>
      </c>
      <c r="B330">
        <v>289</v>
      </c>
      <c r="C330" t="s">
        <v>11</v>
      </c>
      <c r="D330">
        <v>29</v>
      </c>
      <c r="E330" t="s">
        <v>11</v>
      </c>
      <c r="F330">
        <v>1321</v>
      </c>
      <c r="G330" t="s">
        <v>11</v>
      </c>
      <c r="H330">
        <v>407</v>
      </c>
      <c r="I330">
        <v>407</v>
      </c>
      <c r="J330">
        <v>1236</v>
      </c>
      <c r="K330" t="s">
        <v>11</v>
      </c>
      <c r="L330">
        <v>15970</v>
      </c>
      <c r="M330">
        <v>2402</v>
      </c>
      <c r="N330">
        <v>79</v>
      </c>
      <c r="O330" t="s">
        <v>11</v>
      </c>
      <c r="P330" t="s">
        <v>11</v>
      </c>
      <c r="Q330" t="s">
        <v>11</v>
      </c>
      <c r="R330" t="s">
        <v>11</v>
      </c>
      <c r="S330" t="s">
        <v>11</v>
      </c>
      <c r="T330" s="34">
        <v>25630</v>
      </c>
      <c r="U330" s="34">
        <v>-3972</v>
      </c>
      <c r="V330" s="34">
        <v>1046</v>
      </c>
      <c r="W330">
        <v>1040</v>
      </c>
      <c r="X330">
        <v>969</v>
      </c>
      <c r="Y330">
        <v>965</v>
      </c>
      <c r="Z330">
        <v>1648</v>
      </c>
      <c r="AA330">
        <v>486</v>
      </c>
      <c r="AB330">
        <v>16610</v>
      </c>
      <c r="AC330">
        <v>6856</v>
      </c>
      <c r="AD330">
        <v>911</v>
      </c>
      <c r="AE330">
        <v>432</v>
      </c>
      <c r="AF330">
        <v>1990</v>
      </c>
      <c r="AG330">
        <v>1457</v>
      </c>
      <c r="AH330">
        <f t="shared" si="60"/>
        <v>911</v>
      </c>
      <c r="AI330">
        <f t="shared" si="61"/>
        <v>432</v>
      </c>
      <c r="AJ330">
        <v>5611</v>
      </c>
      <c r="AK330">
        <v>2848</v>
      </c>
      <c r="AL330">
        <v>14601</v>
      </c>
      <c r="AM330">
        <v>3673</v>
      </c>
      <c r="AN330" s="22">
        <v>38</v>
      </c>
      <c r="AO330">
        <v>347</v>
      </c>
      <c r="AP330" t="s">
        <v>11</v>
      </c>
      <c r="AQ330" t="s">
        <v>11</v>
      </c>
      <c r="AR330">
        <v>121</v>
      </c>
      <c r="AS330" t="s">
        <v>11</v>
      </c>
      <c r="AT330" t="str">
        <f t="shared" si="54"/>
        <v>NoData</v>
      </c>
      <c r="AU330" t="str">
        <f t="shared" si="55"/>
        <v>NoData</v>
      </c>
      <c r="AV330">
        <v>2</v>
      </c>
      <c r="AW330" t="s">
        <v>11</v>
      </c>
      <c r="AX330">
        <v>4</v>
      </c>
      <c r="AY330" t="s">
        <v>11</v>
      </c>
      <c r="AZ330" t="str">
        <f t="shared" si="56"/>
        <v>NoData</v>
      </c>
      <c r="BA330" t="str">
        <f t="shared" si="57"/>
        <v>NoData</v>
      </c>
      <c r="BB330">
        <f t="shared" si="62"/>
        <v>38</v>
      </c>
      <c r="BC330">
        <f t="shared" si="63"/>
        <v>347</v>
      </c>
      <c r="BD330" t="s">
        <v>11</v>
      </c>
      <c r="BE330" t="s">
        <v>11</v>
      </c>
      <c r="BF330" t="s">
        <v>11</v>
      </c>
      <c r="BG330" t="s">
        <v>11</v>
      </c>
      <c r="BH330">
        <v>0</v>
      </c>
      <c r="BI330" t="s">
        <v>11</v>
      </c>
      <c r="BJ330">
        <v>21</v>
      </c>
      <c r="BK330" t="s">
        <v>11</v>
      </c>
      <c r="BL330" t="s">
        <v>11</v>
      </c>
      <c r="BM330" t="s">
        <v>11</v>
      </c>
      <c r="BN330">
        <v>0</v>
      </c>
      <c r="BO330" t="s">
        <v>11</v>
      </c>
      <c r="BP330" t="str">
        <f t="shared" si="58"/>
        <v>NoData</v>
      </c>
      <c r="BQ330" t="str">
        <f t="shared" si="59"/>
        <v>NoData</v>
      </c>
      <c r="BR330">
        <v>41</v>
      </c>
      <c r="BS330" t="s">
        <v>11</v>
      </c>
      <c r="BT330">
        <v>18</v>
      </c>
      <c r="BU330" t="s">
        <v>11</v>
      </c>
    </row>
    <row r="331" spans="1:73" x14ac:dyDescent="0.25">
      <c r="A331" s="5">
        <v>35855</v>
      </c>
      <c r="B331">
        <v>2611</v>
      </c>
      <c r="C331" t="s">
        <v>11</v>
      </c>
      <c r="D331">
        <v>49</v>
      </c>
      <c r="E331" t="s">
        <v>11</v>
      </c>
      <c r="F331">
        <v>5776</v>
      </c>
      <c r="G331" t="s">
        <v>11</v>
      </c>
      <c r="H331">
        <v>1047</v>
      </c>
      <c r="I331">
        <v>1047</v>
      </c>
      <c r="J331">
        <v>2108</v>
      </c>
      <c r="K331" t="s">
        <v>11</v>
      </c>
      <c r="L331">
        <v>52190</v>
      </c>
      <c r="M331">
        <v>35423</v>
      </c>
      <c r="N331">
        <v>571</v>
      </c>
      <c r="O331" t="s">
        <v>11</v>
      </c>
      <c r="P331" t="s">
        <v>11</v>
      </c>
      <c r="Q331" t="s">
        <v>11</v>
      </c>
      <c r="R331" t="s">
        <v>11</v>
      </c>
      <c r="S331" t="s">
        <v>11</v>
      </c>
      <c r="T331" s="34">
        <v>70190</v>
      </c>
      <c r="U331" s="34">
        <v>33811</v>
      </c>
      <c r="V331" s="34">
        <v>2919</v>
      </c>
      <c r="W331">
        <v>2906</v>
      </c>
      <c r="X331">
        <v>3960</v>
      </c>
      <c r="Y331">
        <v>3947</v>
      </c>
      <c r="Z331">
        <v>4886</v>
      </c>
      <c r="AA331">
        <v>2259</v>
      </c>
      <c r="AB331">
        <v>30678</v>
      </c>
      <c r="AC331">
        <v>20911</v>
      </c>
      <c r="AD331">
        <v>2117</v>
      </c>
      <c r="AE331">
        <v>1542</v>
      </c>
      <c r="AF331">
        <v>6172</v>
      </c>
      <c r="AG331">
        <v>4926</v>
      </c>
      <c r="AH331">
        <f t="shared" si="60"/>
        <v>2117</v>
      </c>
      <c r="AI331">
        <f t="shared" si="61"/>
        <v>1542</v>
      </c>
      <c r="AJ331">
        <v>17208</v>
      </c>
      <c r="AK331">
        <v>13579</v>
      </c>
      <c r="AL331">
        <v>37347</v>
      </c>
      <c r="AM331">
        <v>25608</v>
      </c>
      <c r="AN331" s="22">
        <v>327</v>
      </c>
      <c r="AO331">
        <v>907</v>
      </c>
      <c r="AP331" t="s">
        <v>11</v>
      </c>
      <c r="AQ331" t="s">
        <v>11</v>
      </c>
      <c r="AR331">
        <v>207</v>
      </c>
      <c r="AS331" t="s">
        <v>11</v>
      </c>
      <c r="AT331" t="str">
        <f t="shared" si="54"/>
        <v>NoData</v>
      </c>
      <c r="AU331" t="str">
        <f t="shared" si="55"/>
        <v>NoData</v>
      </c>
      <c r="AV331">
        <v>0</v>
      </c>
      <c r="AW331" t="s">
        <v>11</v>
      </c>
      <c r="AX331">
        <v>4</v>
      </c>
      <c r="AY331" t="s">
        <v>11</v>
      </c>
      <c r="AZ331" t="str">
        <f t="shared" si="56"/>
        <v>NoData</v>
      </c>
      <c r="BA331" t="str">
        <f t="shared" si="57"/>
        <v>NoData</v>
      </c>
      <c r="BB331">
        <f t="shared" si="62"/>
        <v>327</v>
      </c>
      <c r="BC331">
        <f t="shared" si="63"/>
        <v>907</v>
      </c>
      <c r="BD331" t="s">
        <v>11</v>
      </c>
      <c r="BE331" t="s">
        <v>11</v>
      </c>
      <c r="BF331" t="s">
        <v>11</v>
      </c>
      <c r="BG331" t="s">
        <v>11</v>
      </c>
      <c r="BH331">
        <v>0</v>
      </c>
      <c r="BI331" t="s">
        <v>11</v>
      </c>
      <c r="BJ331">
        <v>36</v>
      </c>
      <c r="BK331" t="s">
        <v>11</v>
      </c>
      <c r="BL331" t="s">
        <v>11</v>
      </c>
      <c r="BM331" t="s">
        <v>11</v>
      </c>
      <c r="BN331">
        <v>66</v>
      </c>
      <c r="BO331" t="s">
        <v>11</v>
      </c>
      <c r="BP331" t="str">
        <f t="shared" si="58"/>
        <v>NoData</v>
      </c>
      <c r="BQ331" t="str">
        <f t="shared" si="59"/>
        <v>NoData</v>
      </c>
      <c r="BR331">
        <v>69</v>
      </c>
      <c r="BS331" t="s">
        <v>11</v>
      </c>
      <c r="BT331">
        <v>31</v>
      </c>
      <c r="BU331" t="s">
        <v>11</v>
      </c>
    </row>
    <row r="332" spans="1:73" x14ac:dyDescent="0.25">
      <c r="A332" s="5">
        <v>35886</v>
      </c>
      <c r="B332">
        <v>2077</v>
      </c>
      <c r="C332" t="s">
        <v>11</v>
      </c>
      <c r="D332">
        <v>53</v>
      </c>
      <c r="E332" t="s">
        <v>11</v>
      </c>
      <c r="F332">
        <v>6927</v>
      </c>
      <c r="G332" t="s">
        <v>11</v>
      </c>
      <c r="H332">
        <v>2180</v>
      </c>
      <c r="I332">
        <v>2180</v>
      </c>
      <c r="J332">
        <v>2276</v>
      </c>
      <c r="K332" t="s">
        <v>11</v>
      </c>
      <c r="L332">
        <v>61740</v>
      </c>
      <c r="M332">
        <v>41893</v>
      </c>
      <c r="N332">
        <v>1151</v>
      </c>
      <c r="O332" t="s">
        <v>11</v>
      </c>
      <c r="P332" t="s">
        <v>11</v>
      </c>
      <c r="Q332" t="s">
        <v>11</v>
      </c>
      <c r="R332" t="s">
        <v>11</v>
      </c>
      <c r="S332" t="s">
        <v>11</v>
      </c>
      <c r="T332" s="34">
        <v>93560</v>
      </c>
      <c r="U332" s="34">
        <v>54248</v>
      </c>
      <c r="V332" s="34">
        <v>4373</v>
      </c>
      <c r="W332">
        <v>4342</v>
      </c>
      <c r="X332">
        <v>5607</v>
      </c>
      <c r="Y332">
        <v>5580</v>
      </c>
      <c r="Z332">
        <v>4385</v>
      </c>
      <c r="AA332">
        <v>2406</v>
      </c>
      <c r="AB332">
        <v>39086</v>
      </c>
      <c r="AC332">
        <v>29502</v>
      </c>
      <c r="AD332">
        <v>2367</v>
      </c>
      <c r="AE332">
        <v>2120</v>
      </c>
      <c r="AF332">
        <v>5531</v>
      </c>
      <c r="AG332">
        <v>5320</v>
      </c>
      <c r="AH332">
        <f t="shared" si="60"/>
        <v>2367</v>
      </c>
      <c r="AI332">
        <f t="shared" si="61"/>
        <v>2120</v>
      </c>
      <c r="AJ332">
        <v>16398</v>
      </c>
      <c r="AK332">
        <v>15289</v>
      </c>
      <c r="AL332">
        <v>45447</v>
      </c>
      <c r="AM332">
        <v>39441</v>
      </c>
      <c r="AN332" s="22">
        <v>550</v>
      </c>
      <c r="AO332">
        <v>1466</v>
      </c>
      <c r="AP332" t="s">
        <v>11</v>
      </c>
      <c r="AQ332" t="s">
        <v>11</v>
      </c>
      <c r="AR332">
        <v>224</v>
      </c>
      <c r="AS332" t="s">
        <v>11</v>
      </c>
      <c r="AT332" t="str">
        <f t="shared" si="54"/>
        <v>NoData</v>
      </c>
      <c r="AU332" t="str">
        <f t="shared" si="55"/>
        <v>NoData</v>
      </c>
      <c r="AV332">
        <v>0</v>
      </c>
      <c r="AW332" t="s">
        <v>11</v>
      </c>
      <c r="AX332">
        <v>4</v>
      </c>
      <c r="AY332" t="s">
        <v>11</v>
      </c>
      <c r="AZ332" t="str">
        <f t="shared" si="56"/>
        <v>NoData</v>
      </c>
      <c r="BA332" t="str">
        <f t="shared" si="57"/>
        <v>NoData</v>
      </c>
      <c r="BB332">
        <f t="shared" si="62"/>
        <v>550</v>
      </c>
      <c r="BC332">
        <f t="shared" si="63"/>
        <v>1466</v>
      </c>
      <c r="BD332" t="s">
        <v>11</v>
      </c>
      <c r="BE332" t="s">
        <v>11</v>
      </c>
      <c r="BF332" t="s">
        <v>11</v>
      </c>
      <c r="BG332" t="s">
        <v>11</v>
      </c>
      <c r="BH332">
        <v>0</v>
      </c>
      <c r="BI332" t="s">
        <v>11</v>
      </c>
      <c r="BJ332">
        <v>39</v>
      </c>
      <c r="BK332" t="s">
        <v>11</v>
      </c>
      <c r="BL332" t="s">
        <v>11</v>
      </c>
      <c r="BM332" t="s">
        <v>11</v>
      </c>
      <c r="BN332">
        <v>13</v>
      </c>
      <c r="BO332" t="s">
        <v>11</v>
      </c>
      <c r="BP332" t="str">
        <f t="shared" si="58"/>
        <v>NoData</v>
      </c>
      <c r="BQ332" t="str">
        <f t="shared" si="59"/>
        <v>NoData</v>
      </c>
      <c r="BR332">
        <v>75</v>
      </c>
      <c r="BS332" t="s">
        <v>11</v>
      </c>
      <c r="BT332">
        <v>34</v>
      </c>
      <c r="BU332" t="s">
        <v>11</v>
      </c>
    </row>
    <row r="333" spans="1:73" x14ac:dyDescent="0.25">
      <c r="A333" s="5">
        <v>35916</v>
      </c>
      <c r="B333">
        <v>2779</v>
      </c>
      <c r="C333" t="s">
        <v>11</v>
      </c>
      <c r="D333">
        <v>64</v>
      </c>
      <c r="E333" t="s">
        <v>11</v>
      </c>
      <c r="F333">
        <v>10088</v>
      </c>
      <c r="G333" t="s">
        <v>11</v>
      </c>
      <c r="H333">
        <v>3484</v>
      </c>
      <c r="I333">
        <v>3484</v>
      </c>
      <c r="J333">
        <v>2782</v>
      </c>
      <c r="K333" t="s">
        <v>11</v>
      </c>
      <c r="L333">
        <v>70300</v>
      </c>
      <c r="M333">
        <v>48060</v>
      </c>
      <c r="N333">
        <v>1072</v>
      </c>
      <c r="O333" t="s">
        <v>11</v>
      </c>
      <c r="P333" t="s">
        <v>11</v>
      </c>
      <c r="Q333" t="s">
        <v>11</v>
      </c>
      <c r="R333" t="s">
        <v>11</v>
      </c>
      <c r="S333" t="s">
        <v>11</v>
      </c>
      <c r="T333" s="34">
        <v>107100</v>
      </c>
      <c r="U333" s="34">
        <v>62690</v>
      </c>
      <c r="V333" s="34">
        <v>3694</v>
      </c>
      <c r="W333">
        <v>3656</v>
      </c>
      <c r="X333">
        <v>6227</v>
      </c>
      <c r="Y333">
        <v>6186</v>
      </c>
      <c r="Z333">
        <v>5656</v>
      </c>
      <c r="AA333">
        <v>2841</v>
      </c>
      <c r="AB333">
        <v>37937</v>
      </c>
      <c r="AC333">
        <v>27004</v>
      </c>
      <c r="AD333">
        <v>2473</v>
      </c>
      <c r="AE333">
        <v>2088</v>
      </c>
      <c r="AF333">
        <v>6690</v>
      </c>
      <c r="AG333">
        <v>5918</v>
      </c>
      <c r="AH333">
        <f t="shared" si="60"/>
        <v>2473</v>
      </c>
      <c r="AI333">
        <f t="shared" si="61"/>
        <v>2088</v>
      </c>
      <c r="AJ333">
        <v>21185</v>
      </c>
      <c r="AK333">
        <v>19251</v>
      </c>
      <c r="AL333">
        <v>38939</v>
      </c>
      <c r="AM333">
        <v>32493</v>
      </c>
      <c r="AN333" s="22">
        <v>500</v>
      </c>
      <c r="AO333">
        <v>1525</v>
      </c>
      <c r="AP333" t="s">
        <v>11</v>
      </c>
      <c r="AQ333" t="s">
        <v>11</v>
      </c>
      <c r="AR333">
        <v>273</v>
      </c>
      <c r="AS333" t="s">
        <v>11</v>
      </c>
      <c r="AT333" t="str">
        <f t="shared" si="54"/>
        <v>NoData</v>
      </c>
      <c r="AU333" t="str">
        <f t="shared" si="55"/>
        <v>NoData</v>
      </c>
      <c r="AV333">
        <v>0</v>
      </c>
      <c r="AW333" t="s">
        <v>11</v>
      </c>
      <c r="AX333">
        <v>4</v>
      </c>
      <c r="AY333" t="s">
        <v>11</v>
      </c>
      <c r="AZ333" t="str">
        <f t="shared" si="56"/>
        <v>NoData</v>
      </c>
      <c r="BA333" t="str">
        <f t="shared" si="57"/>
        <v>NoData</v>
      </c>
      <c r="BB333">
        <f t="shared" si="62"/>
        <v>500</v>
      </c>
      <c r="BC333">
        <f t="shared" si="63"/>
        <v>1525</v>
      </c>
      <c r="BD333" t="s">
        <v>11</v>
      </c>
      <c r="BE333" t="s">
        <v>11</v>
      </c>
      <c r="BF333" t="s">
        <v>11</v>
      </c>
      <c r="BG333" t="s">
        <v>11</v>
      </c>
      <c r="BH333">
        <v>0</v>
      </c>
      <c r="BI333" t="s">
        <v>11</v>
      </c>
      <c r="BJ333">
        <v>48</v>
      </c>
      <c r="BK333" t="s">
        <v>11</v>
      </c>
      <c r="BL333" t="s">
        <v>11</v>
      </c>
      <c r="BM333" t="s">
        <v>11</v>
      </c>
      <c r="BN333">
        <v>14</v>
      </c>
      <c r="BO333" t="s">
        <v>11</v>
      </c>
      <c r="BP333" t="str">
        <f t="shared" si="58"/>
        <v>NoData</v>
      </c>
      <c r="BQ333" t="str">
        <f t="shared" si="59"/>
        <v>NoData</v>
      </c>
      <c r="BR333">
        <v>92</v>
      </c>
      <c r="BS333" t="s">
        <v>11</v>
      </c>
      <c r="BT333">
        <v>41</v>
      </c>
      <c r="BU333" t="s">
        <v>11</v>
      </c>
    </row>
    <row r="334" spans="1:73" x14ac:dyDescent="0.25">
      <c r="A334" s="5">
        <v>35947</v>
      </c>
      <c r="B334">
        <v>4476</v>
      </c>
      <c r="C334" t="s">
        <v>11</v>
      </c>
      <c r="D334">
        <v>77</v>
      </c>
      <c r="E334" t="s">
        <v>11</v>
      </c>
      <c r="F334">
        <v>10598</v>
      </c>
      <c r="G334" t="s">
        <v>11</v>
      </c>
      <c r="H334">
        <v>3519</v>
      </c>
      <c r="I334">
        <v>3519</v>
      </c>
      <c r="J334">
        <v>3376</v>
      </c>
      <c r="K334" t="s">
        <v>11</v>
      </c>
      <c r="L334">
        <v>69100</v>
      </c>
      <c r="M334">
        <v>48114</v>
      </c>
      <c r="N334">
        <v>1220</v>
      </c>
      <c r="O334" t="s">
        <v>11</v>
      </c>
      <c r="P334" t="s">
        <v>11</v>
      </c>
      <c r="Q334" t="s">
        <v>11</v>
      </c>
      <c r="R334" t="s">
        <v>11</v>
      </c>
      <c r="S334" t="s">
        <v>11</v>
      </c>
      <c r="T334" s="34">
        <v>111200</v>
      </c>
      <c r="U334" s="34">
        <v>67592</v>
      </c>
      <c r="V334" s="34">
        <v>1837</v>
      </c>
      <c r="W334">
        <v>1824</v>
      </c>
      <c r="X334">
        <v>6249</v>
      </c>
      <c r="Y334">
        <v>6218</v>
      </c>
      <c r="Z334">
        <v>5160</v>
      </c>
      <c r="AA334">
        <v>2336</v>
      </c>
      <c r="AB334">
        <v>26501</v>
      </c>
      <c r="AC334">
        <v>17414</v>
      </c>
      <c r="AD334">
        <v>2860</v>
      </c>
      <c r="AE334">
        <v>2400</v>
      </c>
      <c r="AF334">
        <v>5329</v>
      </c>
      <c r="AG334">
        <v>4685</v>
      </c>
      <c r="AH334">
        <f t="shared" si="60"/>
        <v>2860</v>
      </c>
      <c r="AI334">
        <f t="shared" si="61"/>
        <v>2400</v>
      </c>
      <c r="AJ334">
        <v>25468</v>
      </c>
      <c r="AK334">
        <v>22958</v>
      </c>
      <c r="AL334">
        <v>46901</v>
      </c>
      <c r="AM334">
        <v>38469</v>
      </c>
      <c r="AN334" s="22">
        <v>190</v>
      </c>
      <c r="AO334">
        <v>1387</v>
      </c>
      <c r="AP334" t="s">
        <v>11</v>
      </c>
      <c r="AQ334" t="s">
        <v>11</v>
      </c>
      <c r="AR334">
        <v>332</v>
      </c>
      <c r="AS334" t="s">
        <v>11</v>
      </c>
      <c r="AT334" t="str">
        <f t="shared" si="54"/>
        <v>NoData</v>
      </c>
      <c r="AU334" t="str">
        <f t="shared" si="55"/>
        <v>NoData</v>
      </c>
      <c r="AV334">
        <v>0</v>
      </c>
      <c r="AW334" t="s">
        <v>11</v>
      </c>
      <c r="AX334">
        <v>4</v>
      </c>
      <c r="AY334" t="s">
        <v>11</v>
      </c>
      <c r="AZ334" t="str">
        <f t="shared" si="56"/>
        <v>NoData</v>
      </c>
      <c r="BA334" t="str">
        <f t="shared" si="57"/>
        <v>NoData</v>
      </c>
      <c r="BB334">
        <f t="shared" si="62"/>
        <v>190</v>
      </c>
      <c r="BC334">
        <f t="shared" si="63"/>
        <v>1387</v>
      </c>
      <c r="BD334" t="s">
        <v>11</v>
      </c>
      <c r="BE334" t="s">
        <v>11</v>
      </c>
      <c r="BF334" t="s">
        <v>11</v>
      </c>
      <c r="BG334" t="s">
        <v>11</v>
      </c>
      <c r="BH334">
        <v>0</v>
      </c>
      <c r="BI334" t="s">
        <v>11</v>
      </c>
      <c r="BJ334">
        <v>58</v>
      </c>
      <c r="BK334" t="s">
        <v>11</v>
      </c>
      <c r="BL334" t="s">
        <v>11</v>
      </c>
      <c r="BM334" t="s">
        <v>11</v>
      </c>
      <c r="BN334">
        <v>34</v>
      </c>
      <c r="BO334" t="s">
        <v>11</v>
      </c>
      <c r="BP334" t="str">
        <f t="shared" si="58"/>
        <v>NoData</v>
      </c>
      <c r="BQ334" t="str">
        <f t="shared" si="59"/>
        <v>NoData</v>
      </c>
      <c r="BR334">
        <v>111</v>
      </c>
      <c r="BS334" t="s">
        <v>11</v>
      </c>
      <c r="BT334">
        <v>50</v>
      </c>
      <c r="BU334" t="s">
        <v>11</v>
      </c>
    </row>
    <row r="335" spans="1:73" x14ac:dyDescent="0.25">
      <c r="A335" s="5">
        <v>35977</v>
      </c>
      <c r="B335">
        <v>5453</v>
      </c>
      <c r="C335" t="s">
        <v>11</v>
      </c>
      <c r="D335">
        <v>84</v>
      </c>
      <c r="E335" t="s">
        <v>11</v>
      </c>
      <c r="F335">
        <v>11106</v>
      </c>
      <c r="G335" t="s">
        <v>11</v>
      </c>
      <c r="H335">
        <v>3293</v>
      </c>
      <c r="I335">
        <v>3293</v>
      </c>
      <c r="J335">
        <v>3683</v>
      </c>
      <c r="K335" t="s">
        <v>11</v>
      </c>
      <c r="L335">
        <v>77070</v>
      </c>
      <c r="M335">
        <v>55166</v>
      </c>
      <c r="N335">
        <v>1869</v>
      </c>
      <c r="O335" t="s">
        <v>11</v>
      </c>
      <c r="P335" t="s">
        <v>11</v>
      </c>
      <c r="Q335" t="s">
        <v>11</v>
      </c>
      <c r="R335" t="s">
        <v>11</v>
      </c>
      <c r="S335" t="s">
        <v>11</v>
      </c>
      <c r="T335" s="34">
        <v>11790</v>
      </c>
      <c r="U335" s="34">
        <v>70294</v>
      </c>
      <c r="V335" s="34">
        <v>1830</v>
      </c>
      <c r="W335">
        <v>1823</v>
      </c>
      <c r="X335">
        <v>5799</v>
      </c>
      <c r="Y335">
        <v>5782</v>
      </c>
      <c r="Z335">
        <v>4164</v>
      </c>
      <c r="AA335">
        <v>1644</v>
      </c>
      <c r="AB335">
        <v>31168</v>
      </c>
      <c r="AC335">
        <v>22771</v>
      </c>
      <c r="AD335">
        <v>4032</v>
      </c>
      <c r="AE335">
        <v>3431</v>
      </c>
      <c r="AF335">
        <v>4765</v>
      </c>
      <c r="AG335">
        <v>4098</v>
      </c>
      <c r="AH335">
        <f t="shared" si="60"/>
        <v>4032</v>
      </c>
      <c r="AI335">
        <f t="shared" si="61"/>
        <v>3431</v>
      </c>
      <c r="AJ335">
        <v>31209</v>
      </c>
      <c r="AK335">
        <v>27483</v>
      </c>
      <c r="AL335">
        <v>50683</v>
      </c>
      <c r="AM335">
        <v>42212</v>
      </c>
      <c r="AN335" s="22">
        <v>545</v>
      </c>
      <c r="AO335">
        <v>1667</v>
      </c>
      <c r="AP335" t="s">
        <v>11</v>
      </c>
      <c r="AQ335" t="s">
        <v>11</v>
      </c>
      <c r="AR335">
        <v>362</v>
      </c>
      <c r="AS335" t="s">
        <v>11</v>
      </c>
      <c r="AT335" t="str">
        <f t="shared" si="54"/>
        <v>NoData</v>
      </c>
      <c r="AU335" t="str">
        <f t="shared" si="55"/>
        <v>NoData</v>
      </c>
      <c r="AV335">
        <v>0</v>
      </c>
      <c r="AW335" t="s">
        <v>11</v>
      </c>
      <c r="AX335">
        <v>4</v>
      </c>
      <c r="AY335" t="s">
        <v>11</v>
      </c>
      <c r="AZ335" t="str">
        <f t="shared" si="56"/>
        <v>NoData</v>
      </c>
      <c r="BA335" t="str">
        <f t="shared" si="57"/>
        <v>NoData</v>
      </c>
      <c r="BB335">
        <f t="shared" si="62"/>
        <v>545</v>
      </c>
      <c r="BC335">
        <f t="shared" si="63"/>
        <v>1667</v>
      </c>
      <c r="BD335" t="s">
        <v>11</v>
      </c>
      <c r="BE335" t="s">
        <v>11</v>
      </c>
      <c r="BF335" t="s">
        <v>11</v>
      </c>
      <c r="BG335" t="s">
        <v>11</v>
      </c>
      <c r="BH335">
        <v>0</v>
      </c>
      <c r="BI335" t="s">
        <v>11</v>
      </c>
      <c r="BJ335">
        <v>63</v>
      </c>
      <c r="BK335" t="s">
        <v>11</v>
      </c>
      <c r="BL335" t="s">
        <v>11</v>
      </c>
      <c r="BM335" t="s">
        <v>11</v>
      </c>
      <c r="BN335">
        <v>70</v>
      </c>
      <c r="BO335" t="s">
        <v>11</v>
      </c>
      <c r="BP335" t="str">
        <f t="shared" si="58"/>
        <v>NoData</v>
      </c>
      <c r="BQ335" t="str">
        <f t="shared" si="59"/>
        <v>NoData</v>
      </c>
      <c r="BR335">
        <v>122</v>
      </c>
      <c r="BS335" t="s">
        <v>11</v>
      </c>
      <c r="BT335">
        <v>54</v>
      </c>
      <c r="BU335" t="s">
        <v>11</v>
      </c>
    </row>
    <row r="336" spans="1:73" x14ac:dyDescent="0.25">
      <c r="A336" s="5">
        <v>36008</v>
      </c>
      <c r="B336">
        <v>4881</v>
      </c>
      <c r="C336" t="s">
        <v>11</v>
      </c>
      <c r="D336">
        <v>81</v>
      </c>
      <c r="E336" t="s">
        <v>11</v>
      </c>
      <c r="F336">
        <v>6188</v>
      </c>
      <c r="G336" t="s">
        <v>11</v>
      </c>
      <c r="H336">
        <v>3685</v>
      </c>
      <c r="I336">
        <v>3685</v>
      </c>
      <c r="J336">
        <v>3544</v>
      </c>
      <c r="K336" t="s">
        <v>11</v>
      </c>
      <c r="L336">
        <v>70170</v>
      </c>
      <c r="M336">
        <v>49944</v>
      </c>
      <c r="N336">
        <v>1356</v>
      </c>
      <c r="O336" t="s">
        <v>11</v>
      </c>
      <c r="P336" t="s">
        <v>11</v>
      </c>
      <c r="Q336" t="s">
        <v>11</v>
      </c>
      <c r="R336" t="s">
        <v>11</v>
      </c>
      <c r="S336" t="s">
        <v>11</v>
      </c>
      <c r="T336" s="34">
        <v>112900</v>
      </c>
      <c r="U336" s="34">
        <v>59509</v>
      </c>
      <c r="V336" s="34">
        <v>2473</v>
      </c>
      <c r="W336">
        <v>2441</v>
      </c>
      <c r="X336">
        <v>4053</v>
      </c>
      <c r="Y336">
        <v>4016</v>
      </c>
      <c r="Z336">
        <v>2710</v>
      </c>
      <c r="AA336">
        <v>1063</v>
      </c>
      <c r="AB336">
        <v>25165</v>
      </c>
      <c r="AC336">
        <v>15745</v>
      </c>
      <c r="AD336">
        <v>3372</v>
      </c>
      <c r="AE336">
        <v>2787</v>
      </c>
      <c r="AF336">
        <v>4253</v>
      </c>
      <c r="AG336">
        <v>3586</v>
      </c>
      <c r="AH336">
        <f t="shared" si="60"/>
        <v>3372</v>
      </c>
      <c r="AI336">
        <f t="shared" si="61"/>
        <v>2787</v>
      </c>
      <c r="AJ336">
        <v>28941</v>
      </c>
      <c r="AK336">
        <v>25367</v>
      </c>
      <c r="AL336">
        <v>38597</v>
      </c>
      <c r="AM336">
        <v>30561</v>
      </c>
      <c r="AN336" s="22">
        <v>576</v>
      </c>
      <c r="AO336">
        <v>1618</v>
      </c>
      <c r="AP336" t="s">
        <v>11</v>
      </c>
      <c r="AQ336" t="s">
        <v>11</v>
      </c>
      <c r="AR336">
        <v>348</v>
      </c>
      <c r="AS336" t="s">
        <v>11</v>
      </c>
      <c r="AT336" t="str">
        <f t="shared" si="54"/>
        <v>NoData</v>
      </c>
      <c r="AU336" t="str">
        <f t="shared" si="55"/>
        <v>NoData</v>
      </c>
      <c r="AV336">
        <v>0</v>
      </c>
      <c r="AW336" t="s">
        <v>11</v>
      </c>
      <c r="AX336">
        <v>4</v>
      </c>
      <c r="AY336" t="s">
        <v>11</v>
      </c>
      <c r="AZ336" t="str">
        <f t="shared" si="56"/>
        <v>NoData</v>
      </c>
      <c r="BA336" t="str">
        <f t="shared" si="57"/>
        <v>NoData</v>
      </c>
      <c r="BB336">
        <f t="shared" si="62"/>
        <v>576</v>
      </c>
      <c r="BC336">
        <f t="shared" si="63"/>
        <v>1618</v>
      </c>
      <c r="BD336" t="s">
        <v>11</v>
      </c>
      <c r="BE336" t="s">
        <v>11</v>
      </c>
      <c r="BF336" t="s">
        <v>11</v>
      </c>
      <c r="BG336" t="s">
        <v>11</v>
      </c>
      <c r="BH336">
        <v>0</v>
      </c>
      <c r="BI336" t="s">
        <v>11</v>
      </c>
      <c r="BJ336">
        <v>61</v>
      </c>
      <c r="BK336" t="s">
        <v>11</v>
      </c>
      <c r="BL336" t="s">
        <v>11</v>
      </c>
      <c r="BM336" t="s">
        <v>11</v>
      </c>
      <c r="BN336">
        <v>76</v>
      </c>
      <c r="BO336" t="s">
        <v>11</v>
      </c>
      <c r="BP336" t="str">
        <f t="shared" si="58"/>
        <v>NoData</v>
      </c>
      <c r="BQ336" t="str">
        <f t="shared" si="59"/>
        <v>NoData</v>
      </c>
      <c r="BR336">
        <v>117</v>
      </c>
      <c r="BS336" t="s">
        <v>11</v>
      </c>
      <c r="BT336">
        <v>52</v>
      </c>
      <c r="BU336" t="s">
        <v>11</v>
      </c>
    </row>
    <row r="337" spans="1:73" x14ac:dyDescent="0.25">
      <c r="A337" s="5">
        <v>36039</v>
      </c>
      <c r="B337">
        <v>3179</v>
      </c>
      <c r="C337" t="s">
        <v>11</v>
      </c>
      <c r="D337">
        <v>64</v>
      </c>
      <c r="E337" t="s">
        <v>11</v>
      </c>
      <c r="F337">
        <v>4139</v>
      </c>
      <c r="G337" t="s">
        <v>11</v>
      </c>
      <c r="H337">
        <v>2711</v>
      </c>
      <c r="I337">
        <v>2711</v>
      </c>
      <c r="J337">
        <v>2785</v>
      </c>
      <c r="K337" t="s">
        <v>11</v>
      </c>
      <c r="L337">
        <v>43120</v>
      </c>
      <c r="M337">
        <v>23662</v>
      </c>
      <c r="N337">
        <v>1009</v>
      </c>
      <c r="O337" t="s">
        <v>11</v>
      </c>
      <c r="P337" t="s">
        <v>11</v>
      </c>
      <c r="Q337" t="s">
        <v>11</v>
      </c>
      <c r="R337" t="s">
        <v>11</v>
      </c>
      <c r="S337" t="s">
        <v>11</v>
      </c>
      <c r="T337" s="34">
        <v>78530</v>
      </c>
      <c r="U337" s="34">
        <v>30463</v>
      </c>
      <c r="V337" s="34">
        <v>2137</v>
      </c>
      <c r="W337">
        <v>2121</v>
      </c>
      <c r="X337">
        <v>3874</v>
      </c>
      <c r="Y337">
        <v>3853</v>
      </c>
      <c r="Z337">
        <v>4064</v>
      </c>
      <c r="AA337">
        <v>1867</v>
      </c>
      <c r="AB337">
        <v>28613</v>
      </c>
      <c r="AC337">
        <v>18125</v>
      </c>
      <c r="AD337">
        <v>2654</v>
      </c>
      <c r="AE337">
        <v>2183</v>
      </c>
      <c r="AF337">
        <v>6834</v>
      </c>
      <c r="AG337">
        <v>5924</v>
      </c>
      <c r="AH337">
        <f t="shared" si="60"/>
        <v>2654</v>
      </c>
      <c r="AI337">
        <f t="shared" si="61"/>
        <v>2183</v>
      </c>
      <c r="AJ337">
        <v>21688</v>
      </c>
      <c r="AK337">
        <v>18972</v>
      </c>
      <c r="AL337">
        <v>37610</v>
      </c>
      <c r="AM337">
        <v>29566</v>
      </c>
      <c r="AN337" s="22">
        <v>474</v>
      </c>
      <c r="AO337">
        <v>872</v>
      </c>
      <c r="AP337" t="s">
        <v>11</v>
      </c>
      <c r="AQ337" t="s">
        <v>11</v>
      </c>
      <c r="AR337">
        <v>273</v>
      </c>
      <c r="AS337" t="s">
        <v>11</v>
      </c>
      <c r="AT337" t="str">
        <f t="shared" si="54"/>
        <v>NoData</v>
      </c>
      <c r="AU337" t="str">
        <f t="shared" si="55"/>
        <v>NoData</v>
      </c>
      <c r="AV337">
        <v>0</v>
      </c>
      <c r="AW337" t="s">
        <v>11</v>
      </c>
      <c r="AX337">
        <v>4</v>
      </c>
      <c r="AY337" t="s">
        <v>11</v>
      </c>
      <c r="AZ337" t="str">
        <f t="shared" si="56"/>
        <v>NoData</v>
      </c>
      <c r="BA337" t="str">
        <f t="shared" si="57"/>
        <v>NoData</v>
      </c>
      <c r="BB337">
        <f t="shared" si="62"/>
        <v>474</v>
      </c>
      <c r="BC337">
        <f t="shared" si="63"/>
        <v>872</v>
      </c>
      <c r="BD337" t="s">
        <v>11</v>
      </c>
      <c r="BE337" t="s">
        <v>11</v>
      </c>
      <c r="BF337" t="s">
        <v>11</v>
      </c>
      <c r="BG337" t="s">
        <v>11</v>
      </c>
      <c r="BH337">
        <v>0</v>
      </c>
      <c r="BI337" t="s">
        <v>11</v>
      </c>
      <c r="BJ337">
        <v>48</v>
      </c>
      <c r="BK337" t="s">
        <v>11</v>
      </c>
      <c r="BL337" t="s">
        <v>11</v>
      </c>
      <c r="BM337" t="s">
        <v>11</v>
      </c>
      <c r="BN337">
        <v>75</v>
      </c>
      <c r="BO337" t="s">
        <v>11</v>
      </c>
      <c r="BP337" t="str">
        <f t="shared" si="58"/>
        <v>NoData</v>
      </c>
      <c r="BQ337" t="str">
        <f t="shared" si="59"/>
        <v>NoData</v>
      </c>
      <c r="BR337">
        <v>92</v>
      </c>
      <c r="BS337" t="s">
        <v>11</v>
      </c>
      <c r="BT337">
        <v>41</v>
      </c>
      <c r="BU337" t="s">
        <v>11</v>
      </c>
    </row>
    <row r="338" spans="1:73" x14ac:dyDescent="0.25">
      <c r="A338" s="5">
        <v>36069</v>
      </c>
      <c r="B338">
        <v>2375</v>
      </c>
      <c r="C338" t="s">
        <v>11</v>
      </c>
      <c r="D338">
        <v>53</v>
      </c>
      <c r="E338" t="s">
        <v>11</v>
      </c>
      <c r="F338">
        <v>1465</v>
      </c>
      <c r="G338" t="s">
        <v>11</v>
      </c>
      <c r="H338">
        <v>2822</v>
      </c>
      <c r="I338">
        <v>2822</v>
      </c>
      <c r="J338">
        <v>2334</v>
      </c>
      <c r="K338" t="s">
        <v>11</v>
      </c>
      <c r="L338">
        <v>42900</v>
      </c>
      <c r="M338">
        <v>22951</v>
      </c>
      <c r="N338">
        <v>1359</v>
      </c>
      <c r="O338" t="s">
        <v>11</v>
      </c>
      <c r="P338" t="s">
        <v>11</v>
      </c>
      <c r="Q338" t="s">
        <v>11</v>
      </c>
      <c r="R338" t="s">
        <v>11</v>
      </c>
      <c r="S338" t="s">
        <v>11</v>
      </c>
      <c r="T338" s="34">
        <v>71280</v>
      </c>
      <c r="U338" s="34">
        <v>30312</v>
      </c>
      <c r="V338" s="34">
        <v>3902</v>
      </c>
      <c r="W338">
        <v>3866</v>
      </c>
      <c r="X338">
        <v>5238</v>
      </c>
      <c r="Y338">
        <v>5207</v>
      </c>
      <c r="Z338">
        <v>4979</v>
      </c>
      <c r="AA338">
        <v>2182</v>
      </c>
      <c r="AB338">
        <v>43306</v>
      </c>
      <c r="AC338">
        <v>29795</v>
      </c>
      <c r="AD338">
        <v>2438</v>
      </c>
      <c r="AE338">
        <v>1732</v>
      </c>
      <c r="AF338">
        <v>7037</v>
      </c>
      <c r="AG338">
        <v>6028</v>
      </c>
      <c r="AH338">
        <f t="shared" si="60"/>
        <v>2438</v>
      </c>
      <c r="AI338">
        <f t="shared" si="61"/>
        <v>1732</v>
      </c>
      <c r="AJ338">
        <v>16337</v>
      </c>
      <c r="AK338">
        <v>12303</v>
      </c>
      <c r="AL338">
        <v>29446</v>
      </c>
      <c r="AM338">
        <v>20279</v>
      </c>
      <c r="AN338" s="22">
        <v>784</v>
      </c>
      <c r="AO338">
        <v>1231</v>
      </c>
      <c r="AP338" t="s">
        <v>11</v>
      </c>
      <c r="AQ338" t="s">
        <v>11</v>
      </c>
      <c r="AR338">
        <v>229</v>
      </c>
      <c r="AS338" t="s">
        <v>11</v>
      </c>
      <c r="AT338" t="str">
        <f t="shared" si="54"/>
        <v>NoData</v>
      </c>
      <c r="AU338" t="str">
        <f t="shared" si="55"/>
        <v>NoData</v>
      </c>
      <c r="AV338">
        <v>0</v>
      </c>
      <c r="AW338" t="s">
        <v>11</v>
      </c>
      <c r="AX338">
        <v>4</v>
      </c>
      <c r="AY338" t="s">
        <v>11</v>
      </c>
      <c r="AZ338" t="str">
        <f t="shared" si="56"/>
        <v>NoData</v>
      </c>
      <c r="BA338" t="str">
        <f t="shared" si="57"/>
        <v>NoData</v>
      </c>
      <c r="BB338">
        <f t="shared" si="62"/>
        <v>784</v>
      </c>
      <c r="BC338">
        <f t="shared" si="63"/>
        <v>1231</v>
      </c>
      <c r="BD338" t="s">
        <v>11</v>
      </c>
      <c r="BE338" t="s">
        <v>11</v>
      </c>
      <c r="BF338" t="s">
        <v>11</v>
      </c>
      <c r="BG338" t="s">
        <v>11</v>
      </c>
      <c r="BH338">
        <v>0</v>
      </c>
      <c r="BI338" t="s">
        <v>11</v>
      </c>
      <c r="BJ338">
        <v>40</v>
      </c>
      <c r="BK338" t="s">
        <v>11</v>
      </c>
      <c r="BL338" t="s">
        <v>11</v>
      </c>
      <c r="BM338" t="s">
        <v>11</v>
      </c>
      <c r="BN338">
        <v>0</v>
      </c>
      <c r="BO338" t="s">
        <v>11</v>
      </c>
      <c r="BP338" t="str">
        <f t="shared" si="58"/>
        <v>NoData</v>
      </c>
      <c r="BQ338" t="str">
        <f t="shared" si="59"/>
        <v>NoData</v>
      </c>
      <c r="BR338">
        <v>77</v>
      </c>
      <c r="BS338" t="s">
        <v>11</v>
      </c>
      <c r="BT338">
        <v>34</v>
      </c>
      <c r="BU338" t="s">
        <v>11</v>
      </c>
    </row>
    <row r="339" spans="1:73" x14ac:dyDescent="0.25">
      <c r="A339" s="5">
        <v>36100</v>
      </c>
      <c r="B339">
        <v>1397</v>
      </c>
      <c r="C339" t="s">
        <v>11</v>
      </c>
      <c r="D339">
        <v>38</v>
      </c>
      <c r="E339" t="s">
        <v>11</v>
      </c>
      <c r="F339">
        <v>1943</v>
      </c>
      <c r="G339" t="s">
        <v>11</v>
      </c>
      <c r="H339">
        <v>1228</v>
      </c>
      <c r="I339">
        <v>1228</v>
      </c>
      <c r="J339">
        <v>1656</v>
      </c>
      <c r="K339" t="s">
        <v>11</v>
      </c>
      <c r="L339">
        <v>25250</v>
      </c>
      <c r="M339">
        <v>7036</v>
      </c>
      <c r="N339">
        <v>457</v>
      </c>
      <c r="O339" t="s">
        <v>11</v>
      </c>
      <c r="P339" t="s">
        <v>11</v>
      </c>
      <c r="Q339" t="s">
        <v>11</v>
      </c>
      <c r="R339" t="s">
        <v>11</v>
      </c>
      <c r="S339" t="s">
        <v>11</v>
      </c>
      <c r="T339" s="34">
        <v>49030</v>
      </c>
      <c r="U339" s="34">
        <v>9253</v>
      </c>
      <c r="V339" s="34">
        <v>3283</v>
      </c>
      <c r="W339">
        <v>3270</v>
      </c>
      <c r="X339">
        <v>3045</v>
      </c>
      <c r="Y339">
        <v>3036</v>
      </c>
      <c r="Z339">
        <v>3224</v>
      </c>
      <c r="AA339">
        <v>1033</v>
      </c>
      <c r="AB339">
        <v>29450</v>
      </c>
      <c r="AC339">
        <v>16201</v>
      </c>
      <c r="AD339">
        <v>1743</v>
      </c>
      <c r="AE339">
        <v>1116</v>
      </c>
      <c r="AF339">
        <v>4758</v>
      </c>
      <c r="AG339">
        <v>3936</v>
      </c>
      <c r="AH339">
        <f t="shared" si="60"/>
        <v>1743</v>
      </c>
      <c r="AI339">
        <f t="shared" si="61"/>
        <v>1116</v>
      </c>
      <c r="AJ339">
        <v>13060</v>
      </c>
      <c r="AK339">
        <v>9500</v>
      </c>
      <c r="AL339">
        <v>24333</v>
      </c>
      <c r="AM339">
        <v>14074</v>
      </c>
      <c r="AN339" s="22">
        <v>51</v>
      </c>
      <c r="AO339">
        <v>429</v>
      </c>
      <c r="AP339" t="s">
        <v>11</v>
      </c>
      <c r="AQ339" t="s">
        <v>11</v>
      </c>
      <c r="AR339">
        <v>163</v>
      </c>
      <c r="AS339" t="s">
        <v>11</v>
      </c>
      <c r="AT339" t="str">
        <f t="shared" si="54"/>
        <v>NoData</v>
      </c>
      <c r="AU339" t="str">
        <f t="shared" si="55"/>
        <v>NoData</v>
      </c>
      <c r="AV339">
        <v>0</v>
      </c>
      <c r="AW339" t="s">
        <v>11</v>
      </c>
      <c r="AX339">
        <v>4</v>
      </c>
      <c r="AY339" t="s">
        <v>11</v>
      </c>
      <c r="AZ339" t="str">
        <f t="shared" si="56"/>
        <v>NoData</v>
      </c>
      <c r="BA339" t="str">
        <f t="shared" si="57"/>
        <v>NoData</v>
      </c>
      <c r="BB339">
        <f t="shared" si="62"/>
        <v>51</v>
      </c>
      <c r="BC339">
        <f t="shared" si="63"/>
        <v>429</v>
      </c>
      <c r="BD339" t="s">
        <v>11</v>
      </c>
      <c r="BE339" t="s">
        <v>11</v>
      </c>
      <c r="BF339" t="s">
        <v>11</v>
      </c>
      <c r="BG339" t="s">
        <v>11</v>
      </c>
      <c r="BH339">
        <v>0</v>
      </c>
      <c r="BI339" t="s">
        <v>11</v>
      </c>
      <c r="BJ339">
        <v>28</v>
      </c>
      <c r="BK339" t="s">
        <v>11</v>
      </c>
      <c r="BL339" t="s">
        <v>11</v>
      </c>
      <c r="BM339" t="s">
        <v>11</v>
      </c>
      <c r="BN339">
        <v>0</v>
      </c>
      <c r="BO339" t="s">
        <v>11</v>
      </c>
      <c r="BP339" t="str">
        <f t="shared" si="58"/>
        <v>NoData</v>
      </c>
      <c r="BQ339" t="str">
        <f t="shared" si="59"/>
        <v>NoData</v>
      </c>
      <c r="BR339">
        <v>54</v>
      </c>
      <c r="BS339" t="s">
        <v>11</v>
      </c>
      <c r="BT339">
        <v>24</v>
      </c>
      <c r="BU339" t="s">
        <v>11</v>
      </c>
    </row>
    <row r="340" spans="1:73" x14ac:dyDescent="0.25">
      <c r="A340" s="5">
        <v>36130</v>
      </c>
      <c r="B340">
        <v>868</v>
      </c>
      <c r="C340" t="s">
        <v>11</v>
      </c>
      <c r="D340">
        <v>37</v>
      </c>
      <c r="E340" t="s">
        <v>11</v>
      </c>
      <c r="F340">
        <v>1553</v>
      </c>
      <c r="G340" t="s">
        <v>11</v>
      </c>
      <c r="H340">
        <v>888</v>
      </c>
      <c r="I340">
        <v>888</v>
      </c>
      <c r="J340">
        <v>1630</v>
      </c>
      <c r="K340" t="s">
        <v>11</v>
      </c>
      <c r="L340">
        <v>31450</v>
      </c>
      <c r="M340">
        <v>14029</v>
      </c>
      <c r="N340">
        <v>97</v>
      </c>
      <c r="O340" t="s">
        <v>11</v>
      </c>
      <c r="P340" t="s">
        <v>11</v>
      </c>
      <c r="Q340" t="s">
        <v>11</v>
      </c>
      <c r="R340" t="s">
        <v>11</v>
      </c>
      <c r="S340" t="s">
        <v>11</v>
      </c>
      <c r="T340" s="34">
        <v>47890</v>
      </c>
      <c r="U340" s="34">
        <v>9174</v>
      </c>
      <c r="V340" s="34">
        <v>2140</v>
      </c>
      <c r="W340">
        <v>2135</v>
      </c>
      <c r="X340">
        <v>2432</v>
      </c>
      <c r="Y340">
        <v>2428</v>
      </c>
      <c r="Z340">
        <v>2510</v>
      </c>
      <c r="AA340">
        <v>713</v>
      </c>
      <c r="AB340">
        <v>21157</v>
      </c>
      <c r="AC340">
        <v>9309</v>
      </c>
      <c r="AD340">
        <v>1320</v>
      </c>
      <c r="AE340">
        <v>537</v>
      </c>
      <c r="AF340">
        <v>3480</v>
      </c>
      <c r="AG340">
        <v>2664</v>
      </c>
      <c r="AH340">
        <f t="shared" si="60"/>
        <v>1320</v>
      </c>
      <c r="AI340">
        <f t="shared" si="61"/>
        <v>537</v>
      </c>
      <c r="AJ340">
        <v>10544</v>
      </c>
      <c r="AK340">
        <v>5822</v>
      </c>
      <c r="AL340">
        <v>19299</v>
      </c>
      <c r="AM340">
        <v>7181</v>
      </c>
      <c r="AN340" s="22">
        <v>259</v>
      </c>
      <c r="AO340">
        <v>912</v>
      </c>
      <c r="AP340" t="s">
        <v>11</v>
      </c>
      <c r="AQ340" t="s">
        <v>11</v>
      </c>
      <c r="AR340">
        <v>160</v>
      </c>
      <c r="AS340" t="s">
        <v>11</v>
      </c>
      <c r="AT340" t="str">
        <f t="shared" si="54"/>
        <v>NoData</v>
      </c>
      <c r="AU340" t="str">
        <f t="shared" si="55"/>
        <v>NoData</v>
      </c>
      <c r="AV340">
        <v>0</v>
      </c>
      <c r="AW340" t="s">
        <v>11</v>
      </c>
      <c r="AX340">
        <v>4</v>
      </c>
      <c r="AY340" t="s">
        <v>11</v>
      </c>
      <c r="AZ340" t="str">
        <f t="shared" si="56"/>
        <v>NoData</v>
      </c>
      <c r="BA340" t="str">
        <f t="shared" si="57"/>
        <v>NoData</v>
      </c>
      <c r="BB340">
        <f t="shared" si="62"/>
        <v>259</v>
      </c>
      <c r="BC340">
        <f t="shared" si="63"/>
        <v>912</v>
      </c>
      <c r="BD340" t="s">
        <v>11</v>
      </c>
      <c r="BE340" t="s">
        <v>11</v>
      </c>
      <c r="BF340" t="s">
        <v>11</v>
      </c>
      <c r="BG340" t="s">
        <v>11</v>
      </c>
      <c r="BH340">
        <v>0</v>
      </c>
      <c r="BI340" t="s">
        <v>11</v>
      </c>
      <c r="BJ340">
        <v>28</v>
      </c>
      <c r="BK340" t="s">
        <v>11</v>
      </c>
      <c r="BL340" t="s">
        <v>11</v>
      </c>
      <c r="BM340" t="s">
        <v>11</v>
      </c>
      <c r="BN340">
        <v>0</v>
      </c>
      <c r="BO340" t="s">
        <v>11</v>
      </c>
      <c r="BP340" t="str">
        <f t="shared" si="58"/>
        <v>NoData</v>
      </c>
      <c r="BQ340" t="str">
        <f t="shared" si="59"/>
        <v>NoData</v>
      </c>
      <c r="BR340">
        <v>54</v>
      </c>
      <c r="BS340" t="s">
        <v>11</v>
      </c>
      <c r="BT340">
        <v>24</v>
      </c>
      <c r="BU340" t="s">
        <v>11</v>
      </c>
    </row>
    <row r="341" spans="1:73" x14ac:dyDescent="0.25">
      <c r="A341" s="5">
        <v>36161</v>
      </c>
      <c r="B341">
        <v>1498</v>
      </c>
      <c r="C341" t="s">
        <v>11</v>
      </c>
      <c r="D341">
        <v>10</v>
      </c>
      <c r="E341" t="s">
        <v>11</v>
      </c>
      <c r="F341">
        <v>2090</v>
      </c>
      <c r="G341" t="s">
        <v>11</v>
      </c>
      <c r="H341">
        <v>1652</v>
      </c>
      <c r="I341">
        <v>1652</v>
      </c>
      <c r="J341">
        <v>1335</v>
      </c>
      <c r="K341" t="s">
        <v>11</v>
      </c>
      <c r="L341">
        <v>22800</v>
      </c>
      <c r="M341">
        <v>7392</v>
      </c>
      <c r="N341">
        <v>172</v>
      </c>
      <c r="O341">
        <v>172</v>
      </c>
      <c r="P341" t="s">
        <v>11</v>
      </c>
      <c r="Q341" t="s">
        <v>11</v>
      </c>
      <c r="R341" t="s">
        <v>11</v>
      </c>
      <c r="S341" t="s">
        <v>11</v>
      </c>
      <c r="T341" s="34">
        <v>37990</v>
      </c>
      <c r="U341" s="34">
        <v>8837</v>
      </c>
      <c r="V341" s="34">
        <v>2288</v>
      </c>
      <c r="W341">
        <v>2304</v>
      </c>
      <c r="X341">
        <v>2159</v>
      </c>
      <c r="Y341">
        <v>2169</v>
      </c>
      <c r="Z341">
        <v>2652</v>
      </c>
      <c r="AA341">
        <v>910</v>
      </c>
      <c r="AB341">
        <v>20873</v>
      </c>
      <c r="AC341">
        <v>9898</v>
      </c>
      <c r="AD341">
        <v>1426</v>
      </c>
      <c r="AE341">
        <v>584</v>
      </c>
      <c r="AF341">
        <v>3679</v>
      </c>
      <c r="AG341">
        <v>2808</v>
      </c>
      <c r="AH341">
        <f t="shared" si="60"/>
        <v>1426</v>
      </c>
      <c r="AI341">
        <f t="shared" si="61"/>
        <v>584</v>
      </c>
      <c r="AJ341">
        <v>11043</v>
      </c>
      <c r="AK341">
        <v>5977</v>
      </c>
      <c r="AL341">
        <v>18797</v>
      </c>
      <c r="AM341">
        <v>6606</v>
      </c>
      <c r="AN341" s="22">
        <v>62</v>
      </c>
      <c r="AO341">
        <v>415</v>
      </c>
      <c r="AP341" t="s">
        <v>11</v>
      </c>
      <c r="AQ341" t="s">
        <v>11</v>
      </c>
      <c r="AR341">
        <v>151</v>
      </c>
      <c r="AS341" t="s">
        <v>11</v>
      </c>
      <c r="AT341" t="str">
        <f t="shared" si="54"/>
        <v>NoData</v>
      </c>
      <c r="AU341" t="str">
        <f t="shared" si="55"/>
        <v>NoData</v>
      </c>
      <c r="AV341">
        <v>0</v>
      </c>
      <c r="AW341" t="s">
        <v>11</v>
      </c>
      <c r="AX341">
        <v>4</v>
      </c>
      <c r="AY341" t="s">
        <v>11</v>
      </c>
      <c r="AZ341" t="str">
        <f t="shared" si="56"/>
        <v>NoData</v>
      </c>
      <c r="BA341" t="str">
        <f t="shared" si="57"/>
        <v>NoData</v>
      </c>
      <c r="BB341">
        <f t="shared" si="62"/>
        <v>62</v>
      </c>
      <c r="BC341">
        <f t="shared" si="63"/>
        <v>415</v>
      </c>
      <c r="BD341" t="s">
        <v>11</v>
      </c>
      <c r="BE341" t="s">
        <v>11</v>
      </c>
      <c r="BF341" t="s">
        <v>11</v>
      </c>
      <c r="BG341" t="s">
        <v>11</v>
      </c>
      <c r="BH341">
        <v>19</v>
      </c>
      <c r="BI341" t="s">
        <v>11</v>
      </c>
      <c r="BJ341">
        <v>35</v>
      </c>
      <c r="BK341" t="s">
        <v>11</v>
      </c>
      <c r="BL341" t="s">
        <v>11</v>
      </c>
      <c r="BM341" t="s">
        <v>11</v>
      </c>
      <c r="BN341">
        <v>43</v>
      </c>
      <c r="BO341" t="s">
        <v>11</v>
      </c>
      <c r="BP341" t="str">
        <f t="shared" si="58"/>
        <v>NoData</v>
      </c>
      <c r="BQ341" t="str">
        <f t="shared" si="59"/>
        <v>NoData</v>
      </c>
      <c r="BR341">
        <v>51</v>
      </c>
      <c r="BS341" t="s">
        <v>11</v>
      </c>
      <c r="BT341">
        <v>23</v>
      </c>
      <c r="BU341" t="s">
        <v>11</v>
      </c>
    </row>
    <row r="342" spans="1:73" x14ac:dyDescent="0.25">
      <c r="A342" s="5">
        <v>36192</v>
      </c>
      <c r="B342">
        <v>1517</v>
      </c>
      <c r="C342" t="s">
        <v>11</v>
      </c>
      <c r="D342">
        <v>3</v>
      </c>
      <c r="E342" t="s">
        <v>11</v>
      </c>
      <c r="F342">
        <v>6626</v>
      </c>
      <c r="G342" t="s">
        <v>11</v>
      </c>
      <c r="H342">
        <v>1086</v>
      </c>
      <c r="I342">
        <v>1086</v>
      </c>
      <c r="J342">
        <v>1946</v>
      </c>
      <c r="K342" t="s">
        <v>11</v>
      </c>
      <c r="L342">
        <v>33470</v>
      </c>
      <c r="M342">
        <v>17888</v>
      </c>
      <c r="N342">
        <v>331</v>
      </c>
      <c r="O342">
        <v>331</v>
      </c>
      <c r="P342" t="s">
        <v>11</v>
      </c>
      <c r="Q342" t="s">
        <v>11</v>
      </c>
      <c r="R342" t="s">
        <v>11</v>
      </c>
      <c r="S342" t="s">
        <v>11</v>
      </c>
      <c r="T342" s="34">
        <v>56950</v>
      </c>
      <c r="U342" s="34">
        <v>25779</v>
      </c>
      <c r="V342" s="34">
        <v>2221</v>
      </c>
      <c r="W342">
        <v>2189</v>
      </c>
      <c r="X342">
        <v>3076</v>
      </c>
      <c r="Y342">
        <v>3045</v>
      </c>
      <c r="Z342">
        <v>2875</v>
      </c>
      <c r="AA342">
        <v>1061</v>
      </c>
      <c r="AB342">
        <v>23894</v>
      </c>
      <c r="AC342">
        <v>14679</v>
      </c>
      <c r="AD342">
        <v>1664</v>
      </c>
      <c r="AE342">
        <v>865</v>
      </c>
      <c r="AF342">
        <v>3269</v>
      </c>
      <c r="AG342">
        <v>2343</v>
      </c>
      <c r="AH342">
        <f t="shared" si="60"/>
        <v>1664</v>
      </c>
      <c r="AI342">
        <f t="shared" si="61"/>
        <v>865</v>
      </c>
      <c r="AJ342">
        <v>10562</v>
      </c>
      <c r="AK342">
        <v>5884</v>
      </c>
      <c r="AL342">
        <v>24696</v>
      </c>
      <c r="AM342">
        <v>12749</v>
      </c>
      <c r="AN342" s="22">
        <v>221</v>
      </c>
      <c r="AO342">
        <v>499</v>
      </c>
      <c r="AP342" t="s">
        <v>11</v>
      </c>
      <c r="AQ342" t="s">
        <v>11</v>
      </c>
      <c r="AR342">
        <v>121</v>
      </c>
      <c r="AS342" t="s">
        <v>11</v>
      </c>
      <c r="AT342" t="str">
        <f t="shared" si="54"/>
        <v>NoData</v>
      </c>
      <c r="AU342" t="str">
        <f t="shared" si="55"/>
        <v>NoData</v>
      </c>
      <c r="AV342">
        <v>0</v>
      </c>
      <c r="AW342" t="s">
        <v>11</v>
      </c>
      <c r="AX342">
        <v>4</v>
      </c>
      <c r="AY342" t="s">
        <v>11</v>
      </c>
      <c r="AZ342" t="str">
        <f t="shared" si="56"/>
        <v>NoData</v>
      </c>
      <c r="BA342" t="str">
        <f t="shared" si="57"/>
        <v>NoData</v>
      </c>
      <c r="BB342">
        <f t="shared" si="62"/>
        <v>221</v>
      </c>
      <c r="BC342">
        <f t="shared" si="63"/>
        <v>499</v>
      </c>
      <c r="BD342" t="s">
        <v>11</v>
      </c>
      <c r="BE342" t="s">
        <v>11</v>
      </c>
      <c r="BF342" t="s">
        <v>11</v>
      </c>
      <c r="BG342" t="s">
        <v>11</v>
      </c>
      <c r="BH342">
        <v>19</v>
      </c>
      <c r="BI342" t="s">
        <v>11</v>
      </c>
      <c r="BJ342">
        <v>28</v>
      </c>
      <c r="BK342" t="s">
        <v>11</v>
      </c>
      <c r="BL342" t="s">
        <v>11</v>
      </c>
      <c r="BM342" t="s">
        <v>11</v>
      </c>
      <c r="BN342">
        <v>32</v>
      </c>
      <c r="BO342" t="s">
        <v>11</v>
      </c>
      <c r="BP342" t="str">
        <f t="shared" si="58"/>
        <v>NoData</v>
      </c>
      <c r="BQ342" t="str">
        <f t="shared" si="59"/>
        <v>NoData</v>
      </c>
      <c r="BR342">
        <v>41</v>
      </c>
      <c r="BS342" t="s">
        <v>11</v>
      </c>
      <c r="BT342">
        <v>18</v>
      </c>
      <c r="BU342" t="s">
        <v>11</v>
      </c>
    </row>
    <row r="343" spans="1:73" x14ac:dyDescent="0.25">
      <c r="A343" s="5">
        <v>36220</v>
      </c>
      <c r="B343">
        <v>3577</v>
      </c>
      <c r="C343" t="s">
        <v>11</v>
      </c>
      <c r="D343">
        <v>19</v>
      </c>
      <c r="E343" t="s">
        <v>11</v>
      </c>
      <c r="F343">
        <v>7255</v>
      </c>
      <c r="G343" t="s">
        <v>11</v>
      </c>
      <c r="H343">
        <v>1504</v>
      </c>
      <c r="I343">
        <v>1504</v>
      </c>
      <c r="J343">
        <v>1927</v>
      </c>
      <c r="K343" t="s">
        <v>11</v>
      </c>
      <c r="L343">
        <v>58780</v>
      </c>
      <c r="M343">
        <v>37486</v>
      </c>
      <c r="N343">
        <v>479</v>
      </c>
      <c r="O343">
        <v>479</v>
      </c>
      <c r="P343" t="s">
        <v>11</v>
      </c>
      <c r="Q343" t="s">
        <v>11</v>
      </c>
      <c r="R343" t="s">
        <v>11</v>
      </c>
      <c r="S343" t="s">
        <v>11</v>
      </c>
      <c r="T343" s="34">
        <v>74980</v>
      </c>
      <c r="U343" s="34">
        <v>38220</v>
      </c>
      <c r="V343" s="34">
        <v>3575</v>
      </c>
      <c r="W343">
        <v>3539</v>
      </c>
      <c r="X343">
        <v>4108</v>
      </c>
      <c r="Y343">
        <v>4078</v>
      </c>
      <c r="Z343">
        <v>3983</v>
      </c>
      <c r="AA343">
        <v>1763</v>
      </c>
      <c r="AB343">
        <v>31959</v>
      </c>
      <c r="AC343">
        <v>21930</v>
      </c>
      <c r="AD343">
        <v>2425</v>
      </c>
      <c r="AE343">
        <v>1661</v>
      </c>
      <c r="AF343">
        <v>5697</v>
      </c>
      <c r="AG343">
        <v>4411</v>
      </c>
      <c r="AH343">
        <f t="shared" si="60"/>
        <v>2425</v>
      </c>
      <c r="AI343">
        <f t="shared" si="61"/>
        <v>1661</v>
      </c>
      <c r="AJ343">
        <v>17163</v>
      </c>
      <c r="AK343">
        <v>12537</v>
      </c>
      <c r="AL343">
        <v>37718</v>
      </c>
      <c r="AM343">
        <v>24907</v>
      </c>
      <c r="AN343" s="22">
        <v>309</v>
      </c>
      <c r="AO343">
        <v>785</v>
      </c>
      <c r="AP343" t="s">
        <v>11</v>
      </c>
      <c r="AQ343" t="s">
        <v>11</v>
      </c>
      <c r="AR343">
        <v>207</v>
      </c>
      <c r="AS343" t="s">
        <v>11</v>
      </c>
      <c r="AT343" t="str">
        <f t="shared" si="54"/>
        <v>NoData</v>
      </c>
      <c r="AU343" t="str">
        <f t="shared" si="55"/>
        <v>NoData</v>
      </c>
      <c r="AV343">
        <v>0</v>
      </c>
      <c r="AW343" t="s">
        <v>11</v>
      </c>
      <c r="AX343">
        <v>4</v>
      </c>
      <c r="AY343" t="s">
        <v>11</v>
      </c>
      <c r="AZ343" t="str">
        <f t="shared" si="56"/>
        <v>NoData</v>
      </c>
      <c r="BA343" t="str">
        <f t="shared" si="57"/>
        <v>NoData</v>
      </c>
      <c r="BB343">
        <f t="shared" si="62"/>
        <v>309</v>
      </c>
      <c r="BC343">
        <f t="shared" si="63"/>
        <v>785</v>
      </c>
      <c r="BD343" t="s">
        <v>11</v>
      </c>
      <c r="BE343" t="s">
        <v>11</v>
      </c>
      <c r="BF343" t="s">
        <v>11</v>
      </c>
      <c r="BG343" t="s">
        <v>11</v>
      </c>
      <c r="BH343">
        <v>28</v>
      </c>
      <c r="BI343" t="s">
        <v>11</v>
      </c>
      <c r="BJ343">
        <v>48</v>
      </c>
      <c r="BK343" t="s">
        <v>11</v>
      </c>
      <c r="BL343" t="s">
        <v>11</v>
      </c>
      <c r="BM343" t="s">
        <v>11</v>
      </c>
      <c r="BN343">
        <v>40</v>
      </c>
      <c r="BO343" t="s">
        <v>11</v>
      </c>
      <c r="BP343" t="str">
        <f t="shared" si="58"/>
        <v>NoData</v>
      </c>
      <c r="BQ343" t="str">
        <f t="shared" si="59"/>
        <v>NoData</v>
      </c>
      <c r="BR343">
        <v>69</v>
      </c>
      <c r="BS343" t="s">
        <v>11</v>
      </c>
      <c r="BT343">
        <v>31</v>
      </c>
      <c r="BU343" t="s">
        <v>11</v>
      </c>
    </row>
    <row r="344" spans="1:73" x14ac:dyDescent="0.25">
      <c r="A344" s="5">
        <v>36251</v>
      </c>
      <c r="B344">
        <v>2934</v>
      </c>
      <c r="C344" t="s">
        <v>11</v>
      </c>
      <c r="D344">
        <v>25</v>
      </c>
      <c r="E344" t="s">
        <v>11</v>
      </c>
      <c r="F344">
        <v>5321</v>
      </c>
      <c r="G344" t="s">
        <v>11</v>
      </c>
      <c r="H344">
        <v>2607</v>
      </c>
      <c r="I344">
        <v>2607</v>
      </c>
      <c r="J344">
        <v>1899</v>
      </c>
      <c r="K344" t="s">
        <v>11</v>
      </c>
      <c r="L344">
        <v>50490</v>
      </c>
      <c r="M344">
        <v>29285</v>
      </c>
      <c r="N344">
        <v>536</v>
      </c>
      <c r="O344">
        <v>536</v>
      </c>
      <c r="P344" t="s">
        <v>11</v>
      </c>
      <c r="Q344" t="s">
        <v>11</v>
      </c>
      <c r="R344" t="s">
        <v>11</v>
      </c>
      <c r="S344" t="s">
        <v>11</v>
      </c>
      <c r="T344" s="34">
        <v>75720</v>
      </c>
      <c r="U344" s="34">
        <v>39615</v>
      </c>
      <c r="V344" s="34">
        <v>3493</v>
      </c>
      <c r="W344">
        <v>3487</v>
      </c>
      <c r="X344">
        <v>5189</v>
      </c>
      <c r="Y344">
        <v>5183</v>
      </c>
      <c r="Z344">
        <v>4336</v>
      </c>
      <c r="AA344">
        <v>1852</v>
      </c>
      <c r="AB344">
        <v>35874</v>
      </c>
      <c r="AC344">
        <v>26093</v>
      </c>
      <c r="AD344">
        <v>2261</v>
      </c>
      <c r="AE344">
        <v>1451</v>
      </c>
      <c r="AF344">
        <v>5950</v>
      </c>
      <c r="AG344">
        <v>4514</v>
      </c>
      <c r="AH344">
        <f t="shared" si="60"/>
        <v>2261</v>
      </c>
      <c r="AI344">
        <f t="shared" si="61"/>
        <v>1451</v>
      </c>
      <c r="AJ344">
        <v>16605</v>
      </c>
      <c r="AK344">
        <v>11612</v>
      </c>
      <c r="AL344">
        <v>30258</v>
      </c>
      <c r="AM344">
        <v>18645</v>
      </c>
      <c r="AN344" s="22">
        <v>268</v>
      </c>
      <c r="AO344">
        <v>786</v>
      </c>
      <c r="AP344" t="s">
        <v>11</v>
      </c>
      <c r="AQ344" t="s">
        <v>11</v>
      </c>
      <c r="AR344">
        <v>224</v>
      </c>
      <c r="AS344" t="s">
        <v>11</v>
      </c>
      <c r="AT344" t="str">
        <f t="shared" si="54"/>
        <v>NoData</v>
      </c>
      <c r="AU344" t="str">
        <f t="shared" si="55"/>
        <v>NoData</v>
      </c>
      <c r="AV344">
        <v>0</v>
      </c>
      <c r="AW344" t="s">
        <v>11</v>
      </c>
      <c r="AX344">
        <v>4</v>
      </c>
      <c r="AY344" t="s">
        <v>11</v>
      </c>
      <c r="AZ344" t="str">
        <f t="shared" si="56"/>
        <v>NoData</v>
      </c>
      <c r="BA344" t="str">
        <f t="shared" si="57"/>
        <v>NoData</v>
      </c>
      <c r="BB344">
        <f t="shared" si="62"/>
        <v>268</v>
      </c>
      <c r="BC344">
        <f t="shared" si="63"/>
        <v>786</v>
      </c>
      <c r="BD344" t="s">
        <v>11</v>
      </c>
      <c r="BE344" t="s">
        <v>11</v>
      </c>
      <c r="BF344" t="s">
        <v>11</v>
      </c>
      <c r="BG344" t="s">
        <v>11</v>
      </c>
      <c r="BH344">
        <v>38</v>
      </c>
      <c r="BI344" t="s">
        <v>11</v>
      </c>
      <c r="BJ344">
        <v>52</v>
      </c>
      <c r="BK344" t="s">
        <v>11</v>
      </c>
      <c r="BL344" t="s">
        <v>11</v>
      </c>
      <c r="BM344" t="s">
        <v>11</v>
      </c>
      <c r="BN344">
        <v>0</v>
      </c>
      <c r="BO344" t="s">
        <v>11</v>
      </c>
      <c r="BP344" t="str">
        <f t="shared" si="58"/>
        <v>NoData</v>
      </c>
      <c r="BQ344" t="str">
        <f t="shared" si="59"/>
        <v>NoData</v>
      </c>
      <c r="BR344">
        <v>75</v>
      </c>
      <c r="BS344" t="s">
        <v>11</v>
      </c>
      <c r="BT344">
        <v>34</v>
      </c>
      <c r="BU344" t="s">
        <v>11</v>
      </c>
    </row>
    <row r="345" spans="1:73" x14ac:dyDescent="0.25">
      <c r="A345" s="5">
        <v>36281</v>
      </c>
      <c r="B345">
        <v>3322</v>
      </c>
      <c r="C345" t="s">
        <v>11</v>
      </c>
      <c r="D345">
        <v>25</v>
      </c>
      <c r="E345" t="s">
        <v>11</v>
      </c>
      <c r="F345">
        <v>7306</v>
      </c>
      <c r="G345" t="s">
        <v>11</v>
      </c>
      <c r="H345">
        <v>2213</v>
      </c>
      <c r="I345">
        <v>2213</v>
      </c>
      <c r="J345">
        <v>3059</v>
      </c>
      <c r="K345" t="s">
        <v>11</v>
      </c>
      <c r="L345">
        <v>68400</v>
      </c>
      <c r="M345">
        <v>43355</v>
      </c>
      <c r="N345">
        <v>550</v>
      </c>
      <c r="O345">
        <v>550</v>
      </c>
      <c r="P345" t="s">
        <v>11</v>
      </c>
      <c r="Q345" t="s">
        <v>11</v>
      </c>
      <c r="R345" t="s">
        <v>11</v>
      </c>
      <c r="S345" t="s">
        <v>11</v>
      </c>
      <c r="T345" s="34">
        <v>101700</v>
      </c>
      <c r="U345" s="34">
        <v>61708</v>
      </c>
      <c r="V345" s="34">
        <v>3973</v>
      </c>
      <c r="W345">
        <v>3958</v>
      </c>
      <c r="X345">
        <v>6592</v>
      </c>
      <c r="Y345">
        <v>6576</v>
      </c>
      <c r="Z345">
        <v>5634</v>
      </c>
      <c r="AA345">
        <v>2637</v>
      </c>
      <c r="AB345">
        <v>42128</v>
      </c>
      <c r="AC345">
        <v>30343</v>
      </c>
      <c r="AD345">
        <v>2880</v>
      </c>
      <c r="AE345">
        <v>2207</v>
      </c>
      <c r="AF345">
        <v>7295</v>
      </c>
      <c r="AG345">
        <v>6301</v>
      </c>
      <c r="AH345">
        <f t="shared" si="60"/>
        <v>2880</v>
      </c>
      <c r="AI345">
        <f t="shared" si="61"/>
        <v>2207</v>
      </c>
      <c r="AJ345">
        <v>22972</v>
      </c>
      <c r="AK345">
        <v>19052</v>
      </c>
      <c r="AL345">
        <v>47815</v>
      </c>
      <c r="AM345">
        <v>40114</v>
      </c>
      <c r="AN345" s="22">
        <v>245</v>
      </c>
      <c r="AO345">
        <v>877</v>
      </c>
      <c r="AP345" t="s">
        <v>11</v>
      </c>
      <c r="AQ345" t="s">
        <v>11</v>
      </c>
      <c r="AR345">
        <v>273</v>
      </c>
      <c r="AS345" t="s">
        <v>11</v>
      </c>
      <c r="AT345" t="str">
        <f t="shared" si="54"/>
        <v>NoData</v>
      </c>
      <c r="AU345" t="str">
        <f t="shared" si="55"/>
        <v>NoData</v>
      </c>
      <c r="AV345">
        <v>0</v>
      </c>
      <c r="AW345" t="s">
        <v>11</v>
      </c>
      <c r="AX345">
        <v>4</v>
      </c>
      <c r="AY345" t="s">
        <v>11</v>
      </c>
      <c r="AZ345" t="str">
        <f t="shared" si="56"/>
        <v>NoData</v>
      </c>
      <c r="BA345" t="str">
        <f t="shared" si="57"/>
        <v>NoData</v>
      </c>
      <c r="BB345">
        <f t="shared" si="62"/>
        <v>245</v>
      </c>
      <c r="BC345">
        <f t="shared" si="63"/>
        <v>877</v>
      </c>
      <c r="BD345" t="s">
        <v>11</v>
      </c>
      <c r="BE345" t="s">
        <v>11</v>
      </c>
      <c r="BF345" t="s">
        <v>11</v>
      </c>
      <c r="BG345" t="s">
        <v>11</v>
      </c>
      <c r="BH345">
        <v>28</v>
      </c>
      <c r="BI345" t="s">
        <v>11</v>
      </c>
      <c r="BJ345">
        <v>64</v>
      </c>
      <c r="BK345" t="s">
        <v>11</v>
      </c>
      <c r="BL345" t="s">
        <v>11</v>
      </c>
      <c r="BM345" t="s">
        <v>11</v>
      </c>
      <c r="BN345">
        <v>40</v>
      </c>
      <c r="BO345" t="s">
        <v>11</v>
      </c>
      <c r="BP345" t="str">
        <f t="shared" si="58"/>
        <v>NoData</v>
      </c>
      <c r="BQ345" t="str">
        <f t="shared" si="59"/>
        <v>NoData</v>
      </c>
      <c r="BR345">
        <v>92</v>
      </c>
      <c r="BS345" t="s">
        <v>11</v>
      </c>
      <c r="BT345">
        <v>41</v>
      </c>
      <c r="BU345" t="s">
        <v>11</v>
      </c>
    </row>
    <row r="346" spans="1:73" x14ac:dyDescent="0.25">
      <c r="A346" s="5">
        <v>36312</v>
      </c>
      <c r="B346">
        <v>4648</v>
      </c>
      <c r="C346" t="s">
        <v>11</v>
      </c>
      <c r="D346">
        <v>20</v>
      </c>
      <c r="E346" t="s">
        <v>11</v>
      </c>
      <c r="F346">
        <v>8932</v>
      </c>
      <c r="G346" t="s">
        <v>11</v>
      </c>
      <c r="H346">
        <v>2637</v>
      </c>
      <c r="I346">
        <v>2637</v>
      </c>
      <c r="J346">
        <v>3614</v>
      </c>
      <c r="K346" t="s">
        <v>11</v>
      </c>
      <c r="L346">
        <v>68930</v>
      </c>
      <c r="M346">
        <v>46102</v>
      </c>
      <c r="N346">
        <v>970</v>
      </c>
      <c r="O346">
        <v>970</v>
      </c>
      <c r="P346" t="s">
        <v>11</v>
      </c>
      <c r="Q346" t="s">
        <v>11</v>
      </c>
      <c r="R346" t="s">
        <v>11</v>
      </c>
      <c r="S346" t="s">
        <v>11</v>
      </c>
      <c r="T346" s="34">
        <v>103800</v>
      </c>
      <c r="U346" s="34">
        <v>62873</v>
      </c>
      <c r="V346" s="34">
        <v>1122</v>
      </c>
      <c r="W346">
        <v>1116</v>
      </c>
      <c r="X346">
        <v>6041</v>
      </c>
      <c r="Y346">
        <v>6021</v>
      </c>
      <c r="Z346">
        <v>5575</v>
      </c>
      <c r="AA346">
        <v>2801</v>
      </c>
      <c r="AB346">
        <v>28381</v>
      </c>
      <c r="AC346">
        <v>18739</v>
      </c>
      <c r="AD346">
        <v>3718</v>
      </c>
      <c r="AE346">
        <v>3027</v>
      </c>
      <c r="AF346">
        <v>5780</v>
      </c>
      <c r="AG346">
        <v>5018</v>
      </c>
      <c r="AH346">
        <f t="shared" si="60"/>
        <v>3718</v>
      </c>
      <c r="AI346">
        <f t="shared" si="61"/>
        <v>3027</v>
      </c>
      <c r="AJ346">
        <v>25935</v>
      </c>
      <c r="AK346">
        <v>21956</v>
      </c>
      <c r="AL346">
        <v>46626</v>
      </c>
      <c r="AM346">
        <v>38499</v>
      </c>
      <c r="AN346" s="22">
        <v>361</v>
      </c>
      <c r="AO346">
        <v>1129</v>
      </c>
      <c r="AP346" t="s">
        <v>11</v>
      </c>
      <c r="AQ346" t="s">
        <v>11</v>
      </c>
      <c r="AR346">
        <v>332</v>
      </c>
      <c r="AS346" t="s">
        <v>11</v>
      </c>
      <c r="AT346" t="str">
        <f t="shared" si="54"/>
        <v>NoData</v>
      </c>
      <c r="AU346" t="str">
        <f t="shared" si="55"/>
        <v>NoData</v>
      </c>
      <c r="AV346">
        <v>0</v>
      </c>
      <c r="AW346" t="s">
        <v>11</v>
      </c>
      <c r="AX346">
        <v>4</v>
      </c>
      <c r="AY346" t="s">
        <v>11</v>
      </c>
      <c r="AZ346" t="str">
        <f t="shared" si="56"/>
        <v>NoData</v>
      </c>
      <c r="BA346" t="str">
        <f t="shared" si="57"/>
        <v>NoData</v>
      </c>
      <c r="BB346">
        <f t="shared" si="62"/>
        <v>361</v>
      </c>
      <c r="BC346">
        <f t="shared" si="63"/>
        <v>1129</v>
      </c>
      <c r="BD346" t="s">
        <v>11</v>
      </c>
      <c r="BE346" t="s">
        <v>11</v>
      </c>
      <c r="BF346" t="s">
        <v>11</v>
      </c>
      <c r="BG346" t="s">
        <v>11</v>
      </c>
      <c r="BH346">
        <v>39</v>
      </c>
      <c r="BI346" t="s">
        <v>11</v>
      </c>
      <c r="BJ346">
        <v>77</v>
      </c>
      <c r="BK346" t="s">
        <v>11</v>
      </c>
      <c r="BL346" t="s">
        <v>11</v>
      </c>
      <c r="BM346" t="s">
        <v>11</v>
      </c>
      <c r="BN346">
        <v>25</v>
      </c>
      <c r="BO346" t="s">
        <v>11</v>
      </c>
      <c r="BP346" t="str">
        <f t="shared" si="58"/>
        <v>NoData</v>
      </c>
      <c r="BQ346" t="str">
        <f t="shared" si="59"/>
        <v>NoData</v>
      </c>
      <c r="BR346">
        <v>111</v>
      </c>
      <c r="BS346" t="s">
        <v>11</v>
      </c>
      <c r="BT346">
        <v>50</v>
      </c>
      <c r="BU346" t="s">
        <v>11</v>
      </c>
    </row>
    <row r="347" spans="1:73" x14ac:dyDescent="0.25">
      <c r="A347" s="5">
        <v>36342</v>
      </c>
      <c r="B347">
        <v>4102</v>
      </c>
      <c r="C347" t="s">
        <v>11</v>
      </c>
      <c r="D347">
        <v>42</v>
      </c>
      <c r="E347" t="s">
        <v>11</v>
      </c>
      <c r="F347">
        <v>9653</v>
      </c>
      <c r="G347" t="s">
        <v>11</v>
      </c>
      <c r="H347">
        <v>2820</v>
      </c>
      <c r="I347">
        <v>2820</v>
      </c>
      <c r="J347">
        <v>4031</v>
      </c>
      <c r="K347" t="s">
        <v>11</v>
      </c>
      <c r="L347">
        <v>65880</v>
      </c>
      <c r="M347">
        <v>42239</v>
      </c>
      <c r="N347">
        <v>753</v>
      </c>
      <c r="O347">
        <v>753</v>
      </c>
      <c r="P347" t="s">
        <v>11</v>
      </c>
      <c r="Q347" t="s">
        <v>11</v>
      </c>
      <c r="R347" t="s">
        <v>11</v>
      </c>
      <c r="S347" t="s">
        <v>11</v>
      </c>
      <c r="T347" s="34">
        <v>108900</v>
      </c>
      <c r="U347" s="34">
        <v>66549</v>
      </c>
      <c r="V347" s="34">
        <v>1492</v>
      </c>
      <c r="W347">
        <v>1485</v>
      </c>
      <c r="X347">
        <v>4045</v>
      </c>
      <c r="Y347">
        <v>4031</v>
      </c>
      <c r="Z347">
        <v>3545</v>
      </c>
      <c r="AA347">
        <v>1642</v>
      </c>
      <c r="AB347">
        <v>29785</v>
      </c>
      <c r="AC347">
        <v>20343</v>
      </c>
      <c r="AD347">
        <v>3565</v>
      </c>
      <c r="AE347">
        <v>3131</v>
      </c>
      <c r="AF347">
        <v>4991</v>
      </c>
      <c r="AG347">
        <v>4633</v>
      </c>
      <c r="AH347">
        <f t="shared" si="60"/>
        <v>3565</v>
      </c>
      <c r="AI347">
        <f t="shared" si="61"/>
        <v>3131</v>
      </c>
      <c r="AJ347">
        <v>26110</v>
      </c>
      <c r="AK347">
        <v>23990</v>
      </c>
      <c r="AL347">
        <v>36737</v>
      </c>
      <c r="AM347">
        <v>30651</v>
      </c>
      <c r="AN347" s="22">
        <v>277</v>
      </c>
      <c r="AO347">
        <v>1117</v>
      </c>
      <c r="AP347" t="s">
        <v>11</v>
      </c>
      <c r="AQ347" t="s">
        <v>11</v>
      </c>
      <c r="AR347">
        <v>362</v>
      </c>
      <c r="AS347" t="s">
        <v>11</v>
      </c>
      <c r="AT347" t="str">
        <f t="shared" si="54"/>
        <v>NoData</v>
      </c>
      <c r="AU347" t="str">
        <f t="shared" si="55"/>
        <v>NoData</v>
      </c>
      <c r="AV347">
        <v>0</v>
      </c>
      <c r="AW347" t="s">
        <v>11</v>
      </c>
      <c r="AX347">
        <v>4</v>
      </c>
      <c r="AY347" t="s">
        <v>11</v>
      </c>
      <c r="AZ347" t="str">
        <f t="shared" si="56"/>
        <v>NoData</v>
      </c>
      <c r="BA347" t="str">
        <f t="shared" si="57"/>
        <v>NoData</v>
      </c>
      <c r="BB347">
        <f t="shared" si="62"/>
        <v>277</v>
      </c>
      <c r="BC347">
        <f t="shared" si="63"/>
        <v>1117</v>
      </c>
      <c r="BD347" t="s">
        <v>11</v>
      </c>
      <c r="BE347" t="s">
        <v>11</v>
      </c>
      <c r="BF347" t="s">
        <v>11</v>
      </c>
      <c r="BG347" t="s">
        <v>11</v>
      </c>
      <c r="BH347">
        <v>40</v>
      </c>
      <c r="BI347" t="s">
        <v>11</v>
      </c>
      <c r="BJ347">
        <v>84</v>
      </c>
      <c r="BK347" t="s">
        <v>11</v>
      </c>
      <c r="BL347" t="s">
        <v>11</v>
      </c>
      <c r="BM347" t="s">
        <v>11</v>
      </c>
      <c r="BN347">
        <v>65</v>
      </c>
      <c r="BO347" t="s">
        <v>11</v>
      </c>
      <c r="BP347" t="str">
        <f t="shared" si="58"/>
        <v>NoData</v>
      </c>
      <c r="BQ347" t="str">
        <f t="shared" si="59"/>
        <v>NoData</v>
      </c>
      <c r="BR347">
        <v>122</v>
      </c>
      <c r="BS347" t="s">
        <v>11</v>
      </c>
      <c r="BT347">
        <v>54</v>
      </c>
      <c r="BU347" t="s">
        <v>11</v>
      </c>
    </row>
    <row r="348" spans="1:73" x14ac:dyDescent="0.25">
      <c r="A348" s="5">
        <v>36373</v>
      </c>
      <c r="B348">
        <v>5036</v>
      </c>
      <c r="C348" t="s">
        <v>11</v>
      </c>
      <c r="D348">
        <v>32</v>
      </c>
      <c r="E348" t="s">
        <v>11</v>
      </c>
      <c r="F348">
        <v>10493</v>
      </c>
      <c r="G348" t="s">
        <v>11</v>
      </c>
      <c r="H348">
        <v>2289</v>
      </c>
      <c r="I348">
        <v>2289</v>
      </c>
      <c r="J348">
        <v>3559</v>
      </c>
      <c r="K348" t="s">
        <v>11</v>
      </c>
      <c r="L348">
        <v>67710</v>
      </c>
      <c r="M348">
        <v>46132</v>
      </c>
      <c r="N348">
        <v>966</v>
      </c>
      <c r="O348">
        <v>966</v>
      </c>
      <c r="P348" t="s">
        <v>11</v>
      </c>
      <c r="Q348" t="s">
        <v>11</v>
      </c>
      <c r="R348" t="s">
        <v>11</v>
      </c>
      <c r="S348" t="s">
        <v>11</v>
      </c>
      <c r="T348" s="34">
        <v>110500</v>
      </c>
      <c r="U348" s="34">
        <v>65652</v>
      </c>
      <c r="V348" s="34">
        <v>2178</v>
      </c>
      <c r="W348">
        <v>2167</v>
      </c>
      <c r="X348">
        <v>3443</v>
      </c>
      <c r="Y348">
        <v>3432</v>
      </c>
      <c r="Z348">
        <v>2233</v>
      </c>
      <c r="AA348">
        <v>785</v>
      </c>
      <c r="AB348">
        <v>26456</v>
      </c>
      <c r="AC348">
        <v>17505</v>
      </c>
      <c r="AD348">
        <v>3682</v>
      </c>
      <c r="AE348">
        <v>2872</v>
      </c>
      <c r="AF348">
        <v>4299</v>
      </c>
      <c r="AG348">
        <v>3486</v>
      </c>
      <c r="AH348">
        <f t="shared" si="60"/>
        <v>3682</v>
      </c>
      <c r="AI348">
        <f t="shared" si="61"/>
        <v>2872</v>
      </c>
      <c r="AJ348">
        <v>28948</v>
      </c>
      <c r="AK348">
        <v>23254</v>
      </c>
      <c r="AL348">
        <v>33061</v>
      </c>
      <c r="AM348">
        <v>24379</v>
      </c>
      <c r="AN348" s="22">
        <v>638</v>
      </c>
      <c r="AO348">
        <v>1447</v>
      </c>
      <c r="AP348" t="s">
        <v>11</v>
      </c>
      <c r="AQ348" t="s">
        <v>11</v>
      </c>
      <c r="AR348">
        <v>348</v>
      </c>
      <c r="AS348" t="s">
        <v>11</v>
      </c>
      <c r="AT348" t="str">
        <f t="shared" si="54"/>
        <v>NoData</v>
      </c>
      <c r="AU348" t="str">
        <f t="shared" si="55"/>
        <v>NoData</v>
      </c>
      <c r="AV348">
        <v>0</v>
      </c>
      <c r="AW348" t="s">
        <v>11</v>
      </c>
      <c r="AX348">
        <v>4</v>
      </c>
      <c r="AY348" t="s">
        <v>11</v>
      </c>
      <c r="AZ348" t="str">
        <f t="shared" si="56"/>
        <v>NoData</v>
      </c>
      <c r="BA348" t="str">
        <f t="shared" si="57"/>
        <v>NoData</v>
      </c>
      <c r="BB348">
        <f t="shared" si="62"/>
        <v>638</v>
      </c>
      <c r="BC348">
        <f t="shared" si="63"/>
        <v>1447</v>
      </c>
      <c r="BD348" t="s">
        <v>11</v>
      </c>
      <c r="BE348" t="s">
        <v>11</v>
      </c>
      <c r="BF348" t="s">
        <v>11</v>
      </c>
      <c r="BG348" t="s">
        <v>11</v>
      </c>
      <c r="BH348">
        <v>2</v>
      </c>
      <c r="BI348" t="s">
        <v>11</v>
      </c>
      <c r="BJ348">
        <v>81</v>
      </c>
      <c r="BK348" t="s">
        <v>11</v>
      </c>
      <c r="BL348" t="s">
        <v>11</v>
      </c>
      <c r="BM348" t="s">
        <v>11</v>
      </c>
      <c r="BN348">
        <v>109</v>
      </c>
      <c r="BO348" t="s">
        <v>11</v>
      </c>
      <c r="BP348" t="str">
        <f t="shared" si="58"/>
        <v>NoData</v>
      </c>
      <c r="BQ348" t="str">
        <f t="shared" si="59"/>
        <v>NoData</v>
      </c>
      <c r="BR348">
        <v>117</v>
      </c>
      <c r="BS348" t="s">
        <v>11</v>
      </c>
      <c r="BT348">
        <v>52</v>
      </c>
      <c r="BU348" t="s">
        <v>11</v>
      </c>
    </row>
    <row r="349" spans="1:73" x14ac:dyDescent="0.25">
      <c r="A349" s="5">
        <v>36404</v>
      </c>
      <c r="B349">
        <v>2815</v>
      </c>
      <c r="C349" t="s">
        <v>11</v>
      </c>
      <c r="D349">
        <v>29</v>
      </c>
      <c r="E349" t="s">
        <v>11</v>
      </c>
      <c r="F349">
        <v>8458</v>
      </c>
      <c r="G349" t="s">
        <v>11</v>
      </c>
      <c r="H349">
        <v>2385</v>
      </c>
      <c r="I349">
        <v>2385</v>
      </c>
      <c r="J349">
        <v>2869</v>
      </c>
      <c r="K349" t="s">
        <v>11</v>
      </c>
      <c r="L349">
        <v>46780</v>
      </c>
      <c r="M349">
        <v>25392</v>
      </c>
      <c r="N349">
        <v>414</v>
      </c>
      <c r="O349">
        <v>414</v>
      </c>
      <c r="P349" t="s">
        <v>11</v>
      </c>
      <c r="Q349" t="s">
        <v>11</v>
      </c>
      <c r="R349" t="s">
        <v>11</v>
      </c>
      <c r="S349" t="s">
        <v>11</v>
      </c>
      <c r="T349" s="34">
        <v>83490</v>
      </c>
      <c r="U349" s="34">
        <v>40800</v>
      </c>
      <c r="V349" s="34">
        <v>1549</v>
      </c>
      <c r="W349">
        <v>1540</v>
      </c>
      <c r="X349">
        <v>3134</v>
      </c>
      <c r="Y349">
        <v>3119</v>
      </c>
      <c r="Z349">
        <v>3274</v>
      </c>
      <c r="AA349">
        <v>1150</v>
      </c>
      <c r="AB349">
        <v>31643</v>
      </c>
      <c r="AC349">
        <v>20844</v>
      </c>
      <c r="AD349">
        <v>3050</v>
      </c>
      <c r="AE349">
        <v>2364</v>
      </c>
      <c r="AF349">
        <v>5829</v>
      </c>
      <c r="AG349">
        <v>4485</v>
      </c>
      <c r="AH349">
        <f t="shared" si="60"/>
        <v>3050</v>
      </c>
      <c r="AI349">
        <f t="shared" si="61"/>
        <v>2364</v>
      </c>
      <c r="AJ349">
        <v>23384</v>
      </c>
      <c r="AK349">
        <v>18960</v>
      </c>
      <c r="AL349">
        <v>34083</v>
      </c>
      <c r="AM349">
        <v>25938</v>
      </c>
      <c r="AN349" s="22">
        <v>687</v>
      </c>
      <c r="AO349">
        <v>1326</v>
      </c>
      <c r="AP349" t="s">
        <v>11</v>
      </c>
      <c r="AQ349" t="s">
        <v>11</v>
      </c>
      <c r="AR349">
        <v>273</v>
      </c>
      <c r="AS349" t="s">
        <v>11</v>
      </c>
      <c r="AT349" t="str">
        <f t="shared" si="54"/>
        <v>NoData</v>
      </c>
      <c r="AU349" t="str">
        <f t="shared" si="55"/>
        <v>NoData</v>
      </c>
      <c r="AV349">
        <v>0</v>
      </c>
      <c r="AW349" t="s">
        <v>11</v>
      </c>
      <c r="AX349">
        <v>4</v>
      </c>
      <c r="AY349" t="s">
        <v>11</v>
      </c>
      <c r="AZ349" t="str">
        <f t="shared" si="56"/>
        <v>NoData</v>
      </c>
      <c r="BA349" t="str">
        <f t="shared" si="57"/>
        <v>NoData</v>
      </c>
      <c r="BB349">
        <f t="shared" si="62"/>
        <v>687</v>
      </c>
      <c r="BC349">
        <f t="shared" si="63"/>
        <v>1326</v>
      </c>
      <c r="BD349" t="s">
        <v>11</v>
      </c>
      <c r="BE349" t="s">
        <v>11</v>
      </c>
      <c r="BF349" t="s">
        <v>11</v>
      </c>
      <c r="BG349" t="s">
        <v>11</v>
      </c>
      <c r="BH349">
        <v>0</v>
      </c>
      <c r="BI349" t="s">
        <v>11</v>
      </c>
      <c r="BJ349">
        <v>64</v>
      </c>
      <c r="BK349" t="s">
        <v>11</v>
      </c>
      <c r="BL349" t="s">
        <v>11</v>
      </c>
      <c r="BM349" t="s">
        <v>11</v>
      </c>
      <c r="BN349">
        <v>98</v>
      </c>
      <c r="BO349" t="s">
        <v>11</v>
      </c>
      <c r="BP349" t="str">
        <f t="shared" si="58"/>
        <v>NoData</v>
      </c>
      <c r="BQ349" t="str">
        <f t="shared" si="59"/>
        <v>NoData</v>
      </c>
      <c r="BR349">
        <v>92</v>
      </c>
      <c r="BS349" t="s">
        <v>11</v>
      </c>
      <c r="BT349">
        <v>41</v>
      </c>
      <c r="BU349" t="s">
        <v>11</v>
      </c>
    </row>
    <row r="350" spans="1:73" x14ac:dyDescent="0.25">
      <c r="A350" s="5">
        <v>36434</v>
      </c>
      <c r="B350">
        <v>2429</v>
      </c>
      <c r="C350" t="s">
        <v>11</v>
      </c>
      <c r="D350">
        <v>26</v>
      </c>
      <c r="E350" t="s">
        <v>11</v>
      </c>
      <c r="F350">
        <v>5668</v>
      </c>
      <c r="G350" t="s">
        <v>11</v>
      </c>
      <c r="H350">
        <v>1130</v>
      </c>
      <c r="I350">
        <v>1130</v>
      </c>
      <c r="J350">
        <v>1491</v>
      </c>
      <c r="K350" t="s">
        <v>11</v>
      </c>
      <c r="L350">
        <v>42210</v>
      </c>
      <c r="M350">
        <v>22197</v>
      </c>
      <c r="N350">
        <v>328</v>
      </c>
      <c r="O350">
        <v>328</v>
      </c>
      <c r="P350" t="s">
        <v>11</v>
      </c>
      <c r="Q350" t="s">
        <v>11</v>
      </c>
      <c r="R350" t="s">
        <v>11</v>
      </c>
      <c r="S350" t="s">
        <v>11</v>
      </c>
      <c r="T350" s="34">
        <v>70250</v>
      </c>
      <c r="U350" s="34">
        <v>26928</v>
      </c>
      <c r="V350" s="34">
        <v>3367</v>
      </c>
      <c r="W350">
        <v>3363</v>
      </c>
      <c r="X350">
        <v>4998</v>
      </c>
      <c r="Y350">
        <v>4995</v>
      </c>
      <c r="Z350">
        <v>3949</v>
      </c>
      <c r="AA350">
        <v>1622</v>
      </c>
      <c r="AB350">
        <v>44635</v>
      </c>
      <c r="AC350">
        <v>31138</v>
      </c>
      <c r="AD350">
        <v>2048</v>
      </c>
      <c r="AE350">
        <v>1561</v>
      </c>
      <c r="AF350">
        <v>7193</v>
      </c>
      <c r="AG350">
        <v>5856</v>
      </c>
      <c r="AH350">
        <f t="shared" si="60"/>
        <v>2048</v>
      </c>
      <c r="AI350">
        <f t="shared" si="61"/>
        <v>1561</v>
      </c>
      <c r="AJ350">
        <v>15743</v>
      </c>
      <c r="AK350">
        <v>12779</v>
      </c>
      <c r="AL350">
        <v>30148</v>
      </c>
      <c r="AM350">
        <v>19946</v>
      </c>
      <c r="AN350" s="22">
        <v>961</v>
      </c>
      <c r="AO350">
        <v>1504</v>
      </c>
      <c r="AP350" t="s">
        <v>11</v>
      </c>
      <c r="AQ350" t="s">
        <v>11</v>
      </c>
      <c r="AR350">
        <v>229</v>
      </c>
      <c r="AS350" t="s">
        <v>11</v>
      </c>
      <c r="AT350" t="str">
        <f t="shared" si="54"/>
        <v>NoData</v>
      </c>
      <c r="AU350" t="str">
        <f t="shared" si="55"/>
        <v>NoData</v>
      </c>
      <c r="AV350">
        <v>0</v>
      </c>
      <c r="AW350" t="s">
        <v>11</v>
      </c>
      <c r="AX350">
        <v>4</v>
      </c>
      <c r="AY350" t="s">
        <v>11</v>
      </c>
      <c r="AZ350" t="str">
        <f t="shared" si="56"/>
        <v>NoData</v>
      </c>
      <c r="BA350" t="str">
        <f t="shared" si="57"/>
        <v>NoData</v>
      </c>
      <c r="BB350">
        <f t="shared" si="62"/>
        <v>961</v>
      </c>
      <c r="BC350">
        <f t="shared" si="63"/>
        <v>1504</v>
      </c>
      <c r="BD350" t="s">
        <v>11</v>
      </c>
      <c r="BE350" t="s">
        <v>11</v>
      </c>
      <c r="BF350" t="s">
        <v>11</v>
      </c>
      <c r="BG350" t="s">
        <v>11</v>
      </c>
      <c r="BH350">
        <v>44</v>
      </c>
      <c r="BI350" t="s">
        <v>11</v>
      </c>
      <c r="BJ350">
        <v>53</v>
      </c>
      <c r="BK350" t="s">
        <v>11</v>
      </c>
      <c r="BL350" t="s">
        <v>11</v>
      </c>
      <c r="BM350" t="s">
        <v>11</v>
      </c>
      <c r="BN350">
        <v>0</v>
      </c>
      <c r="BO350" t="s">
        <v>11</v>
      </c>
      <c r="BP350" t="str">
        <f t="shared" si="58"/>
        <v>NoData</v>
      </c>
      <c r="BQ350" t="str">
        <f t="shared" si="59"/>
        <v>NoData</v>
      </c>
      <c r="BR350">
        <v>77</v>
      </c>
      <c r="BS350" t="s">
        <v>11</v>
      </c>
      <c r="BT350">
        <v>34</v>
      </c>
      <c r="BU350" t="s">
        <v>11</v>
      </c>
    </row>
    <row r="351" spans="1:73" x14ac:dyDescent="0.25">
      <c r="A351" s="5">
        <v>36465</v>
      </c>
      <c r="B351">
        <v>1789</v>
      </c>
      <c r="C351" t="s">
        <v>11</v>
      </c>
      <c r="D351">
        <v>19</v>
      </c>
      <c r="E351" t="s">
        <v>11</v>
      </c>
      <c r="F351">
        <v>4678</v>
      </c>
      <c r="G351" t="s">
        <v>11</v>
      </c>
      <c r="H351">
        <v>117</v>
      </c>
      <c r="I351">
        <v>117</v>
      </c>
      <c r="J351">
        <v>710</v>
      </c>
      <c r="K351" t="s">
        <v>11</v>
      </c>
      <c r="L351">
        <v>28730</v>
      </c>
      <c r="M351">
        <v>10346</v>
      </c>
      <c r="N351">
        <v>129</v>
      </c>
      <c r="O351">
        <v>129</v>
      </c>
      <c r="P351" t="s">
        <v>11</v>
      </c>
      <c r="Q351" t="s">
        <v>11</v>
      </c>
      <c r="R351" t="s">
        <v>11</v>
      </c>
      <c r="S351" t="s">
        <v>11</v>
      </c>
      <c r="T351" s="34">
        <v>55750</v>
      </c>
      <c r="U351" s="34">
        <v>14744</v>
      </c>
      <c r="V351" s="34">
        <v>3485</v>
      </c>
      <c r="W351">
        <v>3453</v>
      </c>
      <c r="X351">
        <v>3515</v>
      </c>
      <c r="Y351">
        <v>3492</v>
      </c>
      <c r="Z351">
        <v>3309</v>
      </c>
      <c r="AA351">
        <v>1194</v>
      </c>
      <c r="AB351">
        <v>29219</v>
      </c>
      <c r="AC351">
        <v>15773</v>
      </c>
      <c r="AD351">
        <v>1867</v>
      </c>
      <c r="AE351">
        <v>1398</v>
      </c>
      <c r="AF351">
        <v>4759</v>
      </c>
      <c r="AG351">
        <v>3566</v>
      </c>
      <c r="AH351">
        <f t="shared" si="60"/>
        <v>1867</v>
      </c>
      <c r="AI351">
        <f t="shared" si="61"/>
        <v>1398</v>
      </c>
      <c r="AJ351">
        <v>14940</v>
      </c>
      <c r="AK351">
        <v>11878</v>
      </c>
      <c r="AL351">
        <v>23033</v>
      </c>
      <c r="AM351">
        <v>12418</v>
      </c>
      <c r="AN351" s="22">
        <v>434</v>
      </c>
      <c r="AO351">
        <v>808</v>
      </c>
      <c r="AP351" t="s">
        <v>11</v>
      </c>
      <c r="AQ351" t="s">
        <v>11</v>
      </c>
      <c r="AR351">
        <v>163</v>
      </c>
      <c r="AS351" t="s">
        <v>11</v>
      </c>
      <c r="AT351" t="str">
        <f t="shared" si="54"/>
        <v>NoData</v>
      </c>
      <c r="AU351" t="str">
        <f t="shared" si="55"/>
        <v>NoData</v>
      </c>
      <c r="AV351">
        <v>0</v>
      </c>
      <c r="AW351" t="s">
        <v>11</v>
      </c>
      <c r="AX351">
        <v>4</v>
      </c>
      <c r="AY351" t="s">
        <v>11</v>
      </c>
      <c r="AZ351" t="str">
        <f t="shared" si="56"/>
        <v>NoData</v>
      </c>
      <c r="BA351" t="str">
        <f t="shared" si="57"/>
        <v>NoData</v>
      </c>
      <c r="BB351">
        <f t="shared" si="62"/>
        <v>434</v>
      </c>
      <c r="BC351">
        <f t="shared" si="63"/>
        <v>808</v>
      </c>
      <c r="BD351" t="s">
        <v>11</v>
      </c>
      <c r="BE351" t="s">
        <v>11</v>
      </c>
      <c r="BF351" t="s">
        <v>11</v>
      </c>
      <c r="BG351" t="s">
        <v>11</v>
      </c>
      <c r="BH351">
        <v>12</v>
      </c>
      <c r="BI351" t="s">
        <v>11</v>
      </c>
      <c r="BJ351">
        <v>38</v>
      </c>
      <c r="BK351" t="s">
        <v>11</v>
      </c>
      <c r="BL351" t="s">
        <v>11</v>
      </c>
      <c r="BM351" t="s">
        <v>11</v>
      </c>
      <c r="BN351">
        <v>0</v>
      </c>
      <c r="BO351" t="s">
        <v>11</v>
      </c>
      <c r="BP351" t="str">
        <f t="shared" si="58"/>
        <v>NoData</v>
      </c>
      <c r="BQ351" t="str">
        <f t="shared" si="59"/>
        <v>NoData</v>
      </c>
      <c r="BR351">
        <v>54</v>
      </c>
      <c r="BS351" t="s">
        <v>11</v>
      </c>
      <c r="BT351">
        <v>24</v>
      </c>
      <c r="BU351" t="s">
        <v>11</v>
      </c>
    </row>
    <row r="352" spans="1:73" x14ac:dyDescent="0.25">
      <c r="A352" s="5">
        <v>36495</v>
      </c>
      <c r="B352">
        <v>1314</v>
      </c>
      <c r="C352" t="s">
        <v>11</v>
      </c>
      <c r="D352">
        <v>14</v>
      </c>
      <c r="E352" t="s">
        <v>11</v>
      </c>
      <c r="F352">
        <v>3772</v>
      </c>
      <c r="G352" t="s">
        <v>11</v>
      </c>
      <c r="H352">
        <v>519</v>
      </c>
      <c r="I352">
        <v>519</v>
      </c>
      <c r="J352">
        <v>483</v>
      </c>
      <c r="K352" t="s">
        <v>11</v>
      </c>
      <c r="L352">
        <v>31880</v>
      </c>
      <c r="M352">
        <v>15351</v>
      </c>
      <c r="N352">
        <v>160</v>
      </c>
      <c r="O352">
        <v>160</v>
      </c>
      <c r="P352" t="s">
        <v>11</v>
      </c>
      <c r="Q352" t="s">
        <v>11</v>
      </c>
      <c r="R352" t="s">
        <v>11</v>
      </c>
      <c r="S352" t="s">
        <v>11</v>
      </c>
      <c r="T352" s="34">
        <v>58840</v>
      </c>
      <c r="U352" s="34">
        <v>17183</v>
      </c>
      <c r="V352" s="34">
        <v>2610</v>
      </c>
      <c r="W352">
        <v>2581</v>
      </c>
      <c r="X352">
        <v>2501</v>
      </c>
      <c r="Y352">
        <v>2478</v>
      </c>
      <c r="Z352">
        <v>2612</v>
      </c>
      <c r="AA352">
        <v>1149</v>
      </c>
      <c r="AB352">
        <v>21627</v>
      </c>
      <c r="AC352">
        <v>10302</v>
      </c>
      <c r="AD352">
        <v>1572</v>
      </c>
      <c r="AE352">
        <v>1383</v>
      </c>
      <c r="AF352">
        <v>3434</v>
      </c>
      <c r="AG352">
        <v>3169</v>
      </c>
      <c r="AH352">
        <f t="shared" si="60"/>
        <v>1572</v>
      </c>
      <c r="AI352">
        <f t="shared" si="61"/>
        <v>1383</v>
      </c>
      <c r="AJ352">
        <v>12595</v>
      </c>
      <c r="AK352">
        <v>11812</v>
      </c>
      <c r="AL352">
        <v>19929</v>
      </c>
      <c r="AM352">
        <v>11879</v>
      </c>
      <c r="AN352" s="22">
        <v>435</v>
      </c>
      <c r="AO352">
        <v>812</v>
      </c>
      <c r="AP352" t="s">
        <v>11</v>
      </c>
      <c r="AQ352" t="s">
        <v>11</v>
      </c>
      <c r="AR352">
        <v>160</v>
      </c>
      <c r="AS352" t="s">
        <v>11</v>
      </c>
      <c r="AT352" t="str">
        <f t="shared" si="54"/>
        <v>NoData</v>
      </c>
      <c r="AU352" t="str">
        <f t="shared" si="55"/>
        <v>NoData</v>
      </c>
      <c r="AV352">
        <v>0</v>
      </c>
      <c r="AW352" t="s">
        <v>11</v>
      </c>
      <c r="AX352">
        <v>4</v>
      </c>
      <c r="AY352" t="s">
        <v>11</v>
      </c>
      <c r="AZ352" t="str">
        <f t="shared" si="56"/>
        <v>NoData</v>
      </c>
      <c r="BA352" t="str">
        <f t="shared" si="57"/>
        <v>NoData</v>
      </c>
      <c r="BB352">
        <f t="shared" si="62"/>
        <v>435</v>
      </c>
      <c r="BC352">
        <f t="shared" si="63"/>
        <v>812</v>
      </c>
      <c r="BD352" t="s">
        <v>11</v>
      </c>
      <c r="BE352" t="s">
        <v>11</v>
      </c>
      <c r="BF352" t="s">
        <v>11</v>
      </c>
      <c r="BG352" t="s">
        <v>11</v>
      </c>
      <c r="BH352">
        <v>17</v>
      </c>
      <c r="BI352" t="s">
        <v>11</v>
      </c>
      <c r="BJ352">
        <v>37</v>
      </c>
      <c r="BK352" t="s">
        <v>11</v>
      </c>
      <c r="BL352" t="s">
        <v>11</v>
      </c>
      <c r="BM352" t="s">
        <v>11</v>
      </c>
      <c r="BN352">
        <v>0</v>
      </c>
      <c r="BO352" t="s">
        <v>11</v>
      </c>
      <c r="BP352" t="str">
        <f t="shared" si="58"/>
        <v>NoData</v>
      </c>
      <c r="BQ352" t="str">
        <f t="shared" si="59"/>
        <v>NoData</v>
      </c>
      <c r="BR352">
        <v>54</v>
      </c>
      <c r="BS352" t="s">
        <v>11</v>
      </c>
      <c r="BT352">
        <v>24</v>
      </c>
      <c r="BU352" t="s">
        <v>11</v>
      </c>
    </row>
    <row r="353" spans="1:73" x14ac:dyDescent="0.25">
      <c r="A353" s="5">
        <v>36526</v>
      </c>
      <c r="B353">
        <v>1561</v>
      </c>
      <c r="C353" t="s">
        <v>11</v>
      </c>
      <c r="D353">
        <v>11</v>
      </c>
      <c r="E353" t="s">
        <v>11</v>
      </c>
      <c r="F353">
        <v>1836</v>
      </c>
      <c r="G353">
        <v>1836</v>
      </c>
      <c r="H353">
        <v>1250</v>
      </c>
      <c r="I353">
        <v>1250</v>
      </c>
      <c r="J353">
        <v>1604</v>
      </c>
      <c r="K353" t="s">
        <v>11</v>
      </c>
      <c r="L353">
        <v>23187</v>
      </c>
      <c r="M353">
        <v>7670</v>
      </c>
      <c r="N353">
        <v>139</v>
      </c>
      <c r="O353">
        <v>139</v>
      </c>
      <c r="P353" t="s">
        <v>11</v>
      </c>
      <c r="Q353" t="s">
        <v>11</v>
      </c>
      <c r="R353" t="s">
        <v>11</v>
      </c>
      <c r="S353" t="s">
        <v>11</v>
      </c>
      <c r="T353" s="34">
        <v>39860</v>
      </c>
      <c r="U353" s="34">
        <v>8324</v>
      </c>
      <c r="V353" s="34">
        <v>1833</v>
      </c>
      <c r="W353">
        <v>1829</v>
      </c>
      <c r="X353">
        <v>2474</v>
      </c>
      <c r="Y353">
        <v>2470</v>
      </c>
      <c r="Z353">
        <v>2898</v>
      </c>
      <c r="AA353">
        <v>1010</v>
      </c>
      <c r="AB353">
        <v>17374</v>
      </c>
      <c r="AC353">
        <v>6420</v>
      </c>
      <c r="AD353">
        <v>1683</v>
      </c>
      <c r="AE353">
        <v>1016</v>
      </c>
      <c r="AF353">
        <v>3925</v>
      </c>
      <c r="AG353">
        <v>2741</v>
      </c>
      <c r="AH353">
        <f t="shared" si="60"/>
        <v>1683</v>
      </c>
      <c r="AI353">
        <f t="shared" si="61"/>
        <v>1016</v>
      </c>
      <c r="AJ353">
        <v>10445</v>
      </c>
      <c r="AK353">
        <v>6546</v>
      </c>
      <c r="AL353">
        <v>18565</v>
      </c>
      <c r="AM353">
        <v>6885</v>
      </c>
      <c r="AN353" s="22">
        <v>502</v>
      </c>
      <c r="AO353">
        <v>838</v>
      </c>
      <c r="AP353" t="s">
        <v>11</v>
      </c>
      <c r="AQ353" t="s">
        <v>11</v>
      </c>
      <c r="AR353">
        <v>151</v>
      </c>
      <c r="AS353" t="s">
        <v>11</v>
      </c>
      <c r="AT353" t="str">
        <f t="shared" ref="AT353:AT364" si="64">AP353</f>
        <v>NoData</v>
      </c>
      <c r="AU353" t="str">
        <f t="shared" ref="AU353:AU364" si="65">AQ353</f>
        <v>NoData</v>
      </c>
      <c r="AV353">
        <v>5</v>
      </c>
      <c r="AW353" t="s">
        <v>11</v>
      </c>
      <c r="AX353">
        <v>4</v>
      </c>
      <c r="AY353" t="s">
        <v>11</v>
      </c>
      <c r="AZ353" t="str">
        <f t="shared" si="56"/>
        <v>NoData</v>
      </c>
      <c r="BA353" t="str">
        <f t="shared" si="57"/>
        <v>NoData</v>
      </c>
      <c r="BB353">
        <f t="shared" si="62"/>
        <v>502</v>
      </c>
      <c r="BC353">
        <f t="shared" si="63"/>
        <v>838</v>
      </c>
      <c r="BD353" t="s">
        <v>11</v>
      </c>
      <c r="BE353" t="s">
        <v>11</v>
      </c>
      <c r="BF353" t="s">
        <v>11</v>
      </c>
      <c r="BG353" t="s">
        <v>11</v>
      </c>
      <c r="BH353">
        <v>11</v>
      </c>
      <c r="BI353" t="s">
        <v>11</v>
      </c>
      <c r="BJ353">
        <v>36</v>
      </c>
      <c r="BK353" t="s">
        <v>11</v>
      </c>
      <c r="BL353" t="s">
        <v>11</v>
      </c>
      <c r="BM353" t="s">
        <v>11</v>
      </c>
      <c r="BN353">
        <v>67</v>
      </c>
      <c r="BO353" t="s">
        <v>11</v>
      </c>
      <c r="BP353" t="str">
        <f t="shared" si="58"/>
        <v>NoData</v>
      </c>
      <c r="BQ353" t="str">
        <f t="shared" si="59"/>
        <v>NoData</v>
      </c>
      <c r="BR353">
        <v>51</v>
      </c>
      <c r="BS353" t="s">
        <v>11</v>
      </c>
      <c r="BT353">
        <v>23</v>
      </c>
      <c r="BU353" t="s">
        <v>11</v>
      </c>
    </row>
    <row r="354" spans="1:73" x14ac:dyDescent="0.25">
      <c r="A354" s="5">
        <v>36557</v>
      </c>
      <c r="B354">
        <v>1631</v>
      </c>
      <c r="C354" t="s">
        <v>11</v>
      </c>
      <c r="D354">
        <v>26</v>
      </c>
      <c r="E354" t="s">
        <v>11</v>
      </c>
      <c r="F354">
        <v>2256</v>
      </c>
      <c r="G354">
        <v>2256</v>
      </c>
      <c r="H354">
        <v>1638</v>
      </c>
      <c r="I354">
        <v>1638</v>
      </c>
      <c r="J354">
        <v>1285</v>
      </c>
      <c r="K354" t="s">
        <v>11</v>
      </c>
      <c r="L354">
        <v>37818</v>
      </c>
      <c r="M354">
        <v>20549</v>
      </c>
      <c r="N354">
        <v>228</v>
      </c>
      <c r="O354">
        <v>228</v>
      </c>
      <c r="P354" t="s">
        <v>11</v>
      </c>
      <c r="Q354" t="s">
        <v>11</v>
      </c>
      <c r="R354" t="s">
        <v>11</v>
      </c>
      <c r="S354" t="s">
        <v>11</v>
      </c>
      <c r="T354" s="34">
        <v>61580</v>
      </c>
      <c r="U354" s="34">
        <v>28970</v>
      </c>
      <c r="V354" s="34">
        <v>2034</v>
      </c>
      <c r="W354">
        <v>2041</v>
      </c>
      <c r="X354">
        <v>3369</v>
      </c>
      <c r="Y354">
        <v>3377</v>
      </c>
      <c r="Z354">
        <v>3471</v>
      </c>
      <c r="AA354">
        <v>1406</v>
      </c>
      <c r="AB354">
        <v>21262</v>
      </c>
      <c r="AC354">
        <v>12379</v>
      </c>
      <c r="AD354">
        <v>1562</v>
      </c>
      <c r="AE354">
        <v>963</v>
      </c>
      <c r="AF354">
        <v>3996</v>
      </c>
      <c r="AG354">
        <v>3143</v>
      </c>
      <c r="AH354">
        <f t="shared" si="60"/>
        <v>1562</v>
      </c>
      <c r="AI354">
        <f t="shared" si="61"/>
        <v>963</v>
      </c>
      <c r="AJ354">
        <v>10976</v>
      </c>
      <c r="AK354">
        <v>7434</v>
      </c>
      <c r="AL354">
        <v>27250</v>
      </c>
      <c r="AM354">
        <v>17364</v>
      </c>
      <c r="AN354" s="22">
        <v>546</v>
      </c>
      <c r="AO354">
        <v>904</v>
      </c>
      <c r="AP354" t="s">
        <v>11</v>
      </c>
      <c r="AQ354" t="s">
        <v>11</v>
      </c>
      <c r="AR354">
        <v>121</v>
      </c>
      <c r="AS354" t="s">
        <v>11</v>
      </c>
      <c r="AT354" t="str">
        <f t="shared" si="64"/>
        <v>NoData</v>
      </c>
      <c r="AU354" t="str">
        <f t="shared" si="65"/>
        <v>NoData</v>
      </c>
      <c r="AV354">
        <v>4</v>
      </c>
      <c r="AW354" t="s">
        <v>11</v>
      </c>
      <c r="AX354">
        <v>4</v>
      </c>
      <c r="AY354" t="s">
        <v>11</v>
      </c>
      <c r="AZ354" t="str">
        <f t="shared" si="56"/>
        <v>NoData</v>
      </c>
      <c r="BA354" t="str">
        <f t="shared" si="57"/>
        <v>NoData</v>
      </c>
      <c r="BB354">
        <f t="shared" si="62"/>
        <v>546</v>
      </c>
      <c r="BC354">
        <f t="shared" si="63"/>
        <v>904</v>
      </c>
      <c r="BD354" t="s">
        <v>11</v>
      </c>
      <c r="BE354" t="s">
        <v>11</v>
      </c>
      <c r="BF354" t="s">
        <v>11</v>
      </c>
      <c r="BG354" t="s">
        <v>11</v>
      </c>
      <c r="BH354">
        <v>6</v>
      </c>
      <c r="BI354" t="s">
        <v>11</v>
      </c>
      <c r="BJ354">
        <v>29</v>
      </c>
      <c r="BK354" t="s">
        <v>11</v>
      </c>
      <c r="BL354" t="s">
        <v>11</v>
      </c>
      <c r="BM354" t="s">
        <v>11</v>
      </c>
      <c r="BN354">
        <v>46</v>
      </c>
      <c r="BO354" t="s">
        <v>11</v>
      </c>
      <c r="BP354" t="str">
        <f t="shared" si="58"/>
        <v>NoData</v>
      </c>
      <c r="BQ354" t="str">
        <f t="shared" si="59"/>
        <v>NoData</v>
      </c>
      <c r="BR354">
        <v>41</v>
      </c>
      <c r="BS354" t="s">
        <v>11</v>
      </c>
      <c r="BT354">
        <v>18</v>
      </c>
      <c r="BU354" t="s">
        <v>11</v>
      </c>
    </row>
    <row r="355" spans="1:73" x14ac:dyDescent="0.25">
      <c r="A355" s="5">
        <v>36586</v>
      </c>
      <c r="B355">
        <v>2764</v>
      </c>
      <c r="C355" t="s">
        <v>11</v>
      </c>
      <c r="D355">
        <v>26</v>
      </c>
      <c r="E355" t="s">
        <v>11</v>
      </c>
      <c r="F355">
        <v>4082</v>
      </c>
      <c r="G355">
        <v>4082</v>
      </c>
      <c r="H355">
        <v>2111</v>
      </c>
      <c r="I355">
        <v>2111</v>
      </c>
      <c r="J355">
        <v>2190</v>
      </c>
      <c r="K355" t="s">
        <v>11</v>
      </c>
      <c r="L355">
        <v>52256</v>
      </c>
      <c r="M355">
        <v>32431</v>
      </c>
      <c r="N355">
        <v>187</v>
      </c>
      <c r="O355">
        <v>187</v>
      </c>
      <c r="P355" t="s">
        <v>11</v>
      </c>
      <c r="Q355" t="s">
        <v>11</v>
      </c>
      <c r="R355" t="s">
        <v>11</v>
      </c>
      <c r="S355" t="s">
        <v>11</v>
      </c>
      <c r="T355" s="34">
        <v>78700</v>
      </c>
      <c r="U355" s="34">
        <v>40639</v>
      </c>
      <c r="V355" s="34">
        <v>3539</v>
      </c>
      <c r="W355">
        <v>3560</v>
      </c>
      <c r="X355">
        <v>5029</v>
      </c>
      <c r="Y355">
        <v>5051</v>
      </c>
      <c r="Z355">
        <v>4524</v>
      </c>
      <c r="AA355">
        <v>1763</v>
      </c>
      <c r="AB355">
        <v>29618</v>
      </c>
      <c r="AC355">
        <v>20461</v>
      </c>
      <c r="AD355">
        <v>2307</v>
      </c>
      <c r="AE355">
        <v>1320</v>
      </c>
      <c r="AF355">
        <v>6597</v>
      </c>
      <c r="AG355">
        <v>4505</v>
      </c>
      <c r="AH355">
        <f t="shared" si="60"/>
        <v>2307</v>
      </c>
      <c r="AI355">
        <f t="shared" si="61"/>
        <v>1320</v>
      </c>
      <c r="AJ355">
        <v>17139</v>
      </c>
      <c r="AK355">
        <v>10833</v>
      </c>
      <c r="AL355">
        <v>36561</v>
      </c>
      <c r="AM355">
        <v>22610</v>
      </c>
      <c r="AN355" s="22">
        <v>698</v>
      </c>
      <c r="AO355">
        <v>1271</v>
      </c>
      <c r="AP355" t="s">
        <v>11</v>
      </c>
      <c r="AQ355" t="s">
        <v>11</v>
      </c>
      <c r="AR355">
        <v>207</v>
      </c>
      <c r="AS355" t="s">
        <v>11</v>
      </c>
      <c r="AT355" t="str">
        <f t="shared" si="64"/>
        <v>NoData</v>
      </c>
      <c r="AU355" t="str">
        <f t="shared" si="65"/>
        <v>NoData</v>
      </c>
      <c r="AV355">
        <v>7</v>
      </c>
      <c r="AW355" t="s">
        <v>11</v>
      </c>
      <c r="AX355">
        <v>4</v>
      </c>
      <c r="AY355" t="s">
        <v>11</v>
      </c>
      <c r="AZ355" t="str">
        <f t="shared" si="56"/>
        <v>NoData</v>
      </c>
      <c r="BA355" t="str">
        <f t="shared" si="57"/>
        <v>NoData</v>
      </c>
      <c r="BB355">
        <f t="shared" si="62"/>
        <v>698</v>
      </c>
      <c r="BC355">
        <f t="shared" si="63"/>
        <v>1271</v>
      </c>
      <c r="BD355" t="s">
        <v>11</v>
      </c>
      <c r="BE355" t="s">
        <v>11</v>
      </c>
      <c r="BF355" t="s">
        <v>11</v>
      </c>
      <c r="BG355" t="s">
        <v>11</v>
      </c>
      <c r="BH355">
        <v>23</v>
      </c>
      <c r="BI355" t="s">
        <v>11</v>
      </c>
      <c r="BJ355">
        <v>50</v>
      </c>
      <c r="BK355" t="s">
        <v>11</v>
      </c>
      <c r="BL355" t="s">
        <v>11</v>
      </c>
      <c r="BM355" t="s">
        <v>11</v>
      </c>
      <c r="BN355">
        <v>27</v>
      </c>
      <c r="BO355" t="s">
        <v>11</v>
      </c>
      <c r="BP355" t="str">
        <f t="shared" si="58"/>
        <v>NoData</v>
      </c>
      <c r="BQ355" t="str">
        <f t="shared" si="59"/>
        <v>NoData</v>
      </c>
      <c r="BR355">
        <v>69</v>
      </c>
      <c r="BS355" t="s">
        <v>11</v>
      </c>
      <c r="BT355">
        <v>31</v>
      </c>
      <c r="BU355" t="s">
        <v>11</v>
      </c>
    </row>
    <row r="356" spans="1:73" x14ac:dyDescent="0.25">
      <c r="A356" s="5">
        <v>36617</v>
      </c>
      <c r="B356">
        <v>3580</v>
      </c>
      <c r="C356" t="s">
        <v>11</v>
      </c>
      <c r="D356">
        <v>17</v>
      </c>
      <c r="E356" t="s">
        <v>11</v>
      </c>
      <c r="F356">
        <v>5287</v>
      </c>
      <c r="G356">
        <v>5287</v>
      </c>
      <c r="H356">
        <v>4247</v>
      </c>
      <c r="I356">
        <v>4247</v>
      </c>
      <c r="J356">
        <v>2365</v>
      </c>
      <c r="K356" t="s">
        <v>11</v>
      </c>
      <c r="L356">
        <v>57840</v>
      </c>
      <c r="M356">
        <v>38796</v>
      </c>
      <c r="N356">
        <v>396</v>
      </c>
      <c r="O356">
        <v>396</v>
      </c>
      <c r="P356" t="s">
        <v>11</v>
      </c>
      <c r="Q356" t="s">
        <v>11</v>
      </c>
      <c r="R356" t="s">
        <v>11</v>
      </c>
      <c r="S356" t="s">
        <v>11</v>
      </c>
      <c r="T356" s="34">
        <v>99420</v>
      </c>
      <c r="U356" s="34">
        <v>61593</v>
      </c>
      <c r="V356" s="34">
        <v>4533</v>
      </c>
      <c r="W356">
        <v>4513</v>
      </c>
      <c r="X356">
        <v>6801</v>
      </c>
      <c r="Y356">
        <v>6780</v>
      </c>
      <c r="Z356">
        <v>5247</v>
      </c>
      <c r="AA356">
        <v>2465</v>
      </c>
      <c r="AB356">
        <v>41936</v>
      </c>
      <c r="AC356">
        <v>30873</v>
      </c>
      <c r="AD356">
        <v>2612</v>
      </c>
      <c r="AE356">
        <v>1826</v>
      </c>
      <c r="AF356">
        <v>7121</v>
      </c>
      <c r="AG356">
        <v>5837</v>
      </c>
      <c r="AH356">
        <f t="shared" si="60"/>
        <v>2612</v>
      </c>
      <c r="AI356">
        <f t="shared" si="61"/>
        <v>1826</v>
      </c>
      <c r="AJ356">
        <v>19366</v>
      </c>
      <c r="AK356">
        <v>14584</v>
      </c>
      <c r="AL356">
        <v>43434</v>
      </c>
      <c r="AM356">
        <v>32420</v>
      </c>
      <c r="AN356" s="22">
        <v>794</v>
      </c>
      <c r="AO356">
        <v>1466</v>
      </c>
      <c r="AP356" t="s">
        <v>11</v>
      </c>
      <c r="AQ356" t="s">
        <v>11</v>
      </c>
      <c r="AR356">
        <v>224</v>
      </c>
      <c r="AS356" t="s">
        <v>11</v>
      </c>
      <c r="AT356" t="str">
        <f t="shared" si="64"/>
        <v>NoData</v>
      </c>
      <c r="AU356" t="str">
        <f t="shared" si="65"/>
        <v>NoData</v>
      </c>
      <c r="AV356">
        <v>8</v>
      </c>
      <c r="AW356" t="s">
        <v>11</v>
      </c>
      <c r="AX356">
        <v>4</v>
      </c>
      <c r="AY356" t="s">
        <v>11</v>
      </c>
      <c r="AZ356" t="str">
        <f t="shared" si="56"/>
        <v>NoData</v>
      </c>
      <c r="BA356" t="str">
        <f t="shared" si="57"/>
        <v>NoData</v>
      </c>
      <c r="BB356">
        <f t="shared" si="62"/>
        <v>794</v>
      </c>
      <c r="BC356">
        <f t="shared" si="63"/>
        <v>1466</v>
      </c>
      <c r="BD356" t="s">
        <v>11</v>
      </c>
      <c r="BE356" t="s">
        <v>11</v>
      </c>
      <c r="BF356" t="s">
        <v>11</v>
      </c>
      <c r="BG356" t="s">
        <v>11</v>
      </c>
      <c r="BH356">
        <v>45</v>
      </c>
      <c r="BI356" t="s">
        <v>11</v>
      </c>
      <c r="BJ356">
        <v>54</v>
      </c>
      <c r="BK356" t="s">
        <v>11</v>
      </c>
      <c r="BL356" t="s">
        <v>11</v>
      </c>
      <c r="BM356" t="s">
        <v>11</v>
      </c>
      <c r="BN356">
        <v>47</v>
      </c>
      <c r="BO356" t="s">
        <v>11</v>
      </c>
      <c r="BP356" t="str">
        <f t="shared" si="58"/>
        <v>NoData</v>
      </c>
      <c r="BQ356" t="str">
        <f t="shared" si="59"/>
        <v>NoData</v>
      </c>
      <c r="BR356">
        <v>75</v>
      </c>
      <c r="BS356" t="s">
        <v>11</v>
      </c>
      <c r="BT356">
        <v>34</v>
      </c>
      <c r="BU356" t="s">
        <v>11</v>
      </c>
    </row>
    <row r="357" spans="1:73" x14ac:dyDescent="0.25">
      <c r="A357" s="5">
        <v>36647</v>
      </c>
      <c r="B357">
        <v>4580</v>
      </c>
      <c r="C357" t="s">
        <v>11</v>
      </c>
      <c r="D357">
        <v>63</v>
      </c>
      <c r="E357" t="s">
        <v>11</v>
      </c>
      <c r="F357">
        <v>7662</v>
      </c>
      <c r="G357">
        <v>7662</v>
      </c>
      <c r="H357">
        <v>4701</v>
      </c>
      <c r="I357">
        <v>4701</v>
      </c>
      <c r="J357">
        <v>2896</v>
      </c>
      <c r="K357" t="s">
        <v>11</v>
      </c>
      <c r="L357">
        <v>74799</v>
      </c>
      <c r="M357">
        <v>52762</v>
      </c>
      <c r="N357">
        <v>430</v>
      </c>
      <c r="O357">
        <v>430</v>
      </c>
      <c r="P357" t="s">
        <v>11</v>
      </c>
      <c r="Q357" t="s">
        <v>11</v>
      </c>
      <c r="R357" t="s">
        <v>11</v>
      </c>
      <c r="S357" t="s">
        <v>11</v>
      </c>
      <c r="T357" s="34">
        <v>113500</v>
      </c>
      <c r="U357" s="34">
        <v>70964</v>
      </c>
      <c r="V357" s="34">
        <v>3615</v>
      </c>
      <c r="W357">
        <v>3579</v>
      </c>
      <c r="X357">
        <v>7063</v>
      </c>
      <c r="Y357">
        <v>7014</v>
      </c>
      <c r="Z357">
        <v>6575</v>
      </c>
      <c r="AA357">
        <v>3176</v>
      </c>
      <c r="AB357">
        <v>34851</v>
      </c>
      <c r="AC357">
        <v>23035</v>
      </c>
      <c r="AD357">
        <v>3411</v>
      </c>
      <c r="AE357">
        <v>2602</v>
      </c>
      <c r="AF357">
        <v>7941</v>
      </c>
      <c r="AG357">
        <v>6392</v>
      </c>
      <c r="AH357">
        <f t="shared" si="60"/>
        <v>3411</v>
      </c>
      <c r="AI357">
        <f t="shared" si="61"/>
        <v>2602</v>
      </c>
      <c r="AJ357">
        <v>26951</v>
      </c>
      <c r="AK357">
        <v>21856</v>
      </c>
      <c r="AL357">
        <v>52452</v>
      </c>
      <c r="AM357">
        <v>40762</v>
      </c>
      <c r="AN357" s="22">
        <v>446</v>
      </c>
      <c r="AO357">
        <v>1180</v>
      </c>
      <c r="AP357" t="s">
        <v>11</v>
      </c>
      <c r="AQ357" t="s">
        <v>11</v>
      </c>
      <c r="AR357">
        <v>273</v>
      </c>
      <c r="AS357" t="s">
        <v>11</v>
      </c>
      <c r="AT357" t="str">
        <f t="shared" si="64"/>
        <v>NoData</v>
      </c>
      <c r="AU357" t="str">
        <f t="shared" si="65"/>
        <v>NoData</v>
      </c>
      <c r="AV357">
        <v>10</v>
      </c>
      <c r="AW357" t="s">
        <v>11</v>
      </c>
      <c r="AX357">
        <v>4</v>
      </c>
      <c r="AY357" t="s">
        <v>11</v>
      </c>
      <c r="AZ357" t="str">
        <f t="shared" si="56"/>
        <v>NoData</v>
      </c>
      <c r="BA357" t="str">
        <f t="shared" si="57"/>
        <v>NoData</v>
      </c>
      <c r="BB357">
        <f t="shared" si="62"/>
        <v>446</v>
      </c>
      <c r="BC357">
        <f t="shared" si="63"/>
        <v>1180</v>
      </c>
      <c r="BD357" t="s">
        <v>11</v>
      </c>
      <c r="BE357" t="s">
        <v>11</v>
      </c>
      <c r="BF357" t="s">
        <v>11</v>
      </c>
      <c r="BG357" t="s">
        <v>11</v>
      </c>
      <c r="BH357">
        <v>28</v>
      </c>
      <c r="BI357" t="s">
        <v>11</v>
      </c>
      <c r="BJ357">
        <v>66</v>
      </c>
      <c r="BK357" t="s">
        <v>11</v>
      </c>
      <c r="BL357" t="s">
        <v>11</v>
      </c>
      <c r="BM357" t="s">
        <v>11</v>
      </c>
      <c r="BN357">
        <v>12</v>
      </c>
      <c r="BO357" t="s">
        <v>11</v>
      </c>
      <c r="BP357" t="str">
        <f t="shared" si="58"/>
        <v>NoData</v>
      </c>
      <c r="BQ357" t="str">
        <f t="shared" si="59"/>
        <v>NoData</v>
      </c>
      <c r="BR357">
        <v>92</v>
      </c>
      <c r="BS357" t="s">
        <v>11</v>
      </c>
      <c r="BT357">
        <v>41</v>
      </c>
      <c r="BU357" t="s">
        <v>11</v>
      </c>
    </row>
    <row r="358" spans="1:73" x14ac:dyDescent="0.25">
      <c r="A358" s="5">
        <v>36678</v>
      </c>
      <c r="B358">
        <v>4582</v>
      </c>
      <c r="C358" t="s">
        <v>11</v>
      </c>
      <c r="D358">
        <v>30</v>
      </c>
      <c r="E358" t="s">
        <v>11</v>
      </c>
      <c r="F358">
        <v>10948</v>
      </c>
      <c r="G358">
        <v>10948</v>
      </c>
      <c r="H358">
        <v>2741</v>
      </c>
      <c r="I358">
        <v>2741</v>
      </c>
      <c r="J358">
        <v>3510</v>
      </c>
      <c r="K358" t="s">
        <v>11</v>
      </c>
      <c r="L358">
        <v>75761</v>
      </c>
      <c r="M358">
        <v>55840</v>
      </c>
      <c r="N358">
        <v>509</v>
      </c>
      <c r="O358">
        <v>509</v>
      </c>
      <c r="P358" t="s">
        <v>11</v>
      </c>
      <c r="Q358" t="s">
        <v>11</v>
      </c>
      <c r="R358" t="s">
        <v>11</v>
      </c>
      <c r="S358" t="s">
        <v>11</v>
      </c>
      <c r="T358" s="34">
        <v>115800</v>
      </c>
      <c r="U358" s="34">
        <v>74544</v>
      </c>
      <c r="V358" s="34">
        <v>1470</v>
      </c>
      <c r="W358">
        <v>1450</v>
      </c>
      <c r="X358">
        <v>5067</v>
      </c>
      <c r="Y358">
        <v>5022</v>
      </c>
      <c r="Z358">
        <v>5802</v>
      </c>
      <c r="AA358">
        <v>2896</v>
      </c>
      <c r="AB358">
        <v>24028</v>
      </c>
      <c r="AC358">
        <v>13869</v>
      </c>
      <c r="AD358">
        <v>3856</v>
      </c>
      <c r="AE358">
        <v>3012</v>
      </c>
      <c r="AF358">
        <v>6181</v>
      </c>
      <c r="AG358">
        <v>4876</v>
      </c>
      <c r="AH358">
        <f t="shared" si="60"/>
        <v>3856</v>
      </c>
      <c r="AI358">
        <f t="shared" si="61"/>
        <v>3012</v>
      </c>
      <c r="AJ358">
        <v>28552</v>
      </c>
      <c r="AK358">
        <v>23398</v>
      </c>
      <c r="AL358">
        <v>47611</v>
      </c>
      <c r="AM358">
        <v>36730</v>
      </c>
      <c r="AN358" s="22">
        <v>241</v>
      </c>
      <c r="AO358">
        <v>1063</v>
      </c>
      <c r="AP358" t="s">
        <v>11</v>
      </c>
      <c r="AQ358" t="s">
        <v>11</v>
      </c>
      <c r="AR358">
        <v>332</v>
      </c>
      <c r="AS358" t="s">
        <v>11</v>
      </c>
      <c r="AT358" t="str">
        <f t="shared" si="64"/>
        <v>NoData</v>
      </c>
      <c r="AU358" t="str">
        <f t="shared" si="65"/>
        <v>NoData</v>
      </c>
      <c r="AV358">
        <v>12</v>
      </c>
      <c r="AW358" t="s">
        <v>11</v>
      </c>
      <c r="AX358">
        <v>4</v>
      </c>
      <c r="AY358" t="s">
        <v>11</v>
      </c>
      <c r="AZ358" t="str">
        <f t="shared" si="56"/>
        <v>NoData</v>
      </c>
      <c r="BA358" t="str">
        <f t="shared" si="57"/>
        <v>NoData</v>
      </c>
      <c r="BB358">
        <f t="shared" si="62"/>
        <v>241</v>
      </c>
      <c r="BC358">
        <f t="shared" si="63"/>
        <v>1063</v>
      </c>
      <c r="BD358" t="s">
        <v>11</v>
      </c>
      <c r="BE358" t="s">
        <v>11</v>
      </c>
      <c r="BF358" t="s">
        <v>11</v>
      </c>
      <c r="BG358" t="s">
        <v>11</v>
      </c>
      <c r="BH358">
        <v>65</v>
      </c>
      <c r="BI358" t="s">
        <v>11</v>
      </c>
      <c r="BJ358">
        <v>80</v>
      </c>
      <c r="BK358" t="s">
        <v>11</v>
      </c>
      <c r="BL358" t="s">
        <v>11</v>
      </c>
      <c r="BM358" t="s">
        <v>11</v>
      </c>
      <c r="BN358">
        <v>129</v>
      </c>
      <c r="BO358" t="s">
        <v>11</v>
      </c>
      <c r="BP358" t="str">
        <f t="shared" si="58"/>
        <v>NoData</v>
      </c>
      <c r="BQ358" t="str">
        <f t="shared" si="59"/>
        <v>NoData</v>
      </c>
      <c r="BR358">
        <v>111</v>
      </c>
      <c r="BS358" t="s">
        <v>11</v>
      </c>
      <c r="BT358">
        <v>50</v>
      </c>
      <c r="BU358" t="s">
        <v>11</v>
      </c>
    </row>
    <row r="359" spans="1:73" x14ac:dyDescent="0.25">
      <c r="A359" s="5">
        <v>36708</v>
      </c>
      <c r="B359">
        <v>5491</v>
      </c>
      <c r="C359" t="s">
        <v>11</v>
      </c>
      <c r="D359">
        <v>80</v>
      </c>
      <c r="E359" t="s">
        <v>11</v>
      </c>
      <c r="F359">
        <v>10639</v>
      </c>
      <c r="G359">
        <v>10639</v>
      </c>
      <c r="H359">
        <v>1865</v>
      </c>
      <c r="I359">
        <v>1865</v>
      </c>
      <c r="J359">
        <v>3827</v>
      </c>
      <c r="K359" t="s">
        <v>11</v>
      </c>
      <c r="L359">
        <v>77799</v>
      </c>
      <c r="M359">
        <v>55617</v>
      </c>
      <c r="N359">
        <v>493</v>
      </c>
      <c r="O359">
        <v>493</v>
      </c>
      <c r="P359" t="s">
        <v>11</v>
      </c>
      <c r="Q359" t="s">
        <v>11</v>
      </c>
      <c r="R359" t="s">
        <v>11</v>
      </c>
      <c r="S359" t="s">
        <v>11</v>
      </c>
      <c r="T359" s="34">
        <v>118500</v>
      </c>
      <c r="U359" s="34">
        <v>78427</v>
      </c>
      <c r="V359" s="34">
        <v>2055</v>
      </c>
      <c r="W359">
        <v>2036</v>
      </c>
      <c r="X359">
        <v>4103</v>
      </c>
      <c r="Y359">
        <v>4078</v>
      </c>
      <c r="Z359">
        <v>4378</v>
      </c>
      <c r="AA359">
        <v>1931</v>
      </c>
      <c r="AB359">
        <v>23988</v>
      </c>
      <c r="AC359">
        <v>13378</v>
      </c>
      <c r="AD359">
        <v>3605</v>
      </c>
      <c r="AE359">
        <v>2746</v>
      </c>
      <c r="AF359">
        <v>6183</v>
      </c>
      <c r="AG359">
        <v>4996</v>
      </c>
      <c r="AH359">
        <f t="shared" si="60"/>
        <v>3605</v>
      </c>
      <c r="AI359">
        <f t="shared" si="61"/>
        <v>2746</v>
      </c>
      <c r="AJ359">
        <v>28833</v>
      </c>
      <c r="AK359">
        <v>23501</v>
      </c>
      <c r="AL359">
        <v>48492</v>
      </c>
      <c r="AM359">
        <v>35469</v>
      </c>
      <c r="AN359" s="22">
        <v>530</v>
      </c>
      <c r="AO359">
        <v>1304</v>
      </c>
      <c r="AP359" t="s">
        <v>11</v>
      </c>
      <c r="AQ359" t="s">
        <v>11</v>
      </c>
      <c r="AR359">
        <v>362</v>
      </c>
      <c r="AS359" t="s">
        <v>11</v>
      </c>
      <c r="AT359" t="str">
        <f t="shared" si="64"/>
        <v>NoData</v>
      </c>
      <c r="AU359" t="str">
        <f t="shared" si="65"/>
        <v>NoData</v>
      </c>
      <c r="AV359">
        <v>13</v>
      </c>
      <c r="AW359" t="s">
        <v>11</v>
      </c>
      <c r="AX359">
        <v>4</v>
      </c>
      <c r="AY359" t="s">
        <v>11</v>
      </c>
      <c r="AZ359" t="str">
        <f t="shared" si="56"/>
        <v>NoData</v>
      </c>
      <c r="BA359" t="str">
        <f t="shared" si="57"/>
        <v>NoData</v>
      </c>
      <c r="BB359">
        <f t="shared" si="62"/>
        <v>530</v>
      </c>
      <c r="BC359">
        <f t="shared" si="63"/>
        <v>1304</v>
      </c>
      <c r="BD359" t="s">
        <v>11</v>
      </c>
      <c r="BE359" t="s">
        <v>11</v>
      </c>
      <c r="BF359" t="s">
        <v>11</v>
      </c>
      <c r="BG359" t="s">
        <v>11</v>
      </c>
      <c r="BH359">
        <v>21</v>
      </c>
      <c r="BI359" t="s">
        <v>11</v>
      </c>
      <c r="BJ359">
        <v>87</v>
      </c>
      <c r="BK359" t="s">
        <v>11</v>
      </c>
      <c r="BL359" t="s">
        <v>11</v>
      </c>
      <c r="BM359" t="s">
        <v>11</v>
      </c>
      <c r="BN359">
        <v>22</v>
      </c>
      <c r="BO359" t="s">
        <v>11</v>
      </c>
      <c r="BP359" t="str">
        <f t="shared" si="58"/>
        <v>NoData</v>
      </c>
      <c r="BQ359" t="str">
        <f t="shared" si="59"/>
        <v>NoData</v>
      </c>
      <c r="BR359">
        <v>122</v>
      </c>
      <c r="BS359" t="s">
        <v>11</v>
      </c>
      <c r="BT359">
        <v>54</v>
      </c>
      <c r="BU359" t="s">
        <v>11</v>
      </c>
    </row>
    <row r="360" spans="1:73" x14ac:dyDescent="0.25">
      <c r="A360" s="5">
        <v>36739</v>
      </c>
      <c r="B360">
        <v>4029</v>
      </c>
      <c r="C360" t="s">
        <v>11</v>
      </c>
      <c r="D360">
        <v>26</v>
      </c>
      <c r="E360" t="s">
        <v>11</v>
      </c>
      <c r="F360">
        <v>7841</v>
      </c>
      <c r="G360">
        <v>7841</v>
      </c>
      <c r="H360">
        <v>2074</v>
      </c>
      <c r="I360">
        <v>2074</v>
      </c>
      <c r="J360">
        <v>3680</v>
      </c>
      <c r="K360" t="s">
        <v>11</v>
      </c>
      <c r="L360">
        <v>75490</v>
      </c>
      <c r="M360">
        <v>53333</v>
      </c>
      <c r="N360">
        <v>339</v>
      </c>
      <c r="O360">
        <v>339</v>
      </c>
      <c r="P360" t="s">
        <v>11</v>
      </c>
      <c r="Q360" t="s">
        <v>11</v>
      </c>
      <c r="R360" t="s">
        <v>11</v>
      </c>
      <c r="S360" t="s">
        <v>11</v>
      </c>
      <c r="T360" s="34">
        <v>108900</v>
      </c>
      <c r="U360" s="34">
        <v>59999</v>
      </c>
      <c r="V360" s="34">
        <v>1196</v>
      </c>
      <c r="W360">
        <v>1182</v>
      </c>
      <c r="X360">
        <v>3037</v>
      </c>
      <c r="Y360">
        <v>3009</v>
      </c>
      <c r="Z360">
        <v>2209</v>
      </c>
      <c r="AA360">
        <v>795</v>
      </c>
      <c r="AB360">
        <v>16271</v>
      </c>
      <c r="AC360">
        <v>6757</v>
      </c>
      <c r="AD360">
        <v>3598</v>
      </c>
      <c r="AE360">
        <v>2754</v>
      </c>
      <c r="AF360">
        <v>4676</v>
      </c>
      <c r="AG360">
        <v>3678</v>
      </c>
      <c r="AH360">
        <f t="shared" si="60"/>
        <v>3598</v>
      </c>
      <c r="AI360">
        <f t="shared" si="61"/>
        <v>2754</v>
      </c>
      <c r="AJ360">
        <v>26827</v>
      </c>
      <c r="AK360">
        <v>21559</v>
      </c>
      <c r="AL360">
        <v>34484</v>
      </c>
      <c r="AM360">
        <v>22718</v>
      </c>
      <c r="AN360" s="22">
        <v>208</v>
      </c>
      <c r="AO360">
        <v>1170</v>
      </c>
      <c r="AP360" t="s">
        <v>11</v>
      </c>
      <c r="AQ360" t="s">
        <v>11</v>
      </c>
      <c r="AR360">
        <v>348</v>
      </c>
      <c r="AS360" t="s">
        <v>11</v>
      </c>
      <c r="AT360" t="str">
        <f t="shared" si="64"/>
        <v>NoData</v>
      </c>
      <c r="AU360" t="str">
        <f t="shared" si="65"/>
        <v>NoData</v>
      </c>
      <c r="AV360">
        <v>12</v>
      </c>
      <c r="AW360" t="s">
        <v>11</v>
      </c>
      <c r="AX360">
        <v>4</v>
      </c>
      <c r="AY360" t="s">
        <v>11</v>
      </c>
      <c r="AZ360" t="str">
        <f t="shared" si="56"/>
        <v>NoData</v>
      </c>
      <c r="BA360" t="str">
        <f t="shared" si="57"/>
        <v>NoData</v>
      </c>
      <c r="BB360">
        <f t="shared" si="62"/>
        <v>208</v>
      </c>
      <c r="BC360">
        <f t="shared" si="63"/>
        <v>1170</v>
      </c>
      <c r="BD360" t="s">
        <v>11</v>
      </c>
      <c r="BE360" t="s">
        <v>11</v>
      </c>
      <c r="BF360" t="s">
        <v>11</v>
      </c>
      <c r="BG360" t="s">
        <v>11</v>
      </c>
      <c r="BH360">
        <v>15</v>
      </c>
      <c r="BI360" t="s">
        <v>11</v>
      </c>
      <c r="BJ360">
        <v>84</v>
      </c>
      <c r="BK360" t="s">
        <v>11</v>
      </c>
      <c r="BL360" t="s">
        <v>11</v>
      </c>
      <c r="BM360" t="s">
        <v>11</v>
      </c>
      <c r="BN360">
        <v>118</v>
      </c>
      <c r="BO360" t="s">
        <v>11</v>
      </c>
      <c r="BP360" t="str">
        <f t="shared" si="58"/>
        <v>NoData</v>
      </c>
      <c r="BQ360" t="str">
        <f t="shared" si="59"/>
        <v>NoData</v>
      </c>
      <c r="BR360">
        <v>117</v>
      </c>
      <c r="BS360" t="s">
        <v>11</v>
      </c>
      <c r="BT360">
        <v>52</v>
      </c>
      <c r="BU360" t="s">
        <v>11</v>
      </c>
    </row>
    <row r="361" spans="1:73" x14ac:dyDescent="0.25">
      <c r="A361" s="5">
        <v>36770</v>
      </c>
      <c r="B361">
        <v>2652</v>
      </c>
      <c r="C361" t="s">
        <v>11</v>
      </c>
      <c r="D361">
        <v>15</v>
      </c>
      <c r="E361" t="s">
        <v>11</v>
      </c>
      <c r="F361">
        <v>5229</v>
      </c>
      <c r="G361">
        <v>5229</v>
      </c>
      <c r="H361">
        <v>1318</v>
      </c>
      <c r="I361">
        <v>1318</v>
      </c>
      <c r="J361">
        <v>2891</v>
      </c>
      <c r="K361" t="s">
        <v>11</v>
      </c>
      <c r="L361">
        <v>52712</v>
      </c>
      <c r="M361">
        <v>33570</v>
      </c>
      <c r="N361">
        <v>276</v>
      </c>
      <c r="O361">
        <v>276</v>
      </c>
      <c r="P361" t="s">
        <v>11</v>
      </c>
      <c r="Q361" t="s">
        <v>11</v>
      </c>
      <c r="R361" t="s">
        <v>11</v>
      </c>
      <c r="S361" t="s">
        <v>11</v>
      </c>
      <c r="T361" s="34">
        <v>82470</v>
      </c>
      <c r="U361" s="34">
        <v>41251</v>
      </c>
      <c r="V361" s="34">
        <v>2865</v>
      </c>
      <c r="W361">
        <v>2827</v>
      </c>
      <c r="X361">
        <v>4022</v>
      </c>
      <c r="Y361">
        <v>3983</v>
      </c>
      <c r="Z361">
        <v>3304</v>
      </c>
      <c r="AA361">
        <v>1413</v>
      </c>
      <c r="AB361">
        <v>31701</v>
      </c>
      <c r="AC361">
        <v>16974</v>
      </c>
      <c r="AD361">
        <v>2728</v>
      </c>
      <c r="AE361">
        <v>1967</v>
      </c>
      <c r="AF361">
        <v>6386</v>
      </c>
      <c r="AG361">
        <v>4995</v>
      </c>
      <c r="AH361">
        <f t="shared" si="60"/>
        <v>2728</v>
      </c>
      <c r="AI361">
        <f t="shared" si="61"/>
        <v>1967</v>
      </c>
      <c r="AJ361">
        <v>26257</v>
      </c>
      <c r="AK361">
        <v>20954</v>
      </c>
      <c r="AL361">
        <v>37214</v>
      </c>
      <c r="AM361">
        <v>24421</v>
      </c>
      <c r="AN361" s="22">
        <v>77</v>
      </c>
      <c r="AO361">
        <v>904</v>
      </c>
      <c r="AP361" t="s">
        <v>11</v>
      </c>
      <c r="AQ361" t="s">
        <v>11</v>
      </c>
      <c r="AR361">
        <v>273</v>
      </c>
      <c r="AS361" t="s">
        <v>11</v>
      </c>
      <c r="AT361" t="str">
        <f t="shared" si="64"/>
        <v>NoData</v>
      </c>
      <c r="AU361" t="str">
        <f t="shared" si="65"/>
        <v>NoData</v>
      </c>
      <c r="AV361">
        <v>10</v>
      </c>
      <c r="AW361" t="s">
        <v>11</v>
      </c>
      <c r="AX361">
        <v>4</v>
      </c>
      <c r="AY361" t="s">
        <v>11</v>
      </c>
      <c r="AZ361" t="str">
        <f t="shared" si="56"/>
        <v>NoData</v>
      </c>
      <c r="BA361" t="str">
        <f t="shared" si="57"/>
        <v>NoData</v>
      </c>
      <c r="BB361">
        <f t="shared" si="62"/>
        <v>77</v>
      </c>
      <c r="BC361">
        <f t="shared" si="63"/>
        <v>904</v>
      </c>
      <c r="BD361" t="s">
        <v>11</v>
      </c>
      <c r="BE361" t="s">
        <v>11</v>
      </c>
      <c r="BF361" t="s">
        <v>11</v>
      </c>
      <c r="BG361" t="s">
        <v>11</v>
      </c>
      <c r="BH361">
        <v>0</v>
      </c>
      <c r="BI361" t="s">
        <v>11</v>
      </c>
      <c r="BJ361">
        <v>66</v>
      </c>
      <c r="BK361" t="s">
        <v>11</v>
      </c>
      <c r="BL361" t="s">
        <v>11</v>
      </c>
      <c r="BM361" t="s">
        <v>11</v>
      </c>
      <c r="BN361">
        <v>137</v>
      </c>
      <c r="BO361" t="s">
        <v>11</v>
      </c>
      <c r="BP361" t="str">
        <f t="shared" si="58"/>
        <v>NoData</v>
      </c>
      <c r="BQ361" t="str">
        <f t="shared" si="59"/>
        <v>NoData</v>
      </c>
      <c r="BR361">
        <v>92</v>
      </c>
      <c r="BS361" t="s">
        <v>11</v>
      </c>
      <c r="BT361">
        <v>41</v>
      </c>
      <c r="BU361" t="s">
        <v>11</v>
      </c>
    </row>
    <row r="362" spans="1:73" x14ac:dyDescent="0.25">
      <c r="A362" s="5">
        <v>36800</v>
      </c>
      <c r="B362">
        <v>2893</v>
      </c>
      <c r="C362" t="s">
        <v>11</v>
      </c>
      <c r="D362">
        <v>34</v>
      </c>
      <c r="E362" t="s">
        <v>11</v>
      </c>
      <c r="F362">
        <v>5254</v>
      </c>
      <c r="G362">
        <v>5254</v>
      </c>
      <c r="H362">
        <v>780</v>
      </c>
      <c r="I362">
        <v>780</v>
      </c>
      <c r="J362">
        <v>2422</v>
      </c>
      <c r="K362" t="s">
        <v>11</v>
      </c>
      <c r="L362">
        <v>36469</v>
      </c>
      <c r="M362">
        <v>17548</v>
      </c>
      <c r="N362">
        <v>178</v>
      </c>
      <c r="O362">
        <v>178</v>
      </c>
      <c r="P362" t="s">
        <v>11</v>
      </c>
      <c r="Q362" t="s">
        <v>11</v>
      </c>
      <c r="R362" t="s">
        <v>11</v>
      </c>
      <c r="S362" t="s">
        <v>11</v>
      </c>
      <c r="T362" s="34">
        <v>67300</v>
      </c>
      <c r="U362" s="34">
        <v>23687</v>
      </c>
      <c r="V362" s="34">
        <v>2110</v>
      </c>
      <c r="W362">
        <v>2087</v>
      </c>
      <c r="X362">
        <v>2537</v>
      </c>
      <c r="Y362">
        <v>2519</v>
      </c>
      <c r="Z362">
        <v>4325</v>
      </c>
      <c r="AA362">
        <v>1911</v>
      </c>
      <c r="AB362">
        <v>18933</v>
      </c>
      <c r="AC362">
        <v>6317</v>
      </c>
      <c r="AD362">
        <v>1856</v>
      </c>
      <c r="AE362">
        <v>1291</v>
      </c>
      <c r="AF362">
        <v>6226</v>
      </c>
      <c r="AG362">
        <v>5023</v>
      </c>
      <c r="AH362">
        <f t="shared" si="60"/>
        <v>1856</v>
      </c>
      <c r="AI362">
        <f t="shared" si="61"/>
        <v>1291</v>
      </c>
      <c r="AJ362">
        <v>17460</v>
      </c>
      <c r="AK362">
        <v>13821</v>
      </c>
      <c r="AL362">
        <v>27886</v>
      </c>
      <c r="AM362">
        <v>16874</v>
      </c>
      <c r="AN362" s="22">
        <v>75</v>
      </c>
      <c r="AO362">
        <v>842</v>
      </c>
      <c r="AP362" t="s">
        <v>11</v>
      </c>
      <c r="AQ362" t="s">
        <v>11</v>
      </c>
      <c r="AR362">
        <v>229</v>
      </c>
      <c r="AS362" t="s">
        <v>11</v>
      </c>
      <c r="AT362" t="str">
        <f t="shared" si="64"/>
        <v>NoData</v>
      </c>
      <c r="AU362" t="str">
        <f t="shared" si="65"/>
        <v>NoData</v>
      </c>
      <c r="AV362">
        <v>8</v>
      </c>
      <c r="AW362" t="s">
        <v>11</v>
      </c>
      <c r="AX362">
        <v>4</v>
      </c>
      <c r="AY362" t="s">
        <v>11</v>
      </c>
      <c r="AZ362" t="str">
        <f t="shared" si="56"/>
        <v>NoData</v>
      </c>
      <c r="BA362" t="str">
        <f t="shared" si="57"/>
        <v>NoData</v>
      </c>
      <c r="BB362">
        <f t="shared" si="62"/>
        <v>75</v>
      </c>
      <c r="BC362">
        <f t="shared" si="63"/>
        <v>842</v>
      </c>
      <c r="BD362" t="s">
        <v>11</v>
      </c>
      <c r="BE362" t="s">
        <v>11</v>
      </c>
      <c r="BF362" t="s">
        <v>11</v>
      </c>
      <c r="BG362" t="s">
        <v>11</v>
      </c>
      <c r="BH362">
        <v>36</v>
      </c>
      <c r="BI362" t="s">
        <v>11</v>
      </c>
      <c r="BJ362">
        <v>55</v>
      </c>
      <c r="BK362" t="s">
        <v>11</v>
      </c>
      <c r="BL362" t="s">
        <v>11</v>
      </c>
      <c r="BM362" t="s">
        <v>11</v>
      </c>
      <c r="BN362">
        <v>0</v>
      </c>
      <c r="BO362" t="s">
        <v>11</v>
      </c>
      <c r="BP362" t="str">
        <f t="shared" si="58"/>
        <v>NoData</v>
      </c>
      <c r="BQ362" t="str">
        <f t="shared" si="59"/>
        <v>NoData</v>
      </c>
      <c r="BR362">
        <v>77</v>
      </c>
      <c r="BS362" t="s">
        <v>11</v>
      </c>
      <c r="BT362">
        <v>34</v>
      </c>
      <c r="BU362" t="s">
        <v>11</v>
      </c>
    </row>
    <row r="363" spans="1:73" x14ac:dyDescent="0.25">
      <c r="A363" s="5">
        <v>36831</v>
      </c>
      <c r="B363">
        <v>2070</v>
      </c>
      <c r="C363" t="s">
        <v>11</v>
      </c>
      <c r="D363">
        <v>6</v>
      </c>
      <c r="E363" t="s">
        <v>11</v>
      </c>
      <c r="F363">
        <v>2663</v>
      </c>
      <c r="G363">
        <v>2663</v>
      </c>
      <c r="H363">
        <v>576</v>
      </c>
      <c r="I363">
        <v>576</v>
      </c>
      <c r="J363">
        <v>1721</v>
      </c>
      <c r="K363" t="s">
        <v>11</v>
      </c>
      <c r="L363">
        <v>27638</v>
      </c>
      <c r="M363">
        <v>11631</v>
      </c>
      <c r="N363">
        <v>232</v>
      </c>
      <c r="O363">
        <v>232</v>
      </c>
      <c r="P363" t="s">
        <v>11</v>
      </c>
      <c r="Q363" t="s">
        <v>11</v>
      </c>
      <c r="R363" t="s">
        <v>11</v>
      </c>
      <c r="S363" t="s">
        <v>11</v>
      </c>
      <c r="T363" s="34">
        <v>48320</v>
      </c>
      <c r="U363" s="34">
        <v>10805</v>
      </c>
      <c r="V363" s="34">
        <v>2794</v>
      </c>
      <c r="W363">
        <v>2757</v>
      </c>
      <c r="X363">
        <v>4014</v>
      </c>
      <c r="Y363">
        <v>3975</v>
      </c>
      <c r="Z363">
        <v>3364</v>
      </c>
      <c r="AA363">
        <v>1243</v>
      </c>
      <c r="AB363">
        <v>33133</v>
      </c>
      <c r="AC363">
        <v>18358</v>
      </c>
      <c r="AD363">
        <v>1425</v>
      </c>
      <c r="AE363">
        <v>1002</v>
      </c>
      <c r="AF363">
        <v>4212</v>
      </c>
      <c r="AG363">
        <v>3325</v>
      </c>
      <c r="AH363">
        <f t="shared" si="60"/>
        <v>1425</v>
      </c>
      <c r="AI363">
        <f t="shared" si="61"/>
        <v>1002</v>
      </c>
      <c r="AJ363">
        <v>11660</v>
      </c>
      <c r="AK363">
        <v>9054</v>
      </c>
      <c r="AL363">
        <v>22934</v>
      </c>
      <c r="AM363">
        <v>11903</v>
      </c>
      <c r="AN363" s="22">
        <v>65</v>
      </c>
      <c r="AO363">
        <v>420</v>
      </c>
      <c r="AP363" t="s">
        <v>11</v>
      </c>
      <c r="AQ363" t="s">
        <v>11</v>
      </c>
      <c r="AR363">
        <v>163</v>
      </c>
      <c r="AS363" t="s">
        <v>11</v>
      </c>
      <c r="AT363" t="str">
        <f t="shared" si="64"/>
        <v>NoData</v>
      </c>
      <c r="AU363" t="str">
        <f t="shared" si="65"/>
        <v>NoData</v>
      </c>
      <c r="AV363">
        <v>6</v>
      </c>
      <c r="AW363" t="s">
        <v>11</v>
      </c>
      <c r="AX363">
        <v>4</v>
      </c>
      <c r="AY363" t="s">
        <v>11</v>
      </c>
      <c r="AZ363" t="str">
        <f t="shared" si="56"/>
        <v>NoData</v>
      </c>
      <c r="BA363" t="str">
        <f t="shared" si="57"/>
        <v>NoData</v>
      </c>
      <c r="BB363">
        <f t="shared" si="62"/>
        <v>65</v>
      </c>
      <c r="BC363">
        <f t="shared" si="63"/>
        <v>420</v>
      </c>
      <c r="BD363" t="s">
        <v>11</v>
      </c>
      <c r="BE363" t="s">
        <v>11</v>
      </c>
      <c r="BF363" t="s">
        <v>11</v>
      </c>
      <c r="BG363" t="s">
        <v>11</v>
      </c>
      <c r="BH363">
        <v>14</v>
      </c>
      <c r="BI363" t="s">
        <v>11</v>
      </c>
      <c r="BJ363">
        <v>39</v>
      </c>
      <c r="BK363" t="s">
        <v>11</v>
      </c>
      <c r="BL363" t="s">
        <v>11</v>
      </c>
      <c r="BM363" t="s">
        <v>11</v>
      </c>
      <c r="BN363">
        <v>0</v>
      </c>
      <c r="BO363" t="s">
        <v>11</v>
      </c>
      <c r="BP363" t="str">
        <f t="shared" si="58"/>
        <v>NoData</v>
      </c>
      <c r="BQ363" t="str">
        <f t="shared" si="59"/>
        <v>NoData</v>
      </c>
      <c r="BR363">
        <v>54</v>
      </c>
      <c r="BS363" t="s">
        <v>11</v>
      </c>
      <c r="BT363">
        <v>24</v>
      </c>
      <c r="BU363" t="s">
        <v>11</v>
      </c>
    </row>
    <row r="364" spans="1:73" x14ac:dyDescent="0.25">
      <c r="A364" s="5">
        <v>36861</v>
      </c>
      <c r="B364">
        <v>1599</v>
      </c>
      <c r="C364" t="s">
        <v>11</v>
      </c>
      <c r="D364">
        <v>9</v>
      </c>
      <c r="E364" t="s">
        <v>11</v>
      </c>
      <c r="F364">
        <v>2186</v>
      </c>
      <c r="G364">
        <v>2186</v>
      </c>
      <c r="H364">
        <v>3</v>
      </c>
      <c r="I364">
        <v>3</v>
      </c>
      <c r="J364">
        <v>1694</v>
      </c>
      <c r="K364" t="s">
        <v>11</v>
      </c>
      <c r="L364">
        <v>29318</v>
      </c>
      <c r="M364">
        <v>12559</v>
      </c>
      <c r="N364">
        <v>151</v>
      </c>
      <c r="O364">
        <v>151</v>
      </c>
      <c r="P364" t="s">
        <v>11</v>
      </c>
      <c r="Q364" t="s">
        <v>11</v>
      </c>
      <c r="R364" t="s">
        <v>11</v>
      </c>
      <c r="S364" t="s">
        <v>11</v>
      </c>
      <c r="T364" s="34">
        <v>48410</v>
      </c>
      <c r="U364" s="34">
        <v>12744</v>
      </c>
      <c r="V364" s="34">
        <v>1741</v>
      </c>
      <c r="W364">
        <v>1721</v>
      </c>
      <c r="X364">
        <v>2818</v>
      </c>
      <c r="Y364">
        <v>2798</v>
      </c>
      <c r="Z364">
        <v>2868</v>
      </c>
      <c r="AA364">
        <v>1051</v>
      </c>
      <c r="AB364">
        <v>22358</v>
      </c>
      <c r="AC364">
        <v>9705</v>
      </c>
      <c r="AD364">
        <v>1751</v>
      </c>
      <c r="AE364">
        <v>1066</v>
      </c>
      <c r="AF364">
        <v>4733</v>
      </c>
      <c r="AG364">
        <v>3218</v>
      </c>
      <c r="AH364">
        <f t="shared" si="60"/>
        <v>1751</v>
      </c>
      <c r="AI364">
        <f t="shared" si="61"/>
        <v>1066</v>
      </c>
      <c r="AJ364">
        <v>9396</v>
      </c>
      <c r="AK364">
        <v>5599</v>
      </c>
      <c r="AL364">
        <v>21901</v>
      </c>
      <c r="AM364">
        <v>7591</v>
      </c>
      <c r="AN364" s="22">
        <v>104</v>
      </c>
      <c r="AO364">
        <v>699</v>
      </c>
      <c r="AP364" t="s">
        <v>11</v>
      </c>
      <c r="AQ364" t="s">
        <v>11</v>
      </c>
      <c r="AR364">
        <v>160</v>
      </c>
      <c r="AS364" t="s">
        <v>11</v>
      </c>
      <c r="AT364" t="str">
        <f t="shared" si="64"/>
        <v>NoData</v>
      </c>
      <c r="AU364" t="str">
        <f t="shared" si="65"/>
        <v>NoData</v>
      </c>
      <c r="AV364">
        <v>5</v>
      </c>
      <c r="AW364" t="s">
        <v>11</v>
      </c>
      <c r="AX364">
        <v>4</v>
      </c>
      <c r="AY364" t="s">
        <v>11</v>
      </c>
      <c r="AZ364" t="str">
        <f t="shared" si="56"/>
        <v>NoData</v>
      </c>
      <c r="BA364" t="str">
        <f t="shared" si="57"/>
        <v>NoData</v>
      </c>
      <c r="BB364">
        <f t="shared" si="62"/>
        <v>104</v>
      </c>
      <c r="BC364">
        <f t="shared" si="63"/>
        <v>699</v>
      </c>
      <c r="BD364" t="s">
        <v>11</v>
      </c>
      <c r="BE364" t="s">
        <v>11</v>
      </c>
      <c r="BF364" t="s">
        <v>11</v>
      </c>
      <c r="BG364" t="s">
        <v>11</v>
      </c>
      <c r="BH364">
        <v>16</v>
      </c>
      <c r="BI364" t="s">
        <v>11</v>
      </c>
      <c r="BJ364">
        <v>38</v>
      </c>
      <c r="BK364" t="s">
        <v>11</v>
      </c>
      <c r="BL364" t="s">
        <v>11</v>
      </c>
      <c r="BM364" t="s">
        <v>11</v>
      </c>
      <c r="BN364">
        <v>0</v>
      </c>
      <c r="BO364" t="s">
        <v>11</v>
      </c>
      <c r="BP364" t="str">
        <f t="shared" si="58"/>
        <v>NoData</v>
      </c>
      <c r="BQ364" t="str">
        <f t="shared" si="59"/>
        <v>NoData</v>
      </c>
      <c r="BR364">
        <v>54</v>
      </c>
      <c r="BS364" t="s">
        <v>11</v>
      </c>
      <c r="BT364">
        <v>24</v>
      </c>
      <c r="BU364" t="s">
        <v>11</v>
      </c>
    </row>
    <row r="365" spans="1:73" x14ac:dyDescent="0.25">
      <c r="A365" s="5">
        <v>36892</v>
      </c>
      <c r="B365">
        <v>919</v>
      </c>
      <c r="C365" t="s">
        <v>11</v>
      </c>
      <c r="D365">
        <v>13</v>
      </c>
      <c r="E365" t="s">
        <v>11</v>
      </c>
      <c r="F365">
        <v>1751</v>
      </c>
      <c r="G365">
        <v>1751</v>
      </c>
      <c r="H365">
        <v>386</v>
      </c>
      <c r="I365">
        <v>386</v>
      </c>
      <c r="J365">
        <v>77</v>
      </c>
      <c r="K365" t="s">
        <v>11</v>
      </c>
      <c r="L365">
        <v>10470</v>
      </c>
      <c r="M365">
        <v>-808</v>
      </c>
      <c r="N365">
        <v>120</v>
      </c>
      <c r="O365">
        <v>120</v>
      </c>
      <c r="P365" t="s">
        <v>11</v>
      </c>
      <c r="Q365" t="s">
        <v>11</v>
      </c>
      <c r="R365" t="s">
        <v>11</v>
      </c>
      <c r="S365" t="s">
        <v>11</v>
      </c>
      <c r="T365" s="34">
        <v>20180</v>
      </c>
      <c r="U365" s="34">
        <v>-4847</v>
      </c>
      <c r="V365" s="34">
        <v>1985</v>
      </c>
      <c r="W365">
        <v>1962</v>
      </c>
      <c r="X365">
        <v>2424</v>
      </c>
      <c r="Y365">
        <v>2408</v>
      </c>
      <c r="Z365">
        <v>2401</v>
      </c>
      <c r="AA365">
        <v>812</v>
      </c>
      <c r="AB365">
        <v>18500</v>
      </c>
      <c r="AC365">
        <v>7629</v>
      </c>
      <c r="AD365">
        <v>1377</v>
      </c>
      <c r="AE365">
        <v>616</v>
      </c>
      <c r="AF365">
        <v>2939</v>
      </c>
      <c r="AG365">
        <v>1939</v>
      </c>
      <c r="AH365">
        <f t="shared" si="60"/>
        <v>1377</v>
      </c>
      <c r="AI365">
        <f t="shared" si="61"/>
        <v>616</v>
      </c>
      <c r="AJ365">
        <v>10103</v>
      </c>
      <c r="AK365">
        <v>5393</v>
      </c>
      <c r="AL365">
        <v>16097</v>
      </c>
      <c r="AM365">
        <v>2523</v>
      </c>
      <c r="AN365" s="22">
        <v>312</v>
      </c>
      <c r="AO365">
        <v>495</v>
      </c>
      <c r="AP365">
        <v>278</v>
      </c>
      <c r="AQ365">
        <v>245</v>
      </c>
      <c r="AR365">
        <v>152</v>
      </c>
      <c r="AS365" t="s">
        <v>11</v>
      </c>
      <c r="AT365">
        <f>AP365</f>
        <v>278</v>
      </c>
      <c r="AU365">
        <f>AQ365</f>
        <v>245</v>
      </c>
      <c r="AV365">
        <v>0</v>
      </c>
      <c r="AW365" t="s">
        <v>11</v>
      </c>
      <c r="AX365">
        <v>4</v>
      </c>
      <c r="AY365" t="s">
        <v>11</v>
      </c>
      <c r="AZ365">
        <f>AT365</f>
        <v>278</v>
      </c>
      <c r="BA365">
        <f>AU365</f>
        <v>245</v>
      </c>
      <c r="BB365">
        <f t="shared" si="62"/>
        <v>312</v>
      </c>
      <c r="BC365">
        <f t="shared" si="63"/>
        <v>495</v>
      </c>
      <c r="BD365" t="s">
        <v>11</v>
      </c>
      <c r="BE365" t="s">
        <v>11</v>
      </c>
      <c r="BF365" t="s">
        <v>11</v>
      </c>
      <c r="BG365" t="s">
        <v>11</v>
      </c>
      <c r="BH365">
        <v>11.5</v>
      </c>
      <c r="BI365" t="s">
        <v>11</v>
      </c>
      <c r="BJ365">
        <v>22.4</v>
      </c>
      <c r="BK365" t="s">
        <v>11</v>
      </c>
      <c r="BL365" t="s">
        <v>11</v>
      </c>
      <c r="BM365" t="s">
        <v>11</v>
      </c>
      <c r="BN365">
        <v>56</v>
      </c>
      <c r="BO365" t="s">
        <v>11</v>
      </c>
      <c r="BP365" t="str">
        <f t="shared" si="58"/>
        <v>NoData</v>
      </c>
      <c r="BQ365" t="str">
        <f t="shared" si="59"/>
        <v>NoData</v>
      </c>
      <c r="BR365">
        <v>51</v>
      </c>
      <c r="BS365" t="s">
        <v>11</v>
      </c>
      <c r="BT365">
        <v>23</v>
      </c>
      <c r="BU365" t="s">
        <v>11</v>
      </c>
    </row>
    <row r="366" spans="1:73" x14ac:dyDescent="0.25">
      <c r="A366" s="5">
        <v>36923</v>
      </c>
      <c r="B366">
        <v>1493</v>
      </c>
      <c r="C366" t="s">
        <v>11</v>
      </c>
      <c r="D366">
        <v>18</v>
      </c>
      <c r="E366" t="s">
        <v>11</v>
      </c>
      <c r="F366">
        <v>2573</v>
      </c>
      <c r="G366">
        <v>2573</v>
      </c>
      <c r="H366">
        <v>637</v>
      </c>
      <c r="I366">
        <v>637</v>
      </c>
      <c r="J366">
        <v>2098</v>
      </c>
      <c r="K366" t="s">
        <v>11</v>
      </c>
      <c r="L366">
        <v>34920</v>
      </c>
      <c r="M366">
        <v>19909</v>
      </c>
      <c r="N366">
        <v>236</v>
      </c>
      <c r="O366">
        <v>236</v>
      </c>
      <c r="P366" t="s">
        <v>11</v>
      </c>
      <c r="Q366" t="s">
        <v>11</v>
      </c>
      <c r="R366" t="s">
        <v>11</v>
      </c>
      <c r="S366" t="s">
        <v>11</v>
      </c>
      <c r="T366" s="34">
        <v>57230</v>
      </c>
      <c r="U366" s="34">
        <v>28695</v>
      </c>
      <c r="V366" s="34">
        <v>2308</v>
      </c>
      <c r="W366">
        <v>2280</v>
      </c>
      <c r="X366">
        <v>2573</v>
      </c>
      <c r="Y366">
        <v>2556</v>
      </c>
      <c r="Z366">
        <v>2201</v>
      </c>
      <c r="AA366">
        <v>916</v>
      </c>
      <c r="AB366">
        <v>22316</v>
      </c>
      <c r="AC366">
        <v>12169</v>
      </c>
      <c r="AD366">
        <v>894</v>
      </c>
      <c r="AE366">
        <v>430</v>
      </c>
      <c r="AF366">
        <v>3096</v>
      </c>
      <c r="AG366">
        <v>2524</v>
      </c>
      <c r="AH366">
        <f t="shared" si="60"/>
        <v>894</v>
      </c>
      <c r="AI366">
        <f t="shared" si="61"/>
        <v>430</v>
      </c>
      <c r="AJ366">
        <v>8139</v>
      </c>
      <c r="AK366">
        <v>5412</v>
      </c>
      <c r="AL366">
        <v>20606</v>
      </c>
      <c r="AM366">
        <v>10262</v>
      </c>
      <c r="AN366" s="22">
        <v>521</v>
      </c>
      <c r="AO366">
        <v>701</v>
      </c>
      <c r="AP366">
        <v>419</v>
      </c>
      <c r="AQ366">
        <v>410</v>
      </c>
      <c r="AR366">
        <v>122</v>
      </c>
      <c r="AS366" t="s">
        <v>11</v>
      </c>
      <c r="AT366">
        <f t="shared" ref="AT366:AT429" si="66">AP366</f>
        <v>419</v>
      </c>
      <c r="AU366">
        <f t="shared" ref="AU366:AU429" si="67">AQ366</f>
        <v>410</v>
      </c>
      <c r="AV366">
        <v>0</v>
      </c>
      <c r="AW366" t="s">
        <v>11</v>
      </c>
      <c r="AX366">
        <v>4</v>
      </c>
      <c r="AY366" t="s">
        <v>11</v>
      </c>
      <c r="AZ366">
        <f t="shared" ref="AZ366:AZ429" si="68">AT366</f>
        <v>419</v>
      </c>
      <c r="BA366">
        <f t="shared" ref="BA366:BA429" si="69">AU366</f>
        <v>410</v>
      </c>
      <c r="BB366">
        <f t="shared" si="62"/>
        <v>521</v>
      </c>
      <c r="BC366">
        <f t="shared" si="63"/>
        <v>701</v>
      </c>
      <c r="BD366" t="s">
        <v>11</v>
      </c>
      <c r="BE366" t="s">
        <v>11</v>
      </c>
      <c r="BF366" t="s">
        <v>11</v>
      </c>
      <c r="BG366" t="s">
        <v>11</v>
      </c>
      <c r="BH366">
        <v>10.6</v>
      </c>
      <c r="BI366" t="s">
        <v>11</v>
      </c>
      <c r="BJ366">
        <v>17.899999999999999</v>
      </c>
      <c r="BK366" t="s">
        <v>11</v>
      </c>
      <c r="BL366" t="s">
        <v>11</v>
      </c>
      <c r="BM366" t="s">
        <v>11</v>
      </c>
      <c r="BN366">
        <v>40</v>
      </c>
      <c r="BO366" t="s">
        <v>11</v>
      </c>
      <c r="BP366" t="str">
        <f t="shared" si="58"/>
        <v>NoData</v>
      </c>
      <c r="BQ366" t="str">
        <f t="shared" si="59"/>
        <v>NoData</v>
      </c>
      <c r="BR366">
        <v>41</v>
      </c>
      <c r="BS366" t="s">
        <v>11</v>
      </c>
      <c r="BT366">
        <v>18</v>
      </c>
      <c r="BU366" t="s">
        <v>11</v>
      </c>
    </row>
    <row r="367" spans="1:73" x14ac:dyDescent="0.25">
      <c r="A367" s="5">
        <v>36951</v>
      </c>
      <c r="B367">
        <v>3185</v>
      </c>
      <c r="C367" t="s">
        <v>11</v>
      </c>
      <c r="D367">
        <v>19</v>
      </c>
      <c r="E367" t="s">
        <v>11</v>
      </c>
      <c r="F367">
        <v>7564</v>
      </c>
      <c r="G367">
        <v>7564</v>
      </c>
      <c r="H367">
        <v>3369</v>
      </c>
      <c r="I367">
        <v>3369</v>
      </c>
      <c r="J367">
        <v>1122</v>
      </c>
      <c r="K367" t="s">
        <v>11</v>
      </c>
      <c r="L367">
        <v>31010</v>
      </c>
      <c r="M367">
        <v>16188</v>
      </c>
      <c r="N367">
        <v>175</v>
      </c>
      <c r="O367">
        <v>175</v>
      </c>
      <c r="P367" t="s">
        <v>11</v>
      </c>
      <c r="Q367" t="s">
        <v>11</v>
      </c>
      <c r="R367" t="s">
        <v>11</v>
      </c>
      <c r="S367" t="s">
        <v>11</v>
      </c>
      <c r="T367" s="34">
        <v>46160</v>
      </c>
      <c r="U367" s="34">
        <v>16524</v>
      </c>
      <c r="V367" s="34">
        <v>2744</v>
      </c>
      <c r="W367">
        <v>2710</v>
      </c>
      <c r="X367">
        <v>2420</v>
      </c>
      <c r="Y367">
        <v>2403</v>
      </c>
      <c r="Z367">
        <v>2732</v>
      </c>
      <c r="AA367">
        <v>1191</v>
      </c>
      <c r="AB367">
        <v>23825</v>
      </c>
      <c r="AC367">
        <v>13873</v>
      </c>
      <c r="AD367">
        <v>1306</v>
      </c>
      <c r="AE367">
        <v>841</v>
      </c>
      <c r="AF367">
        <v>3702</v>
      </c>
      <c r="AG367">
        <v>2987</v>
      </c>
      <c r="AH367">
        <f t="shared" si="60"/>
        <v>1306</v>
      </c>
      <c r="AI367">
        <f t="shared" si="61"/>
        <v>841</v>
      </c>
      <c r="AJ367">
        <v>10018</v>
      </c>
      <c r="AK367">
        <v>7288</v>
      </c>
      <c r="AL367">
        <v>27358</v>
      </c>
      <c r="AM367">
        <v>16451</v>
      </c>
      <c r="AN367" s="22">
        <v>69</v>
      </c>
      <c r="AO367">
        <v>255</v>
      </c>
      <c r="AP367">
        <v>545</v>
      </c>
      <c r="AQ367">
        <v>532</v>
      </c>
      <c r="AR367">
        <v>207</v>
      </c>
      <c r="AS367" t="s">
        <v>11</v>
      </c>
      <c r="AT367">
        <f t="shared" si="66"/>
        <v>545</v>
      </c>
      <c r="AU367">
        <f t="shared" si="67"/>
        <v>532</v>
      </c>
      <c r="AV367">
        <v>8</v>
      </c>
      <c r="AW367" t="s">
        <v>11</v>
      </c>
      <c r="AX367">
        <v>4</v>
      </c>
      <c r="AY367" t="s">
        <v>11</v>
      </c>
      <c r="AZ367">
        <f t="shared" si="68"/>
        <v>545</v>
      </c>
      <c r="BA367">
        <f t="shared" si="69"/>
        <v>532</v>
      </c>
      <c r="BB367">
        <f t="shared" si="62"/>
        <v>69</v>
      </c>
      <c r="BC367">
        <f t="shared" si="63"/>
        <v>255</v>
      </c>
      <c r="BD367" t="s">
        <v>11</v>
      </c>
      <c r="BE367" t="s">
        <v>11</v>
      </c>
      <c r="BF367" t="s">
        <v>11</v>
      </c>
      <c r="BG367" t="s">
        <v>11</v>
      </c>
      <c r="BH367">
        <v>23.7</v>
      </c>
      <c r="BI367" t="s">
        <v>11</v>
      </c>
      <c r="BJ367">
        <v>30.5</v>
      </c>
      <c r="BK367" t="s">
        <v>11</v>
      </c>
      <c r="BL367" t="s">
        <v>11</v>
      </c>
      <c r="BM367" t="s">
        <v>11</v>
      </c>
      <c r="BN367">
        <v>1.1000000000000001</v>
      </c>
      <c r="BO367" t="s">
        <v>11</v>
      </c>
      <c r="BP367" t="str">
        <f t="shared" si="58"/>
        <v>NoData</v>
      </c>
      <c r="BQ367" t="str">
        <f t="shared" si="59"/>
        <v>NoData</v>
      </c>
      <c r="BR367">
        <v>70</v>
      </c>
      <c r="BS367" t="s">
        <v>11</v>
      </c>
      <c r="BT367">
        <v>31</v>
      </c>
      <c r="BU367" t="s">
        <v>11</v>
      </c>
    </row>
    <row r="368" spans="1:73" x14ac:dyDescent="0.25">
      <c r="A368" s="5">
        <v>36982</v>
      </c>
      <c r="B368">
        <v>2917</v>
      </c>
      <c r="C368" t="s">
        <v>11</v>
      </c>
      <c r="D368">
        <v>12</v>
      </c>
      <c r="E368" t="s">
        <v>11</v>
      </c>
      <c r="F368">
        <v>4911</v>
      </c>
      <c r="G368">
        <v>4911</v>
      </c>
      <c r="H368">
        <v>1337</v>
      </c>
      <c r="I368">
        <v>1337</v>
      </c>
      <c r="J368">
        <v>1196</v>
      </c>
      <c r="K368" t="s">
        <v>11</v>
      </c>
      <c r="L368">
        <v>59250</v>
      </c>
      <c r="M368">
        <v>41200</v>
      </c>
      <c r="N368">
        <v>468</v>
      </c>
      <c r="O368">
        <v>468</v>
      </c>
      <c r="P368" t="s">
        <v>11</v>
      </c>
      <c r="Q368" t="s">
        <v>11</v>
      </c>
      <c r="R368" t="s">
        <v>11</v>
      </c>
      <c r="S368" t="s">
        <v>11</v>
      </c>
      <c r="T368" s="34">
        <v>89440</v>
      </c>
      <c r="U368" s="34">
        <v>54474</v>
      </c>
      <c r="V368" s="34">
        <v>5216</v>
      </c>
      <c r="W368">
        <v>5155</v>
      </c>
      <c r="X368">
        <v>4952</v>
      </c>
      <c r="Y368">
        <v>4917</v>
      </c>
      <c r="Z368">
        <v>4685</v>
      </c>
      <c r="AA368">
        <v>2225</v>
      </c>
      <c r="AB368">
        <v>40698</v>
      </c>
      <c r="AC368">
        <v>30124</v>
      </c>
      <c r="AD368">
        <v>2121</v>
      </c>
      <c r="AE368">
        <v>1166</v>
      </c>
      <c r="AF368">
        <v>6869</v>
      </c>
      <c r="AG368">
        <v>507</v>
      </c>
      <c r="AH368">
        <f t="shared" si="60"/>
        <v>2121</v>
      </c>
      <c r="AI368">
        <f t="shared" si="61"/>
        <v>1166</v>
      </c>
      <c r="AJ368">
        <v>16937</v>
      </c>
      <c r="AK368">
        <v>11347</v>
      </c>
      <c r="AL368">
        <v>39539</v>
      </c>
      <c r="AM368">
        <v>28952</v>
      </c>
      <c r="AN368" s="22">
        <v>612</v>
      </c>
      <c r="AO368">
        <v>1026</v>
      </c>
      <c r="AP368">
        <v>976</v>
      </c>
      <c r="AQ368">
        <v>953</v>
      </c>
      <c r="AR368">
        <v>224</v>
      </c>
      <c r="AS368" t="s">
        <v>11</v>
      </c>
      <c r="AT368">
        <f t="shared" si="66"/>
        <v>976</v>
      </c>
      <c r="AU368">
        <f t="shared" si="67"/>
        <v>953</v>
      </c>
      <c r="AV368">
        <v>8</v>
      </c>
      <c r="AW368" t="s">
        <v>11</v>
      </c>
      <c r="AX368">
        <v>4</v>
      </c>
      <c r="AY368" t="s">
        <v>11</v>
      </c>
      <c r="AZ368">
        <f t="shared" si="68"/>
        <v>976</v>
      </c>
      <c r="BA368">
        <f t="shared" si="69"/>
        <v>953</v>
      </c>
      <c r="BB368">
        <f t="shared" si="62"/>
        <v>612</v>
      </c>
      <c r="BC368">
        <f t="shared" si="63"/>
        <v>1026</v>
      </c>
      <c r="BD368" t="s">
        <v>11</v>
      </c>
      <c r="BE368" t="s">
        <v>11</v>
      </c>
      <c r="BF368" t="s">
        <v>11</v>
      </c>
      <c r="BG368" t="s">
        <v>11</v>
      </c>
      <c r="BH368">
        <v>0.5</v>
      </c>
      <c r="BI368" t="s">
        <v>11</v>
      </c>
      <c r="BJ368">
        <v>33</v>
      </c>
      <c r="BK368" t="s">
        <v>11</v>
      </c>
      <c r="BL368" t="s">
        <v>11</v>
      </c>
      <c r="BM368" t="s">
        <v>11</v>
      </c>
      <c r="BN368">
        <v>45</v>
      </c>
      <c r="BO368" t="s">
        <v>11</v>
      </c>
      <c r="BP368" t="str">
        <f t="shared" si="58"/>
        <v>NoData</v>
      </c>
      <c r="BQ368" t="str">
        <f t="shared" si="59"/>
        <v>NoData</v>
      </c>
      <c r="BR368">
        <v>75</v>
      </c>
      <c r="BS368" t="s">
        <v>11</v>
      </c>
      <c r="BT368">
        <v>34</v>
      </c>
      <c r="BU368" t="s">
        <v>11</v>
      </c>
    </row>
    <row r="369" spans="1:73" x14ac:dyDescent="0.25">
      <c r="A369" s="5">
        <v>37012</v>
      </c>
      <c r="B369">
        <v>4605</v>
      </c>
      <c r="C369" t="s">
        <v>11</v>
      </c>
      <c r="D369">
        <v>17</v>
      </c>
      <c r="E369" t="s">
        <v>11</v>
      </c>
      <c r="F369">
        <v>8073</v>
      </c>
      <c r="G369">
        <v>8073</v>
      </c>
      <c r="H369">
        <v>2479</v>
      </c>
      <c r="I369">
        <v>2479</v>
      </c>
      <c r="J369">
        <v>2720</v>
      </c>
      <c r="K369" t="s">
        <v>11</v>
      </c>
      <c r="L369">
        <v>72800</v>
      </c>
      <c r="M369">
        <v>50849</v>
      </c>
      <c r="N369">
        <v>492</v>
      </c>
      <c r="O369">
        <v>492</v>
      </c>
      <c r="P369" t="s">
        <v>11</v>
      </c>
      <c r="Q369" t="s">
        <v>11</v>
      </c>
      <c r="R369" t="s">
        <v>11</v>
      </c>
      <c r="S369" t="s">
        <v>11</v>
      </c>
      <c r="T369" s="34">
        <v>107000</v>
      </c>
      <c r="U369" s="34">
        <v>67185</v>
      </c>
      <c r="V369" s="34">
        <v>5561</v>
      </c>
      <c r="W369">
        <v>5486</v>
      </c>
      <c r="X369">
        <v>6531</v>
      </c>
      <c r="Y369">
        <v>6475</v>
      </c>
      <c r="Z369">
        <v>6720</v>
      </c>
      <c r="AA369">
        <v>3285</v>
      </c>
      <c r="AB369">
        <v>42245</v>
      </c>
      <c r="AC369">
        <v>30592</v>
      </c>
      <c r="AD369">
        <v>3361</v>
      </c>
      <c r="AE369">
        <v>2134</v>
      </c>
      <c r="AF369">
        <v>8856</v>
      </c>
      <c r="AG369">
        <v>7211</v>
      </c>
      <c r="AH369">
        <f t="shared" si="60"/>
        <v>3361</v>
      </c>
      <c r="AI369">
        <f t="shared" si="61"/>
        <v>2134</v>
      </c>
      <c r="AJ369">
        <v>25798</v>
      </c>
      <c r="AK369">
        <v>18597</v>
      </c>
      <c r="AL369">
        <v>52167</v>
      </c>
      <c r="AM369">
        <v>41803</v>
      </c>
      <c r="AN369" s="22">
        <v>1561</v>
      </c>
      <c r="AO369">
        <v>2017</v>
      </c>
      <c r="AP369">
        <v>2134</v>
      </c>
      <c r="AQ369">
        <v>2083</v>
      </c>
      <c r="AR369">
        <v>274</v>
      </c>
      <c r="AS369" t="s">
        <v>11</v>
      </c>
      <c r="AT369">
        <f t="shared" si="66"/>
        <v>2134</v>
      </c>
      <c r="AU369">
        <f t="shared" si="67"/>
        <v>2083</v>
      </c>
      <c r="AV369">
        <v>0</v>
      </c>
      <c r="AW369" t="s">
        <v>11</v>
      </c>
      <c r="AX369">
        <v>4</v>
      </c>
      <c r="AY369" t="s">
        <v>11</v>
      </c>
      <c r="AZ369">
        <f t="shared" si="68"/>
        <v>2134</v>
      </c>
      <c r="BA369">
        <f t="shared" si="69"/>
        <v>2083</v>
      </c>
      <c r="BB369">
        <f t="shared" si="62"/>
        <v>1561</v>
      </c>
      <c r="BC369">
        <f t="shared" si="63"/>
        <v>2017</v>
      </c>
      <c r="BD369" t="s">
        <v>11</v>
      </c>
      <c r="BE369" t="s">
        <v>11</v>
      </c>
      <c r="BF369" t="s">
        <v>11</v>
      </c>
      <c r="BG369" t="s">
        <v>11</v>
      </c>
      <c r="BH369">
        <v>10.199999999999999</v>
      </c>
      <c r="BI369" t="s">
        <v>11</v>
      </c>
      <c r="BJ369">
        <v>40.299999999999997</v>
      </c>
      <c r="BK369" t="s">
        <v>11</v>
      </c>
      <c r="BL369" t="s">
        <v>11</v>
      </c>
      <c r="BM369" t="s">
        <v>11</v>
      </c>
      <c r="BN369">
        <v>8.5</v>
      </c>
      <c r="BO369" t="s">
        <v>11</v>
      </c>
      <c r="BP369" t="str">
        <f t="shared" si="58"/>
        <v>NoData</v>
      </c>
      <c r="BQ369" t="str">
        <f t="shared" si="59"/>
        <v>NoData</v>
      </c>
      <c r="BR369">
        <v>92</v>
      </c>
      <c r="BS369" t="s">
        <v>11</v>
      </c>
      <c r="BT369">
        <v>41</v>
      </c>
      <c r="BU369" t="s">
        <v>11</v>
      </c>
    </row>
    <row r="370" spans="1:73" x14ac:dyDescent="0.25">
      <c r="A370" s="5">
        <v>37043</v>
      </c>
      <c r="B370">
        <v>5289</v>
      </c>
      <c r="C370" t="s">
        <v>11</v>
      </c>
      <c r="D370">
        <v>13</v>
      </c>
      <c r="E370" t="s">
        <v>11</v>
      </c>
      <c r="F370">
        <v>9916</v>
      </c>
      <c r="G370">
        <v>9916</v>
      </c>
      <c r="H370">
        <v>2583</v>
      </c>
      <c r="I370">
        <v>2583</v>
      </c>
      <c r="J370">
        <v>3512</v>
      </c>
      <c r="K370" t="s">
        <v>11</v>
      </c>
      <c r="L370">
        <v>74860</v>
      </c>
      <c r="M370">
        <v>50041</v>
      </c>
      <c r="N370">
        <v>556</v>
      </c>
      <c r="O370">
        <v>556</v>
      </c>
      <c r="P370" t="s">
        <v>11</v>
      </c>
      <c r="Q370" t="s">
        <v>11</v>
      </c>
      <c r="R370" t="s">
        <v>11</v>
      </c>
      <c r="S370" t="s">
        <v>11</v>
      </c>
      <c r="T370" s="34">
        <v>123800</v>
      </c>
      <c r="U370" s="34">
        <v>83844</v>
      </c>
      <c r="V370" s="34">
        <v>2016</v>
      </c>
      <c r="W370">
        <v>1995</v>
      </c>
      <c r="X370">
        <v>4966</v>
      </c>
      <c r="Y370">
        <v>4929</v>
      </c>
      <c r="Z370">
        <v>5521</v>
      </c>
      <c r="AA370">
        <v>2505</v>
      </c>
      <c r="AB370">
        <v>27965</v>
      </c>
      <c r="AC370">
        <v>17905</v>
      </c>
      <c r="AD370">
        <v>3183</v>
      </c>
      <c r="AE370">
        <v>2164</v>
      </c>
      <c r="AF370">
        <v>4509</v>
      </c>
      <c r="AG370">
        <v>3684</v>
      </c>
      <c r="AH370">
        <f t="shared" si="60"/>
        <v>3183</v>
      </c>
      <c r="AI370">
        <f t="shared" si="61"/>
        <v>2164</v>
      </c>
      <c r="AJ370">
        <v>26142</v>
      </c>
      <c r="AK370">
        <v>20007</v>
      </c>
      <c r="AL370">
        <v>50142</v>
      </c>
      <c r="AM370">
        <v>39750</v>
      </c>
      <c r="AN370" s="22">
        <v>644</v>
      </c>
      <c r="AO370">
        <v>1061</v>
      </c>
      <c r="AP370">
        <v>1732</v>
      </c>
      <c r="AQ370">
        <v>1681</v>
      </c>
      <c r="AR370">
        <v>332</v>
      </c>
      <c r="AS370" t="s">
        <v>11</v>
      </c>
      <c r="AT370">
        <f t="shared" si="66"/>
        <v>1732</v>
      </c>
      <c r="AU370">
        <f t="shared" si="67"/>
        <v>1681</v>
      </c>
      <c r="AV370">
        <v>0</v>
      </c>
      <c r="AW370" t="s">
        <v>11</v>
      </c>
      <c r="AX370">
        <v>4</v>
      </c>
      <c r="AY370" t="s">
        <v>11</v>
      </c>
      <c r="AZ370">
        <f t="shared" si="68"/>
        <v>1732</v>
      </c>
      <c r="BA370">
        <f t="shared" si="69"/>
        <v>1681</v>
      </c>
      <c r="BB370">
        <f t="shared" si="62"/>
        <v>644</v>
      </c>
      <c r="BC370">
        <f t="shared" si="63"/>
        <v>1061</v>
      </c>
      <c r="BD370" t="s">
        <v>11</v>
      </c>
      <c r="BE370" t="s">
        <v>11</v>
      </c>
      <c r="BF370" t="s">
        <v>11</v>
      </c>
      <c r="BG370" t="s">
        <v>11</v>
      </c>
      <c r="BH370">
        <v>36.700000000000003</v>
      </c>
      <c r="BI370" t="s">
        <v>11</v>
      </c>
      <c r="BJ370">
        <v>48.8</v>
      </c>
      <c r="BK370" t="s">
        <v>11</v>
      </c>
      <c r="BL370" t="s">
        <v>11</v>
      </c>
      <c r="BM370" t="s">
        <v>11</v>
      </c>
      <c r="BN370">
        <v>118</v>
      </c>
      <c r="BO370" t="s">
        <v>11</v>
      </c>
      <c r="BP370" t="str">
        <f t="shared" si="58"/>
        <v>NoData</v>
      </c>
      <c r="BQ370" t="str">
        <f t="shared" si="59"/>
        <v>NoData</v>
      </c>
      <c r="BR370">
        <v>111</v>
      </c>
      <c r="BS370" t="s">
        <v>11</v>
      </c>
      <c r="BT370">
        <v>50</v>
      </c>
      <c r="BU370" t="s">
        <v>11</v>
      </c>
    </row>
    <row r="371" spans="1:73" x14ac:dyDescent="0.25">
      <c r="A371" s="5">
        <v>37073</v>
      </c>
      <c r="B371">
        <v>5391</v>
      </c>
      <c r="C371" t="s">
        <v>11</v>
      </c>
      <c r="D371">
        <v>36</v>
      </c>
      <c r="E371" t="s">
        <v>11</v>
      </c>
      <c r="F371">
        <v>8843</v>
      </c>
      <c r="G371">
        <v>8843</v>
      </c>
      <c r="H371">
        <v>2572</v>
      </c>
      <c r="I371">
        <v>2572</v>
      </c>
      <c r="J371">
        <v>5037</v>
      </c>
      <c r="K371" t="s">
        <v>11</v>
      </c>
      <c r="L371">
        <v>72580</v>
      </c>
      <c r="M371">
        <v>46704</v>
      </c>
      <c r="N371">
        <v>485</v>
      </c>
      <c r="O371">
        <v>485</v>
      </c>
      <c r="P371" t="s">
        <v>11</v>
      </c>
      <c r="Q371" t="s">
        <v>11</v>
      </c>
      <c r="R371" t="s">
        <v>11</v>
      </c>
      <c r="S371" t="s">
        <v>11</v>
      </c>
      <c r="T371" s="34">
        <v>119200</v>
      </c>
      <c r="U371" s="34">
        <v>78134</v>
      </c>
      <c r="V371" s="34">
        <v>2402</v>
      </c>
      <c r="W371">
        <v>2356</v>
      </c>
      <c r="X371">
        <v>4485</v>
      </c>
      <c r="Y371">
        <v>4434</v>
      </c>
      <c r="Z371">
        <v>4164</v>
      </c>
      <c r="AA371">
        <v>1707</v>
      </c>
      <c r="AB371">
        <v>29295</v>
      </c>
      <c r="AC371">
        <v>18691</v>
      </c>
      <c r="AD371">
        <v>3249</v>
      </c>
      <c r="AE371">
        <v>2217</v>
      </c>
      <c r="AF371">
        <v>4713</v>
      </c>
      <c r="AG371">
        <v>3546</v>
      </c>
      <c r="AH371">
        <f t="shared" si="60"/>
        <v>3249</v>
      </c>
      <c r="AI371">
        <f t="shared" si="61"/>
        <v>2217</v>
      </c>
      <c r="AJ371">
        <v>26775</v>
      </c>
      <c r="AK371">
        <v>20361</v>
      </c>
      <c r="AL371">
        <v>48187</v>
      </c>
      <c r="AM371">
        <v>41788</v>
      </c>
      <c r="AN371" s="22">
        <v>856</v>
      </c>
      <c r="AO371">
        <v>1289</v>
      </c>
      <c r="AP371">
        <v>1829</v>
      </c>
      <c r="AQ371">
        <v>1747</v>
      </c>
      <c r="AR371">
        <v>362</v>
      </c>
      <c r="AS371" t="s">
        <v>11</v>
      </c>
      <c r="AT371">
        <f t="shared" si="66"/>
        <v>1829</v>
      </c>
      <c r="AU371">
        <f t="shared" si="67"/>
        <v>1747</v>
      </c>
      <c r="AV371">
        <v>0</v>
      </c>
      <c r="AW371" t="s">
        <v>11</v>
      </c>
      <c r="AX371">
        <v>4</v>
      </c>
      <c r="AY371" t="s">
        <v>11</v>
      </c>
      <c r="AZ371">
        <f t="shared" si="68"/>
        <v>1829</v>
      </c>
      <c r="BA371">
        <f t="shared" si="69"/>
        <v>1747</v>
      </c>
      <c r="BB371">
        <f t="shared" si="62"/>
        <v>856</v>
      </c>
      <c r="BC371">
        <f t="shared" si="63"/>
        <v>1289</v>
      </c>
      <c r="BD371" t="s">
        <v>11</v>
      </c>
      <c r="BE371" t="s">
        <v>11</v>
      </c>
      <c r="BF371" t="s">
        <v>11</v>
      </c>
      <c r="BG371" t="s">
        <v>11</v>
      </c>
      <c r="BH371">
        <v>6</v>
      </c>
      <c r="BI371" t="s">
        <v>11</v>
      </c>
      <c r="BJ371">
        <v>53.2</v>
      </c>
      <c r="BK371" t="s">
        <v>11</v>
      </c>
      <c r="BL371" t="s">
        <v>11</v>
      </c>
      <c r="BM371" t="s">
        <v>11</v>
      </c>
      <c r="BN371">
        <v>47</v>
      </c>
      <c r="BO371" t="s">
        <v>11</v>
      </c>
      <c r="BP371" t="str">
        <f t="shared" si="58"/>
        <v>NoData</v>
      </c>
      <c r="BQ371" t="str">
        <f t="shared" si="59"/>
        <v>NoData</v>
      </c>
      <c r="BR371">
        <v>122</v>
      </c>
      <c r="BS371" t="s">
        <v>11</v>
      </c>
      <c r="BT371">
        <v>54</v>
      </c>
      <c r="BU371" t="s">
        <v>11</v>
      </c>
    </row>
    <row r="372" spans="1:73" x14ac:dyDescent="0.25">
      <c r="A372" s="5">
        <v>37104</v>
      </c>
      <c r="B372">
        <v>4601</v>
      </c>
      <c r="C372" t="s">
        <v>11</v>
      </c>
      <c r="D372">
        <v>34</v>
      </c>
      <c r="E372" t="s">
        <v>11</v>
      </c>
      <c r="F372">
        <v>8550</v>
      </c>
      <c r="G372">
        <v>8550</v>
      </c>
      <c r="H372">
        <v>2700</v>
      </c>
      <c r="I372">
        <v>2700</v>
      </c>
      <c r="J372">
        <v>3352</v>
      </c>
      <c r="K372" t="s">
        <v>11</v>
      </c>
      <c r="L372">
        <v>71880</v>
      </c>
      <c r="M372">
        <v>46653</v>
      </c>
      <c r="N372">
        <v>536</v>
      </c>
      <c r="O372">
        <v>536</v>
      </c>
      <c r="P372" t="s">
        <v>11</v>
      </c>
      <c r="Q372" t="s">
        <v>11</v>
      </c>
      <c r="R372" t="s">
        <v>11</v>
      </c>
      <c r="S372" t="s">
        <v>11</v>
      </c>
      <c r="T372" s="34">
        <v>114200</v>
      </c>
      <c r="U372" s="34">
        <v>67148</v>
      </c>
      <c r="V372" s="34">
        <v>2321</v>
      </c>
      <c r="W372">
        <v>2272</v>
      </c>
      <c r="X372">
        <v>3280</v>
      </c>
      <c r="Y372">
        <v>3237</v>
      </c>
      <c r="Z372">
        <v>2058</v>
      </c>
      <c r="AA372">
        <v>715</v>
      </c>
      <c r="AB372">
        <v>23242</v>
      </c>
      <c r="AC372">
        <v>14051</v>
      </c>
      <c r="AD372">
        <v>3146</v>
      </c>
      <c r="AE372">
        <v>2459</v>
      </c>
      <c r="AF372">
        <v>3970</v>
      </c>
      <c r="AG372">
        <v>3357</v>
      </c>
      <c r="AH372">
        <f t="shared" si="60"/>
        <v>3146</v>
      </c>
      <c r="AI372">
        <f t="shared" si="61"/>
        <v>2459</v>
      </c>
      <c r="AJ372">
        <v>24766</v>
      </c>
      <c r="AK372">
        <v>20771</v>
      </c>
      <c r="AL372">
        <v>33262</v>
      </c>
      <c r="AM372">
        <v>25613</v>
      </c>
      <c r="AN372" s="22">
        <v>669</v>
      </c>
      <c r="AO372">
        <v>1013</v>
      </c>
      <c r="AP372">
        <v>952</v>
      </c>
      <c r="AQ372">
        <v>943</v>
      </c>
      <c r="AR372">
        <v>348</v>
      </c>
      <c r="AS372" t="s">
        <v>11</v>
      </c>
      <c r="AT372">
        <f t="shared" si="66"/>
        <v>952</v>
      </c>
      <c r="AU372">
        <f t="shared" si="67"/>
        <v>943</v>
      </c>
      <c r="AV372">
        <v>0</v>
      </c>
      <c r="AW372" t="s">
        <v>11</v>
      </c>
      <c r="AX372">
        <v>4</v>
      </c>
      <c r="AY372" t="s">
        <v>11</v>
      </c>
      <c r="AZ372">
        <f t="shared" si="68"/>
        <v>952</v>
      </c>
      <c r="BA372">
        <f t="shared" si="69"/>
        <v>943</v>
      </c>
      <c r="BB372">
        <f t="shared" si="62"/>
        <v>669</v>
      </c>
      <c r="BC372">
        <f t="shared" si="63"/>
        <v>1013</v>
      </c>
      <c r="BD372" t="s">
        <v>11</v>
      </c>
      <c r="BE372" t="s">
        <v>11</v>
      </c>
      <c r="BF372" t="s">
        <v>11</v>
      </c>
      <c r="BG372" t="s">
        <v>11</v>
      </c>
      <c r="BH372">
        <v>0</v>
      </c>
      <c r="BI372" t="s">
        <v>11</v>
      </c>
      <c r="BJ372">
        <v>51.2</v>
      </c>
      <c r="BK372" t="s">
        <v>11</v>
      </c>
      <c r="BL372" t="s">
        <v>11</v>
      </c>
      <c r="BM372" t="s">
        <v>11</v>
      </c>
      <c r="BN372">
        <v>0</v>
      </c>
      <c r="BO372" t="s">
        <v>11</v>
      </c>
      <c r="BP372" t="str">
        <f t="shared" si="58"/>
        <v>NoData</v>
      </c>
      <c r="BQ372" t="str">
        <f t="shared" si="59"/>
        <v>NoData</v>
      </c>
      <c r="BR372">
        <v>117</v>
      </c>
      <c r="BS372" t="s">
        <v>11</v>
      </c>
      <c r="BT372">
        <v>52</v>
      </c>
      <c r="BU372" t="s">
        <v>11</v>
      </c>
    </row>
    <row r="373" spans="1:73" x14ac:dyDescent="0.25">
      <c r="A373" s="5">
        <v>37135</v>
      </c>
      <c r="B373">
        <v>3843</v>
      </c>
      <c r="C373" t="s">
        <v>11</v>
      </c>
      <c r="D373">
        <v>20</v>
      </c>
      <c r="E373" t="s">
        <v>11</v>
      </c>
      <c r="F373">
        <v>4387</v>
      </c>
      <c r="G373">
        <v>4387</v>
      </c>
      <c r="H373">
        <v>933</v>
      </c>
      <c r="I373">
        <v>933</v>
      </c>
      <c r="J373">
        <v>2900</v>
      </c>
      <c r="K373" t="s">
        <v>11</v>
      </c>
      <c r="L373">
        <v>52890</v>
      </c>
      <c r="M373">
        <v>29182</v>
      </c>
      <c r="N373">
        <v>419</v>
      </c>
      <c r="O373">
        <v>419</v>
      </c>
      <c r="P373" t="s">
        <v>11</v>
      </c>
      <c r="Q373" t="s">
        <v>11</v>
      </c>
      <c r="R373" t="s">
        <v>11</v>
      </c>
      <c r="S373" t="s">
        <v>11</v>
      </c>
      <c r="T373" s="34">
        <v>89810</v>
      </c>
      <c r="U373" s="34">
        <v>42760</v>
      </c>
      <c r="V373" s="34">
        <v>3328</v>
      </c>
      <c r="W373">
        <v>3248</v>
      </c>
      <c r="X373">
        <v>3622</v>
      </c>
      <c r="Y373">
        <v>3565</v>
      </c>
      <c r="Z373">
        <v>4239</v>
      </c>
      <c r="AA373">
        <v>1909</v>
      </c>
      <c r="AB373">
        <v>32023</v>
      </c>
      <c r="AC373">
        <v>20892</v>
      </c>
      <c r="AD373">
        <v>2418</v>
      </c>
      <c r="AE373">
        <v>1649</v>
      </c>
      <c r="AF373">
        <v>6251</v>
      </c>
      <c r="AG373">
        <v>5379</v>
      </c>
      <c r="AH373">
        <f t="shared" si="60"/>
        <v>2418</v>
      </c>
      <c r="AI373">
        <f t="shared" si="61"/>
        <v>1649</v>
      </c>
      <c r="AJ373">
        <v>20489</v>
      </c>
      <c r="AK373">
        <v>16137</v>
      </c>
      <c r="AL373">
        <v>38577</v>
      </c>
      <c r="AM373">
        <v>28363</v>
      </c>
      <c r="AN373" s="22">
        <v>664</v>
      </c>
      <c r="AO373">
        <v>840</v>
      </c>
      <c r="AP373">
        <v>934</v>
      </c>
      <c r="AQ373">
        <v>935</v>
      </c>
      <c r="AR373">
        <v>273</v>
      </c>
      <c r="AS373" t="s">
        <v>11</v>
      </c>
      <c r="AT373">
        <f t="shared" si="66"/>
        <v>934</v>
      </c>
      <c r="AU373">
        <f t="shared" si="67"/>
        <v>935</v>
      </c>
      <c r="AV373">
        <v>0</v>
      </c>
      <c r="AW373" t="s">
        <v>11</v>
      </c>
      <c r="AX373">
        <v>4</v>
      </c>
      <c r="AY373" t="s">
        <v>11</v>
      </c>
      <c r="AZ373">
        <f t="shared" si="68"/>
        <v>934</v>
      </c>
      <c r="BA373">
        <f t="shared" si="69"/>
        <v>935</v>
      </c>
      <c r="BB373">
        <f t="shared" si="62"/>
        <v>664</v>
      </c>
      <c r="BC373">
        <f t="shared" si="63"/>
        <v>840</v>
      </c>
      <c r="BD373" t="s">
        <v>11</v>
      </c>
      <c r="BE373" t="s">
        <v>11</v>
      </c>
      <c r="BF373" t="s">
        <v>11</v>
      </c>
      <c r="BG373" t="s">
        <v>11</v>
      </c>
      <c r="BH373">
        <v>37.4</v>
      </c>
      <c r="BI373" t="s">
        <v>11</v>
      </c>
      <c r="BJ373">
        <v>40.299999999999997</v>
      </c>
      <c r="BK373" t="s">
        <v>11</v>
      </c>
      <c r="BL373" t="s">
        <v>11</v>
      </c>
      <c r="BM373" t="s">
        <v>11</v>
      </c>
      <c r="BN373">
        <v>0</v>
      </c>
      <c r="BO373" t="s">
        <v>11</v>
      </c>
      <c r="BP373" t="str">
        <f t="shared" si="58"/>
        <v>NoData</v>
      </c>
      <c r="BQ373" t="str">
        <f t="shared" si="59"/>
        <v>NoData</v>
      </c>
      <c r="BR373">
        <v>92</v>
      </c>
      <c r="BS373" t="s">
        <v>11</v>
      </c>
      <c r="BT373">
        <v>41</v>
      </c>
      <c r="BU373" t="s">
        <v>11</v>
      </c>
    </row>
    <row r="374" spans="1:73" x14ac:dyDescent="0.25">
      <c r="A374" s="5">
        <v>37165</v>
      </c>
      <c r="B374">
        <v>2740</v>
      </c>
      <c r="C374" t="s">
        <v>11</v>
      </c>
      <c r="D374">
        <v>22</v>
      </c>
      <c r="E374" t="s">
        <v>11</v>
      </c>
      <c r="F374">
        <v>1957</v>
      </c>
      <c r="G374">
        <v>1957</v>
      </c>
      <c r="H374">
        <v>479</v>
      </c>
      <c r="I374">
        <v>479</v>
      </c>
      <c r="J374">
        <v>1851</v>
      </c>
      <c r="K374" t="s">
        <v>11</v>
      </c>
      <c r="L374">
        <v>38820</v>
      </c>
      <c r="M374">
        <v>18145</v>
      </c>
      <c r="N374">
        <v>371</v>
      </c>
      <c r="O374">
        <v>371</v>
      </c>
      <c r="P374" t="s">
        <v>11</v>
      </c>
      <c r="Q374" t="s">
        <v>11</v>
      </c>
      <c r="R374" t="s">
        <v>11</v>
      </c>
      <c r="S374" t="s">
        <v>11</v>
      </c>
      <c r="T374" s="34">
        <v>68870</v>
      </c>
      <c r="U374" s="34">
        <v>24763</v>
      </c>
      <c r="V374" s="34">
        <v>6154</v>
      </c>
      <c r="W374">
        <v>6001</v>
      </c>
      <c r="X374">
        <v>4957</v>
      </c>
      <c r="Y374">
        <v>4881</v>
      </c>
      <c r="Z374">
        <v>5085</v>
      </c>
      <c r="AA374">
        <v>2207</v>
      </c>
      <c r="AB374">
        <v>50310</v>
      </c>
      <c r="AC374">
        <v>34651</v>
      </c>
      <c r="AD374">
        <v>2503</v>
      </c>
      <c r="AE374">
        <v>1549</v>
      </c>
      <c r="AF374">
        <v>7078</v>
      </c>
      <c r="AG374">
        <v>5746</v>
      </c>
      <c r="AH374">
        <f t="shared" si="60"/>
        <v>2503</v>
      </c>
      <c r="AI374">
        <f t="shared" si="61"/>
        <v>1549</v>
      </c>
      <c r="AJ374">
        <v>20030</v>
      </c>
      <c r="AK374">
        <v>14424</v>
      </c>
      <c r="AL374">
        <v>33045</v>
      </c>
      <c r="AM374">
        <v>21111</v>
      </c>
      <c r="AN374" s="22">
        <v>215</v>
      </c>
      <c r="AO374">
        <v>592</v>
      </c>
      <c r="AP374">
        <v>917</v>
      </c>
      <c r="AQ374">
        <v>896</v>
      </c>
      <c r="AR374">
        <v>229</v>
      </c>
      <c r="AS374" t="s">
        <v>11</v>
      </c>
      <c r="AT374">
        <f t="shared" si="66"/>
        <v>917</v>
      </c>
      <c r="AU374">
        <f t="shared" si="67"/>
        <v>896</v>
      </c>
      <c r="AV374">
        <v>0</v>
      </c>
      <c r="AW374" t="s">
        <v>11</v>
      </c>
      <c r="AX374">
        <v>4</v>
      </c>
      <c r="AY374" t="s">
        <v>11</v>
      </c>
      <c r="AZ374">
        <f t="shared" si="68"/>
        <v>917</v>
      </c>
      <c r="BA374">
        <f t="shared" si="69"/>
        <v>896</v>
      </c>
      <c r="BB374">
        <f t="shared" si="62"/>
        <v>215</v>
      </c>
      <c r="BC374">
        <f t="shared" si="63"/>
        <v>592</v>
      </c>
      <c r="BD374" t="s">
        <v>11</v>
      </c>
      <c r="BE374" t="s">
        <v>11</v>
      </c>
      <c r="BF374" t="s">
        <v>11</v>
      </c>
      <c r="BG374" t="s">
        <v>11</v>
      </c>
      <c r="BH374">
        <v>0</v>
      </c>
      <c r="BI374" t="s">
        <v>11</v>
      </c>
      <c r="BJ374">
        <v>33.700000000000003</v>
      </c>
      <c r="BK374" t="s">
        <v>11</v>
      </c>
      <c r="BL374" t="s">
        <v>11</v>
      </c>
      <c r="BM374" t="s">
        <v>11</v>
      </c>
      <c r="BN374">
        <v>0</v>
      </c>
      <c r="BO374" t="s">
        <v>11</v>
      </c>
      <c r="BP374" t="str">
        <f t="shared" si="58"/>
        <v>NoData</v>
      </c>
      <c r="BQ374" t="str">
        <f t="shared" si="59"/>
        <v>NoData</v>
      </c>
      <c r="BR374">
        <v>77</v>
      </c>
      <c r="BS374" t="s">
        <v>11</v>
      </c>
      <c r="BT374">
        <v>34</v>
      </c>
      <c r="BU374" t="s">
        <v>11</v>
      </c>
    </row>
    <row r="375" spans="1:73" x14ac:dyDescent="0.25">
      <c r="A375" s="5">
        <v>37196</v>
      </c>
      <c r="B375">
        <v>1562</v>
      </c>
      <c r="C375" t="s">
        <v>11</v>
      </c>
      <c r="D375">
        <v>7</v>
      </c>
      <c r="E375" t="s">
        <v>11</v>
      </c>
      <c r="F375">
        <v>3317</v>
      </c>
      <c r="G375">
        <v>3317</v>
      </c>
      <c r="H375">
        <v>619</v>
      </c>
      <c r="I375">
        <v>619</v>
      </c>
      <c r="J375">
        <v>1435</v>
      </c>
      <c r="K375" t="s">
        <v>11</v>
      </c>
      <c r="L375">
        <v>30710</v>
      </c>
      <c r="M375">
        <v>12939</v>
      </c>
      <c r="N375">
        <v>172</v>
      </c>
      <c r="O375">
        <v>172</v>
      </c>
      <c r="P375" t="s">
        <v>11</v>
      </c>
      <c r="Q375" t="s">
        <v>11</v>
      </c>
      <c r="R375" t="s">
        <v>11</v>
      </c>
      <c r="S375" t="s">
        <v>11</v>
      </c>
      <c r="T375" s="34">
        <v>53800</v>
      </c>
      <c r="U375" s="34">
        <v>17157</v>
      </c>
      <c r="V375" s="34">
        <v>4215</v>
      </c>
      <c r="W375">
        <v>4098</v>
      </c>
      <c r="X375">
        <v>3745</v>
      </c>
      <c r="Y375">
        <v>3679</v>
      </c>
      <c r="Z375">
        <v>3814</v>
      </c>
      <c r="AA375">
        <v>1221</v>
      </c>
      <c r="AB375">
        <v>35258</v>
      </c>
      <c r="AC375">
        <v>19554</v>
      </c>
      <c r="AD375">
        <v>1968</v>
      </c>
      <c r="AE375">
        <v>923</v>
      </c>
      <c r="AF375">
        <v>5445</v>
      </c>
      <c r="AG375">
        <v>4040</v>
      </c>
      <c r="AH375">
        <f t="shared" si="60"/>
        <v>1968</v>
      </c>
      <c r="AI375">
        <f t="shared" si="61"/>
        <v>923</v>
      </c>
      <c r="AJ375">
        <v>15428</v>
      </c>
      <c r="AK375">
        <v>9112</v>
      </c>
      <c r="AL375">
        <v>27030</v>
      </c>
      <c r="AM375">
        <v>13350</v>
      </c>
      <c r="AN375" s="22">
        <v>64</v>
      </c>
      <c r="AO375">
        <v>421</v>
      </c>
      <c r="AP375">
        <v>1181</v>
      </c>
      <c r="AQ375">
        <v>1108</v>
      </c>
      <c r="AR375">
        <v>163</v>
      </c>
      <c r="AS375" t="s">
        <v>11</v>
      </c>
      <c r="AT375">
        <f t="shared" si="66"/>
        <v>1181</v>
      </c>
      <c r="AU375">
        <f t="shared" si="67"/>
        <v>1108</v>
      </c>
      <c r="AV375">
        <v>0</v>
      </c>
      <c r="AW375" t="s">
        <v>11</v>
      </c>
      <c r="AX375">
        <v>4</v>
      </c>
      <c r="AY375" t="s">
        <v>11</v>
      </c>
      <c r="AZ375">
        <f t="shared" si="68"/>
        <v>1181</v>
      </c>
      <c r="BA375">
        <f t="shared" si="69"/>
        <v>1108</v>
      </c>
      <c r="BB375">
        <f t="shared" si="62"/>
        <v>64</v>
      </c>
      <c r="BC375">
        <f t="shared" si="63"/>
        <v>421</v>
      </c>
      <c r="BD375" t="s">
        <v>11</v>
      </c>
      <c r="BE375" t="s">
        <v>11</v>
      </c>
      <c r="BF375" t="s">
        <v>11</v>
      </c>
      <c r="BG375" t="s">
        <v>11</v>
      </c>
      <c r="BH375">
        <v>14.9</v>
      </c>
      <c r="BI375" t="s">
        <v>11</v>
      </c>
      <c r="BJ375">
        <v>24</v>
      </c>
      <c r="BK375" t="s">
        <v>11</v>
      </c>
      <c r="BL375" t="s">
        <v>11</v>
      </c>
      <c r="BM375" t="s">
        <v>11</v>
      </c>
      <c r="BN375">
        <v>0</v>
      </c>
      <c r="BO375" t="s">
        <v>11</v>
      </c>
      <c r="BP375" t="str">
        <f t="shared" si="58"/>
        <v>NoData</v>
      </c>
      <c r="BQ375" t="str">
        <f t="shared" si="59"/>
        <v>NoData</v>
      </c>
      <c r="BR375">
        <v>54</v>
      </c>
      <c r="BS375" t="s">
        <v>11</v>
      </c>
      <c r="BT375">
        <v>24</v>
      </c>
      <c r="BU375" t="s">
        <v>11</v>
      </c>
    </row>
    <row r="376" spans="1:73" x14ac:dyDescent="0.25">
      <c r="A376" s="5">
        <v>37226</v>
      </c>
      <c r="B376">
        <v>324</v>
      </c>
      <c r="C376" t="s">
        <v>11</v>
      </c>
      <c r="D376">
        <v>5</v>
      </c>
      <c r="E376" t="s">
        <v>11</v>
      </c>
      <c r="F376">
        <v>1604</v>
      </c>
      <c r="G376">
        <v>1604</v>
      </c>
      <c r="H376">
        <v>363</v>
      </c>
      <c r="I376">
        <v>363</v>
      </c>
      <c r="J376">
        <v>1003</v>
      </c>
      <c r="K376" t="s">
        <v>11</v>
      </c>
      <c r="L376">
        <v>28020</v>
      </c>
      <c r="M376">
        <v>11336</v>
      </c>
      <c r="N376">
        <v>267</v>
      </c>
      <c r="O376">
        <v>267</v>
      </c>
      <c r="P376" t="s">
        <v>11</v>
      </c>
      <c r="Q376" t="s">
        <v>11</v>
      </c>
      <c r="R376" t="s">
        <v>11</v>
      </c>
      <c r="S376" t="s">
        <v>11</v>
      </c>
      <c r="T376" s="34">
        <v>55050</v>
      </c>
      <c r="U376" s="34">
        <v>16797</v>
      </c>
      <c r="V376" s="34">
        <v>2742</v>
      </c>
      <c r="W376">
        <v>2676</v>
      </c>
      <c r="X376">
        <v>2225</v>
      </c>
      <c r="Y376">
        <v>2194</v>
      </c>
      <c r="Z376">
        <v>2530</v>
      </c>
      <c r="AA376">
        <v>582</v>
      </c>
      <c r="AB376">
        <v>24052</v>
      </c>
      <c r="AC376">
        <v>10544</v>
      </c>
      <c r="AD376">
        <v>896</v>
      </c>
      <c r="AE376">
        <v>-169</v>
      </c>
      <c r="AF376">
        <v>4626</v>
      </c>
      <c r="AG376">
        <v>3057</v>
      </c>
      <c r="AH376">
        <f t="shared" si="60"/>
        <v>896</v>
      </c>
      <c r="AI376">
        <f t="shared" si="61"/>
        <v>-169</v>
      </c>
      <c r="AJ376">
        <v>8344</v>
      </c>
      <c r="AK376">
        <v>1787</v>
      </c>
      <c r="AL376">
        <v>20715</v>
      </c>
      <c r="AM376">
        <v>6714</v>
      </c>
      <c r="AN376" s="22">
        <v>86</v>
      </c>
      <c r="AO376">
        <v>248</v>
      </c>
      <c r="AP376">
        <v>1056</v>
      </c>
      <c r="AQ376">
        <v>941</v>
      </c>
      <c r="AR376">
        <v>160</v>
      </c>
      <c r="AS376" t="s">
        <v>11</v>
      </c>
      <c r="AT376">
        <f t="shared" si="66"/>
        <v>1056</v>
      </c>
      <c r="AU376">
        <f t="shared" si="67"/>
        <v>941</v>
      </c>
      <c r="AV376">
        <v>0</v>
      </c>
      <c r="AW376" t="s">
        <v>11</v>
      </c>
      <c r="AX376">
        <v>4</v>
      </c>
      <c r="AY376" t="s">
        <v>11</v>
      </c>
      <c r="AZ376">
        <f t="shared" si="68"/>
        <v>1056</v>
      </c>
      <c r="BA376">
        <f t="shared" si="69"/>
        <v>941</v>
      </c>
      <c r="BB376">
        <f t="shared" si="62"/>
        <v>86</v>
      </c>
      <c r="BC376">
        <f t="shared" si="63"/>
        <v>248</v>
      </c>
      <c r="BD376" t="s">
        <v>11</v>
      </c>
      <c r="BE376" t="s">
        <v>11</v>
      </c>
      <c r="BF376" t="s">
        <v>11</v>
      </c>
      <c r="BG376" t="s">
        <v>11</v>
      </c>
      <c r="BH376">
        <v>16</v>
      </c>
      <c r="BI376" t="s">
        <v>11</v>
      </c>
      <c r="BJ376">
        <v>23.6</v>
      </c>
      <c r="BK376" t="s">
        <v>11</v>
      </c>
      <c r="BL376" t="s">
        <v>11</v>
      </c>
      <c r="BM376" t="s">
        <v>11</v>
      </c>
      <c r="BN376">
        <v>0</v>
      </c>
      <c r="BO376" t="s">
        <v>11</v>
      </c>
      <c r="BP376" t="str">
        <f t="shared" si="58"/>
        <v>NoData</v>
      </c>
      <c r="BQ376" t="str">
        <f t="shared" si="59"/>
        <v>NoData</v>
      </c>
      <c r="BR376">
        <v>54</v>
      </c>
      <c r="BS376" t="s">
        <v>11</v>
      </c>
      <c r="BT376">
        <v>24</v>
      </c>
      <c r="BU376" t="s">
        <v>11</v>
      </c>
    </row>
    <row r="377" spans="1:73" x14ac:dyDescent="0.25">
      <c r="A377" s="5">
        <v>37257</v>
      </c>
      <c r="B377">
        <v>1651</v>
      </c>
      <c r="C377" t="s">
        <v>11</v>
      </c>
      <c r="D377">
        <v>7</v>
      </c>
      <c r="E377" t="s">
        <v>11</v>
      </c>
      <c r="F377">
        <v>2088</v>
      </c>
      <c r="G377">
        <v>2088</v>
      </c>
      <c r="H377">
        <v>409</v>
      </c>
      <c r="I377">
        <v>409</v>
      </c>
      <c r="J377">
        <v>253</v>
      </c>
      <c r="K377" t="s">
        <v>11</v>
      </c>
      <c r="L377">
        <v>26200</v>
      </c>
      <c r="M377">
        <v>12421</v>
      </c>
      <c r="N377">
        <v>146</v>
      </c>
      <c r="O377">
        <v>146</v>
      </c>
      <c r="P377" t="s">
        <v>11</v>
      </c>
      <c r="Q377" t="s">
        <v>11</v>
      </c>
      <c r="R377">
        <v>0</v>
      </c>
      <c r="S377" t="s">
        <v>11</v>
      </c>
      <c r="T377" s="34">
        <v>43130</v>
      </c>
      <c r="U377" s="34">
        <v>11475</v>
      </c>
      <c r="V377" s="34">
        <v>3176</v>
      </c>
      <c r="W377">
        <v>3129</v>
      </c>
      <c r="X377">
        <v>2975</v>
      </c>
      <c r="Y377">
        <v>2950</v>
      </c>
      <c r="Z377">
        <v>2489</v>
      </c>
      <c r="AA377">
        <v>797</v>
      </c>
      <c r="AB377">
        <v>22360</v>
      </c>
      <c r="AC377">
        <v>11269</v>
      </c>
      <c r="AD377">
        <v>1642</v>
      </c>
      <c r="AE377">
        <v>674</v>
      </c>
      <c r="AF377">
        <v>3476</v>
      </c>
      <c r="AG377">
        <v>2610</v>
      </c>
      <c r="AH377">
        <f t="shared" si="60"/>
        <v>1642</v>
      </c>
      <c r="AI377">
        <f t="shared" si="61"/>
        <v>674</v>
      </c>
      <c r="AJ377">
        <v>13867</v>
      </c>
      <c r="AK377">
        <v>7938</v>
      </c>
      <c r="AL377">
        <v>23236</v>
      </c>
      <c r="AM377">
        <v>9942</v>
      </c>
      <c r="AN377" s="22">
        <v>286</v>
      </c>
      <c r="AO377">
        <v>917</v>
      </c>
      <c r="AP377">
        <v>661</v>
      </c>
      <c r="AQ377">
        <v>611</v>
      </c>
      <c r="AR377">
        <v>71</v>
      </c>
      <c r="AS377" t="s">
        <v>11</v>
      </c>
      <c r="AT377">
        <f t="shared" si="66"/>
        <v>661</v>
      </c>
      <c r="AU377">
        <f t="shared" si="67"/>
        <v>611</v>
      </c>
      <c r="AV377">
        <v>1</v>
      </c>
      <c r="AW377" t="s">
        <v>11</v>
      </c>
      <c r="AX377">
        <v>4</v>
      </c>
      <c r="AY377" t="s">
        <v>11</v>
      </c>
      <c r="AZ377">
        <f t="shared" si="68"/>
        <v>661</v>
      </c>
      <c r="BA377">
        <f t="shared" si="69"/>
        <v>611</v>
      </c>
      <c r="BB377">
        <f t="shared" si="62"/>
        <v>286</v>
      </c>
      <c r="BC377">
        <f t="shared" si="63"/>
        <v>917</v>
      </c>
      <c r="BD377" t="s">
        <v>11</v>
      </c>
      <c r="BE377" t="s">
        <v>11</v>
      </c>
      <c r="BF377" t="s">
        <v>11</v>
      </c>
      <c r="BG377" t="s">
        <v>11</v>
      </c>
      <c r="BH377">
        <v>15</v>
      </c>
      <c r="BI377" t="s">
        <v>11</v>
      </c>
      <c r="BJ377">
        <v>15</v>
      </c>
      <c r="BK377" t="s">
        <v>11</v>
      </c>
      <c r="BL377" t="s">
        <v>11</v>
      </c>
      <c r="BM377" t="s">
        <v>11</v>
      </c>
      <c r="BN377">
        <v>54</v>
      </c>
      <c r="BO377" t="s">
        <v>11</v>
      </c>
      <c r="BP377" t="str">
        <f t="shared" si="58"/>
        <v>NoData</v>
      </c>
      <c r="BQ377" t="str">
        <f t="shared" si="59"/>
        <v>NoData</v>
      </c>
      <c r="BR377">
        <v>55</v>
      </c>
      <c r="BS377" t="s">
        <v>11</v>
      </c>
      <c r="BT377">
        <v>26</v>
      </c>
      <c r="BU377" t="s">
        <v>11</v>
      </c>
    </row>
    <row r="378" spans="1:73" x14ac:dyDescent="0.25">
      <c r="A378" s="5">
        <v>37288</v>
      </c>
      <c r="B378">
        <v>1715</v>
      </c>
      <c r="C378" t="s">
        <v>11</v>
      </c>
      <c r="D378">
        <v>14</v>
      </c>
      <c r="E378" t="s">
        <v>11</v>
      </c>
      <c r="F378">
        <v>3620</v>
      </c>
      <c r="G378">
        <v>3620</v>
      </c>
      <c r="H378">
        <v>904</v>
      </c>
      <c r="I378">
        <v>904</v>
      </c>
      <c r="J378">
        <v>2780</v>
      </c>
      <c r="K378" t="s">
        <v>11</v>
      </c>
      <c r="L378">
        <v>37380</v>
      </c>
      <c r="M378">
        <v>22200</v>
      </c>
      <c r="N378">
        <v>175</v>
      </c>
      <c r="O378">
        <v>175</v>
      </c>
      <c r="P378" t="s">
        <v>11</v>
      </c>
      <c r="Q378" t="s">
        <v>11</v>
      </c>
      <c r="R378">
        <v>0</v>
      </c>
      <c r="S378" t="s">
        <v>11</v>
      </c>
      <c r="T378" s="34">
        <v>59370</v>
      </c>
      <c r="U378" s="34">
        <v>27068</v>
      </c>
      <c r="V378" s="34">
        <v>3339</v>
      </c>
      <c r="W378">
        <v>3322</v>
      </c>
      <c r="X378">
        <v>2625</v>
      </c>
      <c r="Y378">
        <v>2617</v>
      </c>
      <c r="Z378">
        <v>3173</v>
      </c>
      <c r="AA378">
        <v>1178</v>
      </c>
      <c r="AB378">
        <v>24833</v>
      </c>
      <c r="AC378">
        <v>14821</v>
      </c>
      <c r="AD378">
        <v>1395</v>
      </c>
      <c r="AE378">
        <v>462</v>
      </c>
      <c r="AF378">
        <v>3589</v>
      </c>
      <c r="AG378">
        <v>2567</v>
      </c>
      <c r="AH378">
        <f t="shared" si="60"/>
        <v>1395</v>
      </c>
      <c r="AI378">
        <f t="shared" si="61"/>
        <v>462</v>
      </c>
      <c r="AJ378">
        <v>11740</v>
      </c>
      <c r="AK378">
        <v>5926</v>
      </c>
      <c r="AL378">
        <v>27370</v>
      </c>
      <c r="AM378">
        <v>13116</v>
      </c>
      <c r="AN378" s="22">
        <v>395</v>
      </c>
      <c r="AO378">
        <v>918</v>
      </c>
      <c r="AP378">
        <v>680</v>
      </c>
      <c r="AQ378">
        <v>609</v>
      </c>
      <c r="AR378">
        <v>57</v>
      </c>
      <c r="AS378" t="s">
        <v>11</v>
      </c>
      <c r="AT378">
        <f t="shared" si="66"/>
        <v>680</v>
      </c>
      <c r="AU378">
        <f t="shared" si="67"/>
        <v>609</v>
      </c>
      <c r="AV378">
        <v>0</v>
      </c>
      <c r="AW378" t="s">
        <v>11</v>
      </c>
      <c r="AX378">
        <v>4</v>
      </c>
      <c r="AY378" t="s">
        <v>11</v>
      </c>
      <c r="AZ378">
        <f t="shared" si="68"/>
        <v>680</v>
      </c>
      <c r="BA378">
        <f t="shared" si="69"/>
        <v>609</v>
      </c>
      <c r="BB378">
        <f t="shared" si="62"/>
        <v>395</v>
      </c>
      <c r="BC378">
        <f t="shared" si="63"/>
        <v>918</v>
      </c>
      <c r="BD378" t="s">
        <v>11</v>
      </c>
      <c r="BE378" t="s">
        <v>11</v>
      </c>
      <c r="BF378" t="s">
        <v>11</v>
      </c>
      <c r="BG378" t="s">
        <v>11</v>
      </c>
      <c r="BH378">
        <v>12</v>
      </c>
      <c r="BI378" t="s">
        <v>11</v>
      </c>
      <c r="BJ378">
        <v>12</v>
      </c>
      <c r="BK378" t="s">
        <v>11</v>
      </c>
      <c r="BL378" t="s">
        <v>11</v>
      </c>
      <c r="BM378" t="s">
        <v>11</v>
      </c>
      <c r="BN378">
        <v>43</v>
      </c>
      <c r="BO378" t="s">
        <v>11</v>
      </c>
      <c r="BP378" t="str">
        <f t="shared" si="58"/>
        <v>NoData</v>
      </c>
      <c r="BQ378" t="str">
        <f t="shared" si="59"/>
        <v>NoData</v>
      </c>
      <c r="BR378">
        <v>44</v>
      </c>
      <c r="BS378" t="s">
        <v>11</v>
      </c>
      <c r="BT378">
        <v>21</v>
      </c>
      <c r="BU378" t="s">
        <v>11</v>
      </c>
    </row>
    <row r="379" spans="1:73" x14ac:dyDescent="0.25">
      <c r="A379" s="5">
        <v>37316</v>
      </c>
      <c r="B379">
        <v>2822</v>
      </c>
      <c r="C379" t="s">
        <v>11</v>
      </c>
      <c r="D379">
        <v>14</v>
      </c>
      <c r="E379" t="s">
        <v>11</v>
      </c>
      <c r="F379">
        <v>4010</v>
      </c>
      <c r="G379">
        <v>4010</v>
      </c>
      <c r="H379">
        <v>1058</v>
      </c>
      <c r="I379">
        <v>1058</v>
      </c>
      <c r="J379">
        <v>1445</v>
      </c>
      <c r="K379" t="s">
        <v>11</v>
      </c>
      <c r="L379">
        <v>48490</v>
      </c>
      <c r="M379">
        <v>30913</v>
      </c>
      <c r="N379">
        <v>186</v>
      </c>
      <c r="O379">
        <v>186</v>
      </c>
      <c r="P379" t="s">
        <v>11</v>
      </c>
      <c r="Q379" t="s">
        <v>11</v>
      </c>
      <c r="R379">
        <v>0</v>
      </c>
      <c r="S379" t="s">
        <v>11</v>
      </c>
      <c r="T379" s="34">
        <v>75370</v>
      </c>
      <c r="U379" s="34">
        <v>38115</v>
      </c>
      <c r="V379" s="34">
        <v>4869</v>
      </c>
      <c r="W379">
        <v>4858</v>
      </c>
      <c r="X379">
        <v>4330</v>
      </c>
      <c r="Y379">
        <v>4324</v>
      </c>
      <c r="Z379">
        <v>4192</v>
      </c>
      <c r="AA379">
        <v>2116</v>
      </c>
      <c r="AB379">
        <v>35928</v>
      </c>
      <c r="AC379">
        <v>25931</v>
      </c>
      <c r="AD379">
        <v>1691</v>
      </c>
      <c r="AE379">
        <v>1219</v>
      </c>
      <c r="AF379">
        <v>5261</v>
      </c>
      <c r="AG379">
        <v>4937</v>
      </c>
      <c r="AH379">
        <f t="shared" si="60"/>
        <v>1691</v>
      </c>
      <c r="AI379">
        <f t="shared" si="61"/>
        <v>1219</v>
      </c>
      <c r="AJ379">
        <v>12990</v>
      </c>
      <c r="AK379">
        <v>10545</v>
      </c>
      <c r="AL379">
        <v>38919</v>
      </c>
      <c r="AM379">
        <v>32468</v>
      </c>
      <c r="AN379" s="22">
        <v>235</v>
      </c>
      <c r="AO379">
        <v>1084</v>
      </c>
      <c r="AP379">
        <v>949</v>
      </c>
      <c r="AQ379">
        <v>995</v>
      </c>
      <c r="AR379">
        <v>97</v>
      </c>
      <c r="AS379" t="s">
        <v>11</v>
      </c>
      <c r="AT379">
        <f t="shared" si="66"/>
        <v>949</v>
      </c>
      <c r="AU379">
        <f t="shared" si="67"/>
        <v>995</v>
      </c>
      <c r="AV379">
        <v>0</v>
      </c>
      <c r="AW379" t="s">
        <v>11</v>
      </c>
      <c r="AX379">
        <v>4</v>
      </c>
      <c r="AY379" t="s">
        <v>11</v>
      </c>
      <c r="AZ379">
        <f t="shared" si="68"/>
        <v>949</v>
      </c>
      <c r="BA379">
        <f t="shared" si="69"/>
        <v>995</v>
      </c>
      <c r="BB379">
        <f t="shared" si="62"/>
        <v>235</v>
      </c>
      <c r="BC379">
        <f t="shared" si="63"/>
        <v>1084</v>
      </c>
      <c r="BD379" t="s">
        <v>11</v>
      </c>
      <c r="BE379" t="s">
        <v>11</v>
      </c>
      <c r="BF379" t="s">
        <v>11</v>
      </c>
      <c r="BG379" t="s">
        <v>11</v>
      </c>
      <c r="BH379">
        <v>20</v>
      </c>
      <c r="BI379" t="s">
        <v>11</v>
      </c>
      <c r="BJ379">
        <v>20</v>
      </c>
      <c r="BK379" t="s">
        <v>11</v>
      </c>
      <c r="BL379" t="s">
        <v>11</v>
      </c>
      <c r="BM379" t="s">
        <v>11</v>
      </c>
      <c r="BN379">
        <v>74</v>
      </c>
      <c r="BO379" t="s">
        <v>11</v>
      </c>
      <c r="BP379" t="str">
        <f t="shared" si="58"/>
        <v>NoData</v>
      </c>
      <c r="BQ379" t="str">
        <f t="shared" si="59"/>
        <v>NoData</v>
      </c>
      <c r="BR379">
        <v>75</v>
      </c>
      <c r="BS379" t="s">
        <v>11</v>
      </c>
      <c r="BT379">
        <v>36</v>
      </c>
      <c r="BU379" t="s">
        <v>11</v>
      </c>
    </row>
    <row r="380" spans="1:73" x14ac:dyDescent="0.25">
      <c r="A380" s="5">
        <v>37347</v>
      </c>
      <c r="B380">
        <v>3225</v>
      </c>
      <c r="C380" t="s">
        <v>11</v>
      </c>
      <c r="D380">
        <v>10</v>
      </c>
      <c r="E380" t="s">
        <v>11</v>
      </c>
      <c r="F380">
        <v>5343</v>
      </c>
      <c r="G380">
        <v>5343</v>
      </c>
      <c r="H380">
        <v>1477</v>
      </c>
      <c r="I380">
        <v>1477</v>
      </c>
      <c r="J380">
        <v>2192</v>
      </c>
      <c r="K380" t="s">
        <v>11</v>
      </c>
      <c r="L380">
        <v>61740</v>
      </c>
      <c r="M380">
        <v>43919</v>
      </c>
      <c r="N380">
        <v>155</v>
      </c>
      <c r="O380">
        <v>155</v>
      </c>
      <c r="P380" t="s">
        <v>11</v>
      </c>
      <c r="Q380" t="s">
        <v>11</v>
      </c>
      <c r="R380">
        <v>0</v>
      </c>
      <c r="S380" t="s">
        <v>11</v>
      </c>
      <c r="T380" s="34">
        <v>95900</v>
      </c>
      <c r="U380" s="34">
        <v>58712</v>
      </c>
      <c r="V380" s="34">
        <v>6869</v>
      </c>
      <c r="W380">
        <v>6820</v>
      </c>
      <c r="X380">
        <v>5926</v>
      </c>
      <c r="Y380">
        <v>5900</v>
      </c>
      <c r="Z380">
        <v>5373</v>
      </c>
      <c r="AA380">
        <v>2601</v>
      </c>
      <c r="AB380">
        <v>42480</v>
      </c>
      <c r="AC380">
        <v>32106</v>
      </c>
      <c r="AD380">
        <v>2786</v>
      </c>
      <c r="AE380">
        <v>1861</v>
      </c>
      <c r="AF380">
        <v>7939</v>
      </c>
      <c r="AG380">
        <v>6530</v>
      </c>
      <c r="AH380">
        <f t="shared" si="60"/>
        <v>2786</v>
      </c>
      <c r="AI380">
        <f t="shared" si="61"/>
        <v>1861</v>
      </c>
      <c r="AJ380">
        <v>19984</v>
      </c>
      <c r="AK380">
        <v>14530</v>
      </c>
      <c r="AL380">
        <v>43618</v>
      </c>
      <c r="AM380">
        <v>31231</v>
      </c>
      <c r="AN380" s="22">
        <v>266</v>
      </c>
      <c r="AO380">
        <v>1309</v>
      </c>
      <c r="AP380">
        <v>1190</v>
      </c>
      <c r="AQ380">
        <v>1145</v>
      </c>
      <c r="AR380">
        <v>105</v>
      </c>
      <c r="AS380" t="s">
        <v>11</v>
      </c>
      <c r="AT380">
        <f t="shared" si="66"/>
        <v>1190</v>
      </c>
      <c r="AU380">
        <f t="shared" si="67"/>
        <v>1145</v>
      </c>
      <c r="AV380">
        <v>16</v>
      </c>
      <c r="AW380" t="s">
        <v>11</v>
      </c>
      <c r="AX380">
        <v>4</v>
      </c>
      <c r="AY380" t="s">
        <v>11</v>
      </c>
      <c r="AZ380">
        <f t="shared" si="68"/>
        <v>1190</v>
      </c>
      <c r="BA380">
        <f t="shared" si="69"/>
        <v>1145</v>
      </c>
      <c r="BB380">
        <f t="shared" si="62"/>
        <v>266</v>
      </c>
      <c r="BC380">
        <f t="shared" si="63"/>
        <v>1309</v>
      </c>
      <c r="BD380" t="s">
        <v>11</v>
      </c>
      <c r="BE380" t="s">
        <v>11</v>
      </c>
      <c r="BF380" t="s">
        <v>11</v>
      </c>
      <c r="BG380" t="s">
        <v>11</v>
      </c>
      <c r="BH380">
        <v>22</v>
      </c>
      <c r="BI380" t="s">
        <v>11</v>
      </c>
      <c r="BJ380">
        <v>22</v>
      </c>
      <c r="BK380" t="s">
        <v>11</v>
      </c>
      <c r="BL380" t="s">
        <v>11</v>
      </c>
      <c r="BM380" t="s">
        <v>11</v>
      </c>
      <c r="BN380">
        <v>81</v>
      </c>
      <c r="BO380" t="s">
        <v>11</v>
      </c>
      <c r="BP380" t="str">
        <f t="shared" si="58"/>
        <v>NoData</v>
      </c>
      <c r="BQ380" t="str">
        <f t="shared" si="59"/>
        <v>NoData</v>
      </c>
      <c r="BR380">
        <v>81</v>
      </c>
      <c r="BS380" t="s">
        <v>11</v>
      </c>
      <c r="BT380">
        <v>39</v>
      </c>
      <c r="BU380" t="s">
        <v>11</v>
      </c>
    </row>
    <row r="381" spans="1:73" x14ac:dyDescent="0.25">
      <c r="A381" s="5">
        <v>37377</v>
      </c>
      <c r="B381">
        <v>3710</v>
      </c>
      <c r="C381" t="s">
        <v>11</v>
      </c>
      <c r="D381">
        <v>14</v>
      </c>
      <c r="E381" t="s">
        <v>11</v>
      </c>
      <c r="F381">
        <v>6092</v>
      </c>
      <c r="G381">
        <v>6092</v>
      </c>
      <c r="H381">
        <v>1543</v>
      </c>
      <c r="I381">
        <v>1543</v>
      </c>
      <c r="J381">
        <v>3403</v>
      </c>
      <c r="K381" t="s">
        <v>11</v>
      </c>
      <c r="L381">
        <v>71790</v>
      </c>
      <c r="M381">
        <v>51252</v>
      </c>
      <c r="N381">
        <v>370</v>
      </c>
      <c r="O381">
        <v>370</v>
      </c>
      <c r="P381" t="s">
        <v>11</v>
      </c>
      <c r="Q381" t="s">
        <v>11</v>
      </c>
      <c r="R381">
        <v>0.7</v>
      </c>
      <c r="S381" t="s">
        <v>11</v>
      </c>
      <c r="T381" s="34">
        <v>108800</v>
      </c>
      <c r="U381" s="34">
        <v>68231</v>
      </c>
      <c r="V381" s="34">
        <v>5626</v>
      </c>
      <c r="W381">
        <v>5534</v>
      </c>
      <c r="X381">
        <v>5689</v>
      </c>
      <c r="Y381">
        <v>5633</v>
      </c>
      <c r="Z381">
        <v>5705</v>
      </c>
      <c r="AA381">
        <v>2651</v>
      </c>
      <c r="AB381">
        <v>42408</v>
      </c>
      <c r="AC381">
        <v>31222</v>
      </c>
      <c r="AD381">
        <v>3382</v>
      </c>
      <c r="AE381">
        <v>2489</v>
      </c>
      <c r="AF381">
        <v>8135</v>
      </c>
      <c r="AG381">
        <v>7129</v>
      </c>
      <c r="AH381">
        <f t="shared" si="60"/>
        <v>3382</v>
      </c>
      <c r="AI381">
        <f t="shared" si="61"/>
        <v>2489</v>
      </c>
      <c r="AJ381">
        <v>23756</v>
      </c>
      <c r="AK381">
        <v>18634</v>
      </c>
      <c r="AL381">
        <v>47661</v>
      </c>
      <c r="AM381">
        <v>35959</v>
      </c>
      <c r="AN381" s="22">
        <v>78</v>
      </c>
      <c r="AO381">
        <v>1395</v>
      </c>
      <c r="AP381">
        <v>1181</v>
      </c>
      <c r="AQ381">
        <v>1170</v>
      </c>
      <c r="AR381">
        <v>129</v>
      </c>
      <c r="AS381" t="s">
        <v>11</v>
      </c>
      <c r="AT381">
        <f t="shared" si="66"/>
        <v>1181</v>
      </c>
      <c r="AU381">
        <f t="shared" si="67"/>
        <v>1170</v>
      </c>
      <c r="AV381">
        <v>25</v>
      </c>
      <c r="AW381" t="s">
        <v>11</v>
      </c>
      <c r="AX381">
        <v>4</v>
      </c>
      <c r="AY381" t="s">
        <v>11</v>
      </c>
      <c r="AZ381">
        <f t="shared" si="68"/>
        <v>1181</v>
      </c>
      <c r="BA381">
        <f t="shared" si="69"/>
        <v>1170</v>
      </c>
      <c r="BB381">
        <f t="shared" si="62"/>
        <v>78</v>
      </c>
      <c r="BC381">
        <f t="shared" si="63"/>
        <v>1395</v>
      </c>
      <c r="BD381" t="s">
        <v>11</v>
      </c>
      <c r="BE381" t="s">
        <v>11</v>
      </c>
      <c r="BF381" t="s">
        <v>11</v>
      </c>
      <c r="BG381" t="s">
        <v>11</v>
      </c>
      <c r="BH381">
        <v>27</v>
      </c>
      <c r="BI381" t="s">
        <v>11</v>
      </c>
      <c r="BJ381">
        <v>27</v>
      </c>
      <c r="BK381" t="s">
        <v>11</v>
      </c>
      <c r="BL381" t="s">
        <v>11</v>
      </c>
      <c r="BM381" t="s">
        <v>11</v>
      </c>
      <c r="BN381">
        <v>98</v>
      </c>
      <c r="BO381" t="s">
        <v>11</v>
      </c>
      <c r="BP381" t="str">
        <f t="shared" si="58"/>
        <v>NoData</v>
      </c>
      <c r="BQ381" t="str">
        <f t="shared" si="59"/>
        <v>NoData</v>
      </c>
      <c r="BR381">
        <v>99</v>
      </c>
      <c r="BS381" t="s">
        <v>11</v>
      </c>
      <c r="BT381">
        <v>48</v>
      </c>
      <c r="BU381" t="s">
        <v>11</v>
      </c>
    </row>
    <row r="382" spans="1:73" x14ac:dyDescent="0.25">
      <c r="A382" s="5">
        <v>37408</v>
      </c>
      <c r="B382">
        <v>4634</v>
      </c>
      <c r="C382" t="s">
        <v>11</v>
      </c>
      <c r="D382">
        <v>17</v>
      </c>
      <c r="E382" t="s">
        <v>11</v>
      </c>
      <c r="F382">
        <v>8976</v>
      </c>
      <c r="G382">
        <v>8976</v>
      </c>
      <c r="H382">
        <v>2091</v>
      </c>
      <c r="I382">
        <v>2091</v>
      </c>
      <c r="J382">
        <v>3686</v>
      </c>
      <c r="K382" t="s">
        <v>11</v>
      </c>
      <c r="L382">
        <v>72120</v>
      </c>
      <c r="M382">
        <v>49524</v>
      </c>
      <c r="N382">
        <v>373</v>
      </c>
      <c r="O382">
        <v>373</v>
      </c>
      <c r="P382" t="s">
        <v>11</v>
      </c>
      <c r="Q382" t="s">
        <v>11</v>
      </c>
      <c r="R382">
        <v>2</v>
      </c>
      <c r="S382" t="s">
        <v>11</v>
      </c>
      <c r="T382" s="34">
        <v>113200</v>
      </c>
      <c r="U382" s="34">
        <v>75928</v>
      </c>
      <c r="V382" s="34">
        <v>2475</v>
      </c>
      <c r="W382">
        <v>2449</v>
      </c>
      <c r="X382">
        <v>4151</v>
      </c>
      <c r="Y382">
        <v>4127</v>
      </c>
      <c r="Z382">
        <v>5365</v>
      </c>
      <c r="AA382">
        <v>2267</v>
      </c>
      <c r="AB382">
        <v>25762</v>
      </c>
      <c r="AC382">
        <v>15800</v>
      </c>
      <c r="AD382">
        <v>3044</v>
      </c>
      <c r="AE382">
        <v>2112</v>
      </c>
      <c r="AF382">
        <v>5708</v>
      </c>
      <c r="AG382">
        <v>4759</v>
      </c>
      <c r="AH382">
        <f t="shared" si="60"/>
        <v>3044</v>
      </c>
      <c r="AI382">
        <f t="shared" si="61"/>
        <v>2112</v>
      </c>
      <c r="AJ382">
        <v>25450</v>
      </c>
      <c r="AK382">
        <v>19958</v>
      </c>
      <c r="AL382">
        <v>44676</v>
      </c>
      <c r="AM382">
        <v>32906</v>
      </c>
      <c r="AN382" s="22">
        <v>530</v>
      </c>
      <c r="AO382">
        <v>2033</v>
      </c>
      <c r="AP382">
        <v>1716</v>
      </c>
      <c r="AQ382">
        <v>1684</v>
      </c>
      <c r="AR382">
        <v>156</v>
      </c>
      <c r="AS382" t="s">
        <v>11</v>
      </c>
      <c r="AT382">
        <f t="shared" si="66"/>
        <v>1716</v>
      </c>
      <c r="AU382">
        <f t="shared" si="67"/>
        <v>1684</v>
      </c>
      <c r="AV382">
        <v>20</v>
      </c>
      <c r="AW382" t="s">
        <v>11</v>
      </c>
      <c r="AX382">
        <v>4</v>
      </c>
      <c r="AY382" t="s">
        <v>11</v>
      </c>
      <c r="AZ382">
        <f t="shared" si="68"/>
        <v>1716</v>
      </c>
      <c r="BA382">
        <f t="shared" si="69"/>
        <v>1684</v>
      </c>
      <c r="BB382">
        <f t="shared" si="62"/>
        <v>530</v>
      </c>
      <c r="BC382">
        <f t="shared" si="63"/>
        <v>2033</v>
      </c>
      <c r="BD382" t="s">
        <v>11</v>
      </c>
      <c r="BE382" t="s">
        <v>11</v>
      </c>
      <c r="BF382" t="s">
        <v>11</v>
      </c>
      <c r="BG382" t="s">
        <v>11</v>
      </c>
      <c r="BH382">
        <v>32</v>
      </c>
      <c r="BI382" t="s">
        <v>11</v>
      </c>
      <c r="BJ382">
        <v>32</v>
      </c>
      <c r="BK382" t="s">
        <v>11</v>
      </c>
      <c r="BL382" t="s">
        <v>11</v>
      </c>
      <c r="BM382" t="s">
        <v>11</v>
      </c>
      <c r="BN382">
        <v>120</v>
      </c>
      <c r="BO382" t="s">
        <v>11</v>
      </c>
      <c r="BP382" t="str">
        <f t="shared" si="58"/>
        <v>NoData</v>
      </c>
      <c r="BQ382" t="str">
        <f t="shared" si="59"/>
        <v>NoData</v>
      </c>
      <c r="BR382">
        <v>120</v>
      </c>
      <c r="BS382" t="s">
        <v>11</v>
      </c>
      <c r="BT382">
        <v>58</v>
      </c>
      <c r="BU382" t="s">
        <v>11</v>
      </c>
    </row>
    <row r="383" spans="1:73" x14ac:dyDescent="0.25">
      <c r="A383" s="5">
        <v>37438</v>
      </c>
      <c r="B383">
        <v>4413</v>
      </c>
      <c r="C383" t="s">
        <v>11</v>
      </c>
      <c r="D383">
        <v>5</v>
      </c>
      <c r="E383" t="s">
        <v>11</v>
      </c>
      <c r="F383">
        <v>8132</v>
      </c>
      <c r="G383">
        <v>8132</v>
      </c>
      <c r="H383">
        <v>2091</v>
      </c>
      <c r="I383">
        <v>2091</v>
      </c>
      <c r="J383">
        <v>4120</v>
      </c>
      <c r="K383" t="s">
        <v>11</v>
      </c>
      <c r="L383">
        <v>78960</v>
      </c>
      <c r="M383">
        <v>56059</v>
      </c>
      <c r="N383">
        <v>381</v>
      </c>
      <c r="O383">
        <v>381</v>
      </c>
      <c r="P383" t="s">
        <v>11</v>
      </c>
      <c r="Q383" t="s">
        <v>11</v>
      </c>
      <c r="R383">
        <v>5</v>
      </c>
      <c r="S383" t="s">
        <v>11</v>
      </c>
      <c r="T383" s="34">
        <v>127900</v>
      </c>
      <c r="U383" s="34">
        <v>86954</v>
      </c>
      <c r="V383" s="34">
        <v>2509</v>
      </c>
      <c r="W383">
        <v>2492</v>
      </c>
      <c r="X383">
        <v>5580</v>
      </c>
      <c r="Y383">
        <v>5558</v>
      </c>
      <c r="Z383">
        <v>4764</v>
      </c>
      <c r="AA383">
        <v>1785</v>
      </c>
      <c r="AB383">
        <v>27914</v>
      </c>
      <c r="AC383">
        <v>18822</v>
      </c>
      <c r="AD383">
        <v>3540</v>
      </c>
      <c r="AE383">
        <v>2450</v>
      </c>
      <c r="AF383">
        <v>5719</v>
      </c>
      <c r="AG383">
        <v>4336</v>
      </c>
      <c r="AH383">
        <f t="shared" si="60"/>
        <v>3540</v>
      </c>
      <c r="AI383">
        <f t="shared" si="61"/>
        <v>2450</v>
      </c>
      <c r="AJ383">
        <v>30227</v>
      </c>
      <c r="AK383">
        <v>22476</v>
      </c>
      <c r="AL383">
        <v>47945</v>
      </c>
      <c r="AM383">
        <v>32981</v>
      </c>
      <c r="AN383" s="22">
        <v>398</v>
      </c>
      <c r="AO383">
        <v>1763</v>
      </c>
      <c r="AP383">
        <v>1515</v>
      </c>
      <c r="AQ383">
        <v>1411</v>
      </c>
      <c r="AR383">
        <v>170</v>
      </c>
      <c r="AS383" t="s">
        <v>11</v>
      </c>
      <c r="AT383">
        <f t="shared" si="66"/>
        <v>1515</v>
      </c>
      <c r="AU383">
        <f t="shared" si="67"/>
        <v>1411</v>
      </c>
      <c r="AV383">
        <v>20</v>
      </c>
      <c r="AW383" t="s">
        <v>11</v>
      </c>
      <c r="AX383">
        <v>4</v>
      </c>
      <c r="AY383" t="s">
        <v>11</v>
      </c>
      <c r="AZ383">
        <f t="shared" si="68"/>
        <v>1515</v>
      </c>
      <c r="BA383">
        <f t="shared" si="69"/>
        <v>1411</v>
      </c>
      <c r="BB383">
        <f t="shared" si="62"/>
        <v>398</v>
      </c>
      <c r="BC383">
        <f t="shared" si="63"/>
        <v>1763</v>
      </c>
      <c r="BD383" t="s">
        <v>11</v>
      </c>
      <c r="BE383" t="s">
        <v>11</v>
      </c>
      <c r="BF383" t="s">
        <v>11</v>
      </c>
      <c r="BG383" t="s">
        <v>11</v>
      </c>
      <c r="BH383">
        <v>35</v>
      </c>
      <c r="BI383" t="s">
        <v>11</v>
      </c>
      <c r="BJ383">
        <v>35</v>
      </c>
      <c r="BK383" t="s">
        <v>11</v>
      </c>
      <c r="BL383" t="s">
        <v>11</v>
      </c>
      <c r="BM383" t="s">
        <v>11</v>
      </c>
      <c r="BN383">
        <v>131</v>
      </c>
      <c r="BO383" t="s">
        <v>11</v>
      </c>
      <c r="BP383" t="str">
        <f t="shared" si="58"/>
        <v>NoData</v>
      </c>
      <c r="BQ383" t="str">
        <f t="shared" si="59"/>
        <v>NoData</v>
      </c>
      <c r="BR383">
        <v>131</v>
      </c>
      <c r="BS383" t="s">
        <v>11</v>
      </c>
      <c r="BT383">
        <v>63</v>
      </c>
      <c r="BU383" t="s">
        <v>11</v>
      </c>
    </row>
    <row r="384" spans="1:73" x14ac:dyDescent="0.25">
      <c r="A384" s="5">
        <v>37469</v>
      </c>
      <c r="B384">
        <v>4175</v>
      </c>
      <c r="C384" t="s">
        <v>11</v>
      </c>
      <c r="D384">
        <v>2</v>
      </c>
      <c r="E384" t="s">
        <v>11</v>
      </c>
      <c r="F384">
        <v>8728</v>
      </c>
      <c r="G384">
        <v>8728</v>
      </c>
      <c r="H384">
        <v>2450</v>
      </c>
      <c r="I384">
        <v>2450</v>
      </c>
      <c r="J384">
        <v>3850</v>
      </c>
      <c r="K384" t="s">
        <v>11</v>
      </c>
      <c r="L384">
        <v>72090</v>
      </c>
      <c r="M384">
        <v>46554</v>
      </c>
      <c r="N384">
        <v>422</v>
      </c>
      <c r="O384">
        <v>422</v>
      </c>
      <c r="P384" t="s">
        <v>11</v>
      </c>
      <c r="Q384" t="s">
        <v>11</v>
      </c>
      <c r="R384">
        <v>5</v>
      </c>
      <c r="S384" t="s">
        <v>11</v>
      </c>
      <c r="T384" s="34">
        <v>121600</v>
      </c>
      <c r="U384" s="34">
        <v>80845</v>
      </c>
      <c r="V384" s="34">
        <v>2542</v>
      </c>
      <c r="W384">
        <v>2505</v>
      </c>
      <c r="X384">
        <v>3045</v>
      </c>
      <c r="Y384">
        <v>3015</v>
      </c>
      <c r="Z384">
        <v>2590</v>
      </c>
      <c r="AA384">
        <v>651</v>
      </c>
      <c r="AB384">
        <v>23315</v>
      </c>
      <c r="AC384">
        <v>16837</v>
      </c>
      <c r="AD384">
        <v>2894</v>
      </c>
      <c r="AE384">
        <v>2894</v>
      </c>
      <c r="AF384">
        <v>4260</v>
      </c>
      <c r="AG384">
        <v>3047</v>
      </c>
      <c r="AH384">
        <f t="shared" si="60"/>
        <v>2894</v>
      </c>
      <c r="AI384">
        <f t="shared" si="61"/>
        <v>2894</v>
      </c>
      <c r="AJ384">
        <v>28447</v>
      </c>
      <c r="AK384">
        <v>21099</v>
      </c>
      <c r="AL384">
        <v>41661</v>
      </c>
      <c r="AM384">
        <v>26332</v>
      </c>
      <c r="AN384" s="22">
        <v>219</v>
      </c>
      <c r="AO384">
        <v>1593</v>
      </c>
      <c r="AP384">
        <v>862</v>
      </c>
      <c r="AQ384">
        <v>769</v>
      </c>
      <c r="AR384">
        <v>164</v>
      </c>
      <c r="AS384" t="s">
        <v>11</v>
      </c>
      <c r="AT384">
        <f t="shared" si="66"/>
        <v>862</v>
      </c>
      <c r="AU384">
        <f t="shared" si="67"/>
        <v>769</v>
      </c>
      <c r="AV384">
        <v>9</v>
      </c>
      <c r="AW384" t="s">
        <v>11</v>
      </c>
      <c r="AX384">
        <v>4</v>
      </c>
      <c r="AY384" t="s">
        <v>11</v>
      </c>
      <c r="AZ384">
        <f t="shared" si="68"/>
        <v>862</v>
      </c>
      <c r="BA384">
        <f t="shared" si="69"/>
        <v>769</v>
      </c>
      <c r="BB384">
        <f t="shared" si="62"/>
        <v>219</v>
      </c>
      <c r="BC384">
        <f t="shared" si="63"/>
        <v>1593</v>
      </c>
      <c r="BD384" t="s">
        <v>11</v>
      </c>
      <c r="BE384" t="s">
        <v>11</v>
      </c>
      <c r="BF384" t="s">
        <v>11</v>
      </c>
      <c r="BG384" t="s">
        <v>11</v>
      </c>
      <c r="BH384">
        <v>34</v>
      </c>
      <c r="BI384" t="s">
        <v>11</v>
      </c>
      <c r="BJ384">
        <v>34</v>
      </c>
      <c r="BK384" t="s">
        <v>11</v>
      </c>
      <c r="BL384" t="s">
        <v>11</v>
      </c>
      <c r="BM384" t="s">
        <v>11</v>
      </c>
      <c r="BN384">
        <v>125</v>
      </c>
      <c r="BO384" t="s">
        <v>11</v>
      </c>
      <c r="BP384" t="str">
        <f t="shared" si="58"/>
        <v>NoData</v>
      </c>
      <c r="BQ384" t="str">
        <f t="shared" si="59"/>
        <v>NoData</v>
      </c>
      <c r="BR384">
        <v>126</v>
      </c>
      <c r="BS384" t="s">
        <v>11</v>
      </c>
      <c r="BT384">
        <v>61</v>
      </c>
      <c r="BU384" t="s">
        <v>11</v>
      </c>
    </row>
    <row r="385" spans="1:73" x14ac:dyDescent="0.25">
      <c r="A385" s="5">
        <v>37500</v>
      </c>
      <c r="B385">
        <v>4213</v>
      </c>
      <c r="C385" t="s">
        <v>11</v>
      </c>
      <c r="D385">
        <v>0</v>
      </c>
      <c r="E385" t="s">
        <v>11</v>
      </c>
      <c r="F385">
        <v>6932</v>
      </c>
      <c r="G385">
        <v>6932</v>
      </c>
      <c r="H385">
        <v>2058</v>
      </c>
      <c r="I385">
        <v>2058</v>
      </c>
      <c r="J385">
        <v>2873</v>
      </c>
      <c r="K385" t="s">
        <v>11</v>
      </c>
      <c r="L385">
        <v>46990</v>
      </c>
      <c r="M385">
        <v>26605</v>
      </c>
      <c r="N385">
        <v>259</v>
      </c>
      <c r="O385">
        <v>259</v>
      </c>
      <c r="P385" t="s">
        <v>11</v>
      </c>
      <c r="Q385" t="s">
        <v>11</v>
      </c>
      <c r="R385">
        <v>4</v>
      </c>
      <c r="S385" t="s">
        <v>11</v>
      </c>
      <c r="T385" s="34">
        <v>78590</v>
      </c>
      <c r="U385" s="34">
        <v>37945</v>
      </c>
      <c r="V385" s="34">
        <v>2895</v>
      </c>
      <c r="W385">
        <v>2844</v>
      </c>
      <c r="X385">
        <v>2652</v>
      </c>
      <c r="Y385">
        <v>2617</v>
      </c>
      <c r="Z385">
        <v>3333</v>
      </c>
      <c r="AA385">
        <v>1281</v>
      </c>
      <c r="AB385">
        <v>29140</v>
      </c>
      <c r="AC385">
        <v>16291</v>
      </c>
      <c r="AD385">
        <v>2423</v>
      </c>
      <c r="AE385">
        <v>2423</v>
      </c>
      <c r="AF385">
        <v>5532</v>
      </c>
      <c r="AG385">
        <v>4776</v>
      </c>
      <c r="AH385">
        <f t="shared" si="60"/>
        <v>2423</v>
      </c>
      <c r="AI385">
        <f t="shared" si="61"/>
        <v>2423</v>
      </c>
      <c r="AJ385">
        <v>18304</v>
      </c>
      <c r="AK385">
        <v>14605</v>
      </c>
      <c r="AL385">
        <v>39000</v>
      </c>
      <c r="AM385">
        <v>28764</v>
      </c>
      <c r="AN385" s="22">
        <v>224</v>
      </c>
      <c r="AO385">
        <v>1385</v>
      </c>
      <c r="AP385">
        <v>805</v>
      </c>
      <c r="AQ385">
        <v>815</v>
      </c>
      <c r="AR385">
        <v>129</v>
      </c>
      <c r="AS385" t="s">
        <v>11</v>
      </c>
      <c r="AT385">
        <f t="shared" si="66"/>
        <v>805</v>
      </c>
      <c r="AU385">
        <f t="shared" si="67"/>
        <v>815</v>
      </c>
      <c r="AV385">
        <v>10</v>
      </c>
      <c r="AW385" t="s">
        <v>11</v>
      </c>
      <c r="AX385">
        <v>4</v>
      </c>
      <c r="AY385" t="s">
        <v>11</v>
      </c>
      <c r="AZ385">
        <f t="shared" si="68"/>
        <v>805</v>
      </c>
      <c r="BA385">
        <f t="shared" si="69"/>
        <v>815</v>
      </c>
      <c r="BB385">
        <f t="shared" si="62"/>
        <v>224</v>
      </c>
      <c r="BC385">
        <f t="shared" si="63"/>
        <v>1385</v>
      </c>
      <c r="BD385" t="s">
        <v>11</v>
      </c>
      <c r="BE385" t="s">
        <v>11</v>
      </c>
      <c r="BF385" t="s">
        <v>11</v>
      </c>
      <c r="BG385" t="s">
        <v>11</v>
      </c>
      <c r="BH385">
        <v>27</v>
      </c>
      <c r="BI385" t="s">
        <v>11</v>
      </c>
      <c r="BJ385">
        <v>27</v>
      </c>
      <c r="BK385" t="s">
        <v>11</v>
      </c>
      <c r="BL385" t="s">
        <v>11</v>
      </c>
      <c r="BM385" t="s">
        <v>11</v>
      </c>
      <c r="BN385">
        <v>98</v>
      </c>
      <c r="BO385" t="s">
        <v>11</v>
      </c>
      <c r="BP385" t="str">
        <f t="shared" si="58"/>
        <v>NoData</v>
      </c>
      <c r="BQ385" t="str">
        <f t="shared" si="59"/>
        <v>NoData</v>
      </c>
      <c r="BR385">
        <v>99</v>
      </c>
      <c r="BS385" t="s">
        <v>11</v>
      </c>
      <c r="BT385">
        <v>48</v>
      </c>
      <c r="BU385" t="s">
        <v>11</v>
      </c>
    </row>
    <row r="386" spans="1:73" x14ac:dyDescent="0.25">
      <c r="A386" s="5">
        <v>37530</v>
      </c>
      <c r="B386">
        <v>2369</v>
      </c>
      <c r="C386" t="s">
        <v>11</v>
      </c>
      <c r="D386">
        <v>5</v>
      </c>
      <c r="E386" t="s">
        <v>11</v>
      </c>
      <c r="F386">
        <v>3768</v>
      </c>
      <c r="G386">
        <v>3768</v>
      </c>
      <c r="H386">
        <v>1290</v>
      </c>
      <c r="I386">
        <v>1290</v>
      </c>
      <c r="J386">
        <v>769</v>
      </c>
      <c r="K386" t="s">
        <v>11</v>
      </c>
      <c r="L386">
        <v>40860</v>
      </c>
      <c r="M386">
        <v>22763</v>
      </c>
      <c r="N386">
        <v>258</v>
      </c>
      <c r="O386">
        <v>258</v>
      </c>
      <c r="P386" t="s">
        <v>11</v>
      </c>
      <c r="Q386" t="s">
        <v>11</v>
      </c>
      <c r="R386">
        <v>2</v>
      </c>
      <c r="S386" t="s">
        <v>11</v>
      </c>
      <c r="T386" s="34">
        <v>73350</v>
      </c>
      <c r="U386" s="34">
        <v>31374</v>
      </c>
      <c r="V386" s="34">
        <v>5372</v>
      </c>
      <c r="W386">
        <v>5214</v>
      </c>
      <c r="X386">
        <v>4242</v>
      </c>
      <c r="Y386">
        <v>4157</v>
      </c>
      <c r="Z386">
        <v>4987</v>
      </c>
      <c r="AA386">
        <v>1900</v>
      </c>
      <c r="AB386">
        <v>44483</v>
      </c>
      <c r="AC386">
        <v>27973</v>
      </c>
      <c r="AD386">
        <v>2306</v>
      </c>
      <c r="AE386">
        <v>2306</v>
      </c>
      <c r="AF386">
        <v>7181</v>
      </c>
      <c r="AG386">
        <v>5774</v>
      </c>
      <c r="AH386">
        <f t="shared" si="60"/>
        <v>2306</v>
      </c>
      <c r="AI386">
        <f t="shared" si="61"/>
        <v>2306</v>
      </c>
      <c r="AJ386">
        <v>17568</v>
      </c>
      <c r="AK386">
        <v>12773</v>
      </c>
      <c r="AL386">
        <v>33653</v>
      </c>
      <c r="AM386">
        <v>20789</v>
      </c>
      <c r="AN386" s="22">
        <v>132</v>
      </c>
      <c r="AO386">
        <v>1201</v>
      </c>
      <c r="AP386">
        <v>869</v>
      </c>
      <c r="AQ386">
        <v>835</v>
      </c>
      <c r="AR386">
        <v>108</v>
      </c>
      <c r="AS386" t="s">
        <v>11</v>
      </c>
      <c r="AT386">
        <f t="shared" si="66"/>
        <v>869</v>
      </c>
      <c r="AU386">
        <f t="shared" si="67"/>
        <v>835</v>
      </c>
      <c r="AV386">
        <v>0</v>
      </c>
      <c r="AW386" t="s">
        <v>11</v>
      </c>
      <c r="AX386">
        <v>4</v>
      </c>
      <c r="AY386" t="s">
        <v>11</v>
      </c>
      <c r="AZ386">
        <f t="shared" si="68"/>
        <v>869</v>
      </c>
      <c r="BA386">
        <f t="shared" si="69"/>
        <v>835</v>
      </c>
      <c r="BB386">
        <f t="shared" si="62"/>
        <v>132</v>
      </c>
      <c r="BC386">
        <f t="shared" si="63"/>
        <v>1201</v>
      </c>
      <c r="BD386" t="s">
        <v>11</v>
      </c>
      <c r="BE386" t="s">
        <v>11</v>
      </c>
      <c r="BF386" t="s">
        <v>11</v>
      </c>
      <c r="BG386" t="s">
        <v>11</v>
      </c>
      <c r="BH386">
        <v>22</v>
      </c>
      <c r="BI386" t="s">
        <v>11</v>
      </c>
      <c r="BJ386">
        <v>22</v>
      </c>
      <c r="BK386" t="s">
        <v>11</v>
      </c>
      <c r="BL386" t="s">
        <v>11</v>
      </c>
      <c r="BM386" t="s">
        <v>11</v>
      </c>
      <c r="BN386">
        <v>82</v>
      </c>
      <c r="BO386" t="s">
        <v>11</v>
      </c>
      <c r="BP386" t="str">
        <f t="shared" si="58"/>
        <v>NoData</v>
      </c>
      <c r="BQ386" t="str">
        <f t="shared" si="59"/>
        <v>NoData</v>
      </c>
      <c r="BR386">
        <v>83</v>
      </c>
      <c r="BS386" t="s">
        <v>11</v>
      </c>
      <c r="BT386">
        <v>40</v>
      </c>
      <c r="BU386" t="s">
        <v>11</v>
      </c>
    </row>
    <row r="387" spans="1:73" x14ac:dyDescent="0.25">
      <c r="A387" s="5">
        <v>37561</v>
      </c>
      <c r="B387">
        <v>1732</v>
      </c>
      <c r="C387" t="s">
        <v>11</v>
      </c>
      <c r="D387">
        <v>1</v>
      </c>
      <c r="E387" t="s">
        <v>11</v>
      </c>
      <c r="F387">
        <v>3062</v>
      </c>
      <c r="G387">
        <v>3062</v>
      </c>
      <c r="H387">
        <v>850</v>
      </c>
      <c r="I387">
        <v>850</v>
      </c>
      <c r="J387">
        <v>512</v>
      </c>
      <c r="K387" t="s">
        <v>11</v>
      </c>
      <c r="L387">
        <v>26060</v>
      </c>
      <c r="M387">
        <v>12407</v>
      </c>
      <c r="N387">
        <v>173</v>
      </c>
      <c r="O387">
        <v>173</v>
      </c>
      <c r="P387" t="s">
        <v>11</v>
      </c>
      <c r="Q387" t="s">
        <v>11</v>
      </c>
      <c r="R387">
        <v>0.4</v>
      </c>
      <c r="S387" t="s">
        <v>11</v>
      </c>
      <c r="T387" s="34">
        <v>53470</v>
      </c>
      <c r="U387" s="34">
        <v>14078</v>
      </c>
      <c r="V387" s="34">
        <v>4598</v>
      </c>
      <c r="W387">
        <v>4511</v>
      </c>
      <c r="X387">
        <v>3702</v>
      </c>
      <c r="Y387">
        <v>3662</v>
      </c>
      <c r="Z387">
        <v>3972</v>
      </c>
      <c r="AA387">
        <v>1031</v>
      </c>
      <c r="AB387">
        <v>32143</v>
      </c>
      <c r="AC387">
        <v>22507</v>
      </c>
      <c r="AD387">
        <v>1273</v>
      </c>
      <c r="AE387">
        <v>1273</v>
      </c>
      <c r="AF387">
        <v>5513</v>
      </c>
      <c r="AG387">
        <v>3699</v>
      </c>
      <c r="AH387">
        <f t="shared" si="60"/>
        <v>1273</v>
      </c>
      <c r="AI387">
        <f t="shared" si="61"/>
        <v>1273</v>
      </c>
      <c r="AJ387">
        <v>11983</v>
      </c>
      <c r="AK387">
        <v>6319</v>
      </c>
      <c r="AL387">
        <v>29032</v>
      </c>
      <c r="AM387">
        <v>13922</v>
      </c>
      <c r="AN387" s="22">
        <v>118</v>
      </c>
      <c r="AO387">
        <v>1015</v>
      </c>
      <c r="AP387">
        <v>860</v>
      </c>
      <c r="AQ387">
        <v>745</v>
      </c>
      <c r="AR387">
        <v>77</v>
      </c>
      <c r="AS387" t="s">
        <v>11</v>
      </c>
      <c r="AT387">
        <f t="shared" si="66"/>
        <v>860</v>
      </c>
      <c r="AU387">
        <f t="shared" si="67"/>
        <v>745</v>
      </c>
      <c r="AV387">
        <v>0</v>
      </c>
      <c r="AW387" t="s">
        <v>11</v>
      </c>
      <c r="AX387">
        <v>4</v>
      </c>
      <c r="AY387" t="s">
        <v>11</v>
      </c>
      <c r="AZ387">
        <f t="shared" si="68"/>
        <v>860</v>
      </c>
      <c r="BA387">
        <f t="shared" si="69"/>
        <v>745</v>
      </c>
      <c r="BB387">
        <f t="shared" si="62"/>
        <v>118</v>
      </c>
      <c r="BC387">
        <f t="shared" si="63"/>
        <v>1015</v>
      </c>
      <c r="BD387" t="s">
        <v>11</v>
      </c>
      <c r="BE387" t="s">
        <v>11</v>
      </c>
      <c r="BF387" t="s">
        <v>11</v>
      </c>
      <c r="BG387" t="s">
        <v>11</v>
      </c>
      <c r="BH387">
        <v>16</v>
      </c>
      <c r="BI387" t="s">
        <v>11</v>
      </c>
      <c r="BJ387">
        <v>16</v>
      </c>
      <c r="BK387" t="s">
        <v>11</v>
      </c>
      <c r="BL387" t="s">
        <v>11</v>
      </c>
      <c r="BM387" t="s">
        <v>11</v>
      </c>
      <c r="BN387">
        <v>59</v>
      </c>
      <c r="BO387" t="s">
        <v>11</v>
      </c>
      <c r="BP387" t="str">
        <f t="shared" si="58"/>
        <v>NoData</v>
      </c>
      <c r="BQ387" t="str">
        <f t="shared" si="59"/>
        <v>NoData</v>
      </c>
      <c r="BR387">
        <v>59</v>
      </c>
      <c r="BS387" t="s">
        <v>11</v>
      </c>
      <c r="BT387">
        <v>28</v>
      </c>
      <c r="BU387" t="s">
        <v>11</v>
      </c>
    </row>
    <row r="388" spans="1:73" x14ac:dyDescent="0.25">
      <c r="A388" s="5">
        <v>37591</v>
      </c>
      <c r="B388">
        <v>1111</v>
      </c>
      <c r="C388" t="s">
        <v>11</v>
      </c>
      <c r="D388">
        <v>0</v>
      </c>
      <c r="E388" t="s">
        <v>11</v>
      </c>
      <c r="F388">
        <v>1231</v>
      </c>
      <c r="G388">
        <v>1231</v>
      </c>
      <c r="H388">
        <v>273</v>
      </c>
      <c r="I388">
        <v>273</v>
      </c>
      <c r="J388">
        <v>1185</v>
      </c>
      <c r="K388" t="s">
        <v>11</v>
      </c>
      <c r="L388">
        <v>21320</v>
      </c>
      <c r="M388">
        <v>7243</v>
      </c>
      <c r="N388">
        <v>161</v>
      </c>
      <c r="O388">
        <v>161</v>
      </c>
      <c r="P388" t="s">
        <v>11</v>
      </c>
      <c r="Q388" t="s">
        <v>11</v>
      </c>
      <c r="R388">
        <v>0.4</v>
      </c>
      <c r="S388" t="s">
        <v>11</v>
      </c>
      <c r="T388" s="34">
        <v>47930</v>
      </c>
      <c r="U388" s="34">
        <v>10061</v>
      </c>
      <c r="V388" s="34">
        <v>2814</v>
      </c>
      <c r="W388">
        <v>2709</v>
      </c>
      <c r="X388">
        <v>2303</v>
      </c>
      <c r="Y388">
        <v>2250</v>
      </c>
      <c r="Z388">
        <v>2498</v>
      </c>
      <c r="AA388">
        <v>159</v>
      </c>
      <c r="AB388">
        <v>20480</v>
      </c>
      <c r="AC388">
        <v>7648</v>
      </c>
      <c r="AD388">
        <v>1783</v>
      </c>
      <c r="AE388">
        <v>1783</v>
      </c>
      <c r="AF388">
        <v>4256</v>
      </c>
      <c r="AG388">
        <v>2467</v>
      </c>
      <c r="AH388">
        <f t="shared" si="60"/>
        <v>1783</v>
      </c>
      <c r="AI388">
        <f t="shared" si="61"/>
        <v>1783</v>
      </c>
      <c r="AJ388">
        <v>11216</v>
      </c>
      <c r="AK388">
        <v>4365</v>
      </c>
      <c r="AL388">
        <v>22813</v>
      </c>
      <c r="AM388">
        <v>7342</v>
      </c>
      <c r="AN388" s="22">
        <v>715</v>
      </c>
      <c r="AO388">
        <v>1394</v>
      </c>
      <c r="AP388">
        <v>791</v>
      </c>
      <c r="AQ388">
        <v>644</v>
      </c>
      <c r="AR388">
        <v>75</v>
      </c>
      <c r="AS388" t="s">
        <v>11</v>
      </c>
      <c r="AT388">
        <f t="shared" si="66"/>
        <v>791</v>
      </c>
      <c r="AU388">
        <f t="shared" si="67"/>
        <v>644</v>
      </c>
      <c r="AV388">
        <v>0</v>
      </c>
      <c r="AW388" t="s">
        <v>11</v>
      </c>
      <c r="AX388">
        <v>4</v>
      </c>
      <c r="AY388" t="s">
        <v>11</v>
      </c>
      <c r="AZ388">
        <f t="shared" si="68"/>
        <v>791</v>
      </c>
      <c r="BA388">
        <f t="shared" si="69"/>
        <v>644</v>
      </c>
      <c r="BB388">
        <f t="shared" si="62"/>
        <v>715</v>
      </c>
      <c r="BC388">
        <f t="shared" si="63"/>
        <v>1394</v>
      </c>
      <c r="BD388" t="s">
        <v>11</v>
      </c>
      <c r="BE388" t="s">
        <v>11</v>
      </c>
      <c r="BF388" t="s">
        <v>11</v>
      </c>
      <c r="BG388" t="s">
        <v>11</v>
      </c>
      <c r="BH388">
        <v>15</v>
      </c>
      <c r="BI388" t="s">
        <v>11</v>
      </c>
      <c r="BJ388">
        <v>15</v>
      </c>
      <c r="BK388" t="s">
        <v>11</v>
      </c>
      <c r="BL388" t="s">
        <v>11</v>
      </c>
      <c r="BM388" t="s">
        <v>11</v>
      </c>
      <c r="BN388">
        <v>58</v>
      </c>
      <c r="BO388" t="s">
        <v>11</v>
      </c>
      <c r="BP388" t="str">
        <f t="shared" si="58"/>
        <v>NoData</v>
      </c>
      <c r="BQ388" t="str">
        <f t="shared" si="59"/>
        <v>NoData</v>
      </c>
      <c r="BR388">
        <v>58</v>
      </c>
      <c r="BS388" t="s">
        <v>11</v>
      </c>
      <c r="BT388">
        <v>28</v>
      </c>
      <c r="BU388" t="s">
        <v>11</v>
      </c>
    </row>
    <row r="389" spans="1:73" x14ac:dyDescent="0.25">
      <c r="A389" s="5">
        <v>37622</v>
      </c>
      <c r="B389">
        <v>2424</v>
      </c>
      <c r="C389">
        <v>1288</v>
      </c>
      <c r="D389">
        <v>0</v>
      </c>
      <c r="E389">
        <v>0</v>
      </c>
      <c r="F389">
        <v>1992</v>
      </c>
      <c r="G389">
        <v>1077</v>
      </c>
      <c r="H389">
        <v>565</v>
      </c>
      <c r="I389">
        <v>305</v>
      </c>
      <c r="J389">
        <v>274</v>
      </c>
      <c r="K389">
        <v>196</v>
      </c>
      <c r="L389">
        <v>23070</v>
      </c>
      <c r="M389">
        <v>7889</v>
      </c>
      <c r="N389">
        <v>78</v>
      </c>
      <c r="O389">
        <v>78</v>
      </c>
      <c r="P389" t="s">
        <v>11</v>
      </c>
      <c r="Q389" t="s">
        <v>11</v>
      </c>
      <c r="R389">
        <v>0</v>
      </c>
      <c r="S389" t="s">
        <v>11</v>
      </c>
      <c r="T389" s="34">
        <v>36210</v>
      </c>
      <c r="U389" s="34">
        <v>9012</v>
      </c>
      <c r="V389" s="34">
        <v>3030</v>
      </c>
      <c r="W389">
        <v>506</v>
      </c>
      <c r="X389">
        <v>2256</v>
      </c>
      <c r="Y389">
        <v>377</v>
      </c>
      <c r="Z389">
        <v>2455</v>
      </c>
      <c r="AA389">
        <v>74</v>
      </c>
      <c r="AB389">
        <v>21420</v>
      </c>
      <c r="AC389">
        <v>11384</v>
      </c>
      <c r="AD389">
        <v>1263</v>
      </c>
      <c r="AE389">
        <v>67</v>
      </c>
      <c r="AF389">
        <v>4738</v>
      </c>
      <c r="AG389">
        <v>1980</v>
      </c>
      <c r="AH389">
        <f t="shared" si="60"/>
        <v>1263</v>
      </c>
      <c r="AI389">
        <f t="shared" si="61"/>
        <v>67</v>
      </c>
      <c r="AJ389">
        <v>11123</v>
      </c>
      <c r="AK389">
        <v>1904</v>
      </c>
      <c r="AL389">
        <v>21308</v>
      </c>
      <c r="AM389">
        <v>7421</v>
      </c>
      <c r="AN389" s="22">
        <v>0</v>
      </c>
      <c r="AO389">
        <v>124</v>
      </c>
      <c r="AP389">
        <v>722</v>
      </c>
      <c r="AQ389">
        <v>366</v>
      </c>
      <c r="AR389">
        <v>71</v>
      </c>
      <c r="AS389" t="s">
        <v>11</v>
      </c>
      <c r="AT389">
        <f t="shared" si="66"/>
        <v>722</v>
      </c>
      <c r="AU389">
        <f t="shared" si="67"/>
        <v>366</v>
      </c>
      <c r="AV389">
        <v>0</v>
      </c>
      <c r="AW389">
        <v>0</v>
      </c>
      <c r="AX389">
        <v>4</v>
      </c>
      <c r="AY389">
        <v>2</v>
      </c>
      <c r="AZ389">
        <f t="shared" si="68"/>
        <v>722</v>
      </c>
      <c r="BA389">
        <f t="shared" si="69"/>
        <v>366</v>
      </c>
      <c r="BB389">
        <f t="shared" si="62"/>
        <v>0</v>
      </c>
      <c r="BC389">
        <f t="shared" si="63"/>
        <v>124</v>
      </c>
      <c r="BD389" t="s">
        <v>11</v>
      </c>
      <c r="BE389" t="s">
        <v>11</v>
      </c>
      <c r="BF389" t="s">
        <v>11</v>
      </c>
      <c r="BG389" t="s">
        <v>11</v>
      </c>
      <c r="BH389">
        <v>15</v>
      </c>
      <c r="BI389" t="s">
        <v>11</v>
      </c>
      <c r="BJ389">
        <v>0</v>
      </c>
      <c r="BK389" t="s">
        <v>11</v>
      </c>
      <c r="BL389" t="s">
        <v>11</v>
      </c>
      <c r="BM389" t="s">
        <v>11</v>
      </c>
      <c r="BN389">
        <v>47</v>
      </c>
      <c r="BO389" t="s">
        <v>11</v>
      </c>
      <c r="BP389" t="str">
        <f t="shared" ref="BP389:BP452" si="70">BF389</f>
        <v>NoData</v>
      </c>
      <c r="BQ389" t="str">
        <f t="shared" ref="BQ389:BQ452" si="71">BG389</f>
        <v>NoData</v>
      </c>
      <c r="BR389">
        <v>55</v>
      </c>
      <c r="BS389" t="s">
        <v>11</v>
      </c>
      <c r="BT389">
        <v>26</v>
      </c>
      <c r="BU389" t="s">
        <v>11</v>
      </c>
    </row>
    <row r="390" spans="1:73" x14ac:dyDescent="0.25">
      <c r="A390" s="5">
        <v>37653</v>
      </c>
      <c r="B390">
        <v>1595</v>
      </c>
      <c r="C390">
        <v>844</v>
      </c>
      <c r="D390">
        <v>0</v>
      </c>
      <c r="E390">
        <v>0</v>
      </c>
      <c r="F390">
        <v>1183</v>
      </c>
      <c r="G390">
        <v>640</v>
      </c>
      <c r="H390">
        <v>486</v>
      </c>
      <c r="I390">
        <v>263</v>
      </c>
      <c r="J390">
        <v>1506</v>
      </c>
      <c r="K390">
        <v>1077</v>
      </c>
      <c r="L390">
        <v>20780</v>
      </c>
      <c r="M390">
        <v>5615</v>
      </c>
      <c r="N390">
        <v>219</v>
      </c>
      <c r="O390">
        <v>219</v>
      </c>
      <c r="P390" t="s">
        <v>11</v>
      </c>
      <c r="Q390" t="s">
        <v>11</v>
      </c>
      <c r="R390">
        <v>0</v>
      </c>
      <c r="S390" t="s">
        <v>11</v>
      </c>
      <c r="T390" s="34">
        <v>41450</v>
      </c>
      <c r="U390" s="34">
        <v>8698</v>
      </c>
      <c r="V390" s="34">
        <v>2368</v>
      </c>
      <c r="W390">
        <v>395</v>
      </c>
      <c r="X390">
        <v>1859</v>
      </c>
      <c r="Y390">
        <v>310</v>
      </c>
      <c r="Z390">
        <v>2671</v>
      </c>
      <c r="AA390">
        <v>321</v>
      </c>
      <c r="AB390">
        <v>17743</v>
      </c>
      <c r="AC390">
        <v>8156</v>
      </c>
      <c r="AD390">
        <v>1096</v>
      </c>
      <c r="AE390">
        <v>-146</v>
      </c>
      <c r="AF390">
        <v>4054</v>
      </c>
      <c r="AG390">
        <v>1753</v>
      </c>
      <c r="AH390">
        <f t="shared" ref="AH390:AH453" si="72">AD390</f>
        <v>1096</v>
      </c>
      <c r="AI390">
        <f t="shared" ref="AI390:AI453" si="73">AE390</f>
        <v>-146</v>
      </c>
      <c r="AJ390">
        <v>7934</v>
      </c>
      <c r="AK390">
        <v>-669</v>
      </c>
      <c r="AL390">
        <v>18911</v>
      </c>
      <c r="AM390">
        <v>6614</v>
      </c>
      <c r="AN390" s="22">
        <v>0</v>
      </c>
      <c r="AO390">
        <v>117</v>
      </c>
      <c r="AP390">
        <v>757</v>
      </c>
      <c r="AQ390">
        <v>380</v>
      </c>
      <c r="AR390">
        <v>57</v>
      </c>
      <c r="AS390" t="s">
        <v>11</v>
      </c>
      <c r="AT390">
        <f t="shared" si="66"/>
        <v>757</v>
      </c>
      <c r="AU390">
        <f t="shared" si="67"/>
        <v>380</v>
      </c>
      <c r="AV390">
        <v>0</v>
      </c>
      <c r="AW390">
        <v>0</v>
      </c>
      <c r="AX390">
        <v>4</v>
      </c>
      <c r="AY390">
        <v>2</v>
      </c>
      <c r="AZ390">
        <f t="shared" si="68"/>
        <v>757</v>
      </c>
      <c r="BA390">
        <f t="shared" si="69"/>
        <v>380</v>
      </c>
      <c r="BB390">
        <f t="shared" ref="BB390:BB453" si="74">AN390</f>
        <v>0</v>
      </c>
      <c r="BC390">
        <f t="shared" ref="BC390:BC453" si="75">AO390</f>
        <v>117</v>
      </c>
      <c r="BD390" t="s">
        <v>11</v>
      </c>
      <c r="BE390" t="s">
        <v>11</v>
      </c>
      <c r="BF390" t="s">
        <v>11</v>
      </c>
      <c r="BG390" t="s">
        <v>11</v>
      </c>
      <c r="BH390">
        <v>12</v>
      </c>
      <c r="BI390" t="s">
        <v>11</v>
      </c>
      <c r="BJ390">
        <v>0</v>
      </c>
      <c r="BK390" t="s">
        <v>11</v>
      </c>
      <c r="BL390" t="s">
        <v>11</v>
      </c>
      <c r="BM390" t="s">
        <v>11</v>
      </c>
      <c r="BN390">
        <v>10</v>
      </c>
      <c r="BO390" t="s">
        <v>11</v>
      </c>
      <c r="BP390" t="str">
        <f t="shared" si="70"/>
        <v>NoData</v>
      </c>
      <c r="BQ390" t="str">
        <f t="shared" si="71"/>
        <v>NoData</v>
      </c>
      <c r="BR390">
        <v>44</v>
      </c>
      <c r="BS390" t="s">
        <v>11</v>
      </c>
      <c r="BT390">
        <v>21</v>
      </c>
      <c r="BU390" t="s">
        <v>11</v>
      </c>
    </row>
    <row r="391" spans="1:73" x14ac:dyDescent="0.25">
      <c r="A391" s="5">
        <v>37681</v>
      </c>
      <c r="B391">
        <v>1810</v>
      </c>
      <c r="C391">
        <v>948</v>
      </c>
      <c r="D391">
        <v>15</v>
      </c>
      <c r="E391">
        <v>8</v>
      </c>
      <c r="F391">
        <v>2558</v>
      </c>
      <c r="G391">
        <v>1382</v>
      </c>
      <c r="H391">
        <v>981</v>
      </c>
      <c r="I391">
        <v>529</v>
      </c>
      <c r="J391">
        <v>1141</v>
      </c>
      <c r="K391">
        <v>816</v>
      </c>
      <c r="L391">
        <v>45490</v>
      </c>
      <c r="M391">
        <v>27487</v>
      </c>
      <c r="N391">
        <v>87</v>
      </c>
      <c r="O391">
        <v>87</v>
      </c>
      <c r="P391" t="s">
        <v>11</v>
      </c>
      <c r="Q391" t="s">
        <v>11</v>
      </c>
      <c r="R391">
        <v>0</v>
      </c>
      <c r="S391" t="s">
        <v>11</v>
      </c>
      <c r="T391" s="34">
        <v>73160</v>
      </c>
      <c r="U391" s="34">
        <v>34238</v>
      </c>
      <c r="V391" s="34">
        <v>5701</v>
      </c>
      <c r="W391">
        <v>952</v>
      </c>
      <c r="X391">
        <v>4945</v>
      </c>
      <c r="Y391">
        <v>826</v>
      </c>
      <c r="Z391">
        <v>3932</v>
      </c>
      <c r="AA391">
        <v>1240</v>
      </c>
      <c r="AB391">
        <v>35745</v>
      </c>
      <c r="AC391">
        <v>25041</v>
      </c>
      <c r="AD391">
        <v>1355</v>
      </c>
      <c r="AE391">
        <v>135</v>
      </c>
      <c r="AF391">
        <v>6165</v>
      </c>
      <c r="AG391">
        <v>3671</v>
      </c>
      <c r="AH391">
        <f t="shared" si="72"/>
        <v>1355</v>
      </c>
      <c r="AI391">
        <f t="shared" si="73"/>
        <v>135</v>
      </c>
      <c r="AJ391">
        <v>11894</v>
      </c>
      <c r="AK391">
        <v>3033</v>
      </c>
      <c r="AL391">
        <v>35698</v>
      </c>
      <c r="AM391">
        <v>24463</v>
      </c>
      <c r="AN391" s="22">
        <v>214</v>
      </c>
      <c r="AO391">
        <v>353</v>
      </c>
      <c r="AP391">
        <v>1049</v>
      </c>
      <c r="AQ391">
        <v>643</v>
      </c>
      <c r="AR391">
        <v>97</v>
      </c>
      <c r="AS391" t="s">
        <v>11</v>
      </c>
      <c r="AT391">
        <f t="shared" si="66"/>
        <v>1049</v>
      </c>
      <c r="AU391">
        <f t="shared" si="67"/>
        <v>643</v>
      </c>
      <c r="AV391">
        <v>0</v>
      </c>
      <c r="AW391">
        <v>0</v>
      </c>
      <c r="AX391">
        <v>4</v>
      </c>
      <c r="AY391">
        <v>2</v>
      </c>
      <c r="AZ391">
        <f t="shared" si="68"/>
        <v>1049</v>
      </c>
      <c r="BA391">
        <f t="shared" si="69"/>
        <v>643</v>
      </c>
      <c r="BB391">
        <f t="shared" si="74"/>
        <v>214</v>
      </c>
      <c r="BC391">
        <f t="shared" si="75"/>
        <v>353</v>
      </c>
      <c r="BD391" t="s">
        <v>11</v>
      </c>
      <c r="BE391" t="s">
        <v>11</v>
      </c>
      <c r="BF391" t="s">
        <v>11</v>
      </c>
      <c r="BG391" t="s">
        <v>11</v>
      </c>
      <c r="BH391">
        <v>20</v>
      </c>
      <c r="BI391" t="s">
        <v>11</v>
      </c>
      <c r="BJ391">
        <v>0</v>
      </c>
      <c r="BK391" t="s">
        <v>11</v>
      </c>
      <c r="BL391" t="s">
        <v>11</v>
      </c>
      <c r="BM391" t="s">
        <v>11</v>
      </c>
      <c r="BN391">
        <v>53</v>
      </c>
      <c r="BO391" t="s">
        <v>11</v>
      </c>
      <c r="BP391" t="str">
        <f t="shared" si="70"/>
        <v>NoData</v>
      </c>
      <c r="BQ391" t="str">
        <f t="shared" si="71"/>
        <v>NoData</v>
      </c>
      <c r="BR391">
        <v>75</v>
      </c>
      <c r="BS391" t="s">
        <v>11</v>
      </c>
      <c r="BT391">
        <v>36</v>
      </c>
      <c r="BU391" t="s">
        <v>11</v>
      </c>
    </row>
    <row r="392" spans="1:73" x14ac:dyDescent="0.25">
      <c r="A392" s="5">
        <v>37712</v>
      </c>
      <c r="B392">
        <v>3389</v>
      </c>
      <c r="C392">
        <v>1798</v>
      </c>
      <c r="D392">
        <v>17</v>
      </c>
      <c r="E392">
        <v>9</v>
      </c>
      <c r="F392">
        <v>4966</v>
      </c>
      <c r="G392">
        <v>2683</v>
      </c>
      <c r="H392">
        <v>1695</v>
      </c>
      <c r="I392">
        <v>914</v>
      </c>
      <c r="J392">
        <v>1883</v>
      </c>
      <c r="K392">
        <v>1346</v>
      </c>
      <c r="L392">
        <v>65680</v>
      </c>
      <c r="M392">
        <v>42656</v>
      </c>
      <c r="N392">
        <v>237</v>
      </c>
      <c r="O392">
        <v>237</v>
      </c>
      <c r="P392" t="s">
        <v>11</v>
      </c>
      <c r="Q392" t="s">
        <v>11</v>
      </c>
      <c r="R392">
        <v>0</v>
      </c>
      <c r="S392" t="s">
        <v>11</v>
      </c>
      <c r="T392" s="34">
        <v>92080</v>
      </c>
      <c r="U392" s="34">
        <v>48101</v>
      </c>
      <c r="V392" s="34">
        <v>6775</v>
      </c>
      <c r="W392">
        <v>1131</v>
      </c>
      <c r="X392">
        <v>5945</v>
      </c>
      <c r="Y392">
        <v>993</v>
      </c>
      <c r="Z392">
        <v>4751</v>
      </c>
      <c r="AA392">
        <v>1762</v>
      </c>
      <c r="AB392">
        <v>44208</v>
      </c>
      <c r="AC392">
        <v>32286</v>
      </c>
      <c r="AD392">
        <v>2565</v>
      </c>
      <c r="AE392">
        <v>1271</v>
      </c>
      <c r="AF392">
        <v>7216</v>
      </c>
      <c r="AG392">
        <v>4315</v>
      </c>
      <c r="AH392">
        <f t="shared" si="72"/>
        <v>2565</v>
      </c>
      <c r="AI392">
        <f t="shared" si="73"/>
        <v>1271</v>
      </c>
      <c r="AJ392">
        <v>16983</v>
      </c>
      <c r="AK392">
        <v>6915</v>
      </c>
      <c r="AL392">
        <v>44405</v>
      </c>
      <c r="AM392">
        <v>34976</v>
      </c>
      <c r="AN392" s="22">
        <v>0</v>
      </c>
      <c r="AO392">
        <v>282</v>
      </c>
      <c r="AP392">
        <v>938</v>
      </c>
      <c r="AQ392">
        <v>577</v>
      </c>
      <c r="AR392">
        <v>105</v>
      </c>
      <c r="AS392" t="s">
        <v>11</v>
      </c>
      <c r="AT392">
        <f t="shared" si="66"/>
        <v>938</v>
      </c>
      <c r="AU392">
        <f t="shared" si="67"/>
        <v>577</v>
      </c>
      <c r="AV392">
        <v>4</v>
      </c>
      <c r="AW392">
        <v>3</v>
      </c>
      <c r="AX392">
        <v>4</v>
      </c>
      <c r="AY392">
        <v>2</v>
      </c>
      <c r="AZ392">
        <f t="shared" si="68"/>
        <v>938</v>
      </c>
      <c r="BA392">
        <f t="shared" si="69"/>
        <v>577</v>
      </c>
      <c r="BB392">
        <f t="shared" si="74"/>
        <v>0</v>
      </c>
      <c r="BC392">
        <f t="shared" si="75"/>
        <v>282</v>
      </c>
      <c r="BD392" t="s">
        <v>11</v>
      </c>
      <c r="BE392" t="s">
        <v>11</v>
      </c>
      <c r="BF392" t="s">
        <v>11</v>
      </c>
      <c r="BG392" t="s">
        <v>11</v>
      </c>
      <c r="BH392">
        <v>22</v>
      </c>
      <c r="BI392" t="s">
        <v>11</v>
      </c>
      <c r="BJ392">
        <v>0</v>
      </c>
      <c r="BK392" t="s">
        <v>11</v>
      </c>
      <c r="BL392" t="s">
        <v>11</v>
      </c>
      <c r="BM392" t="s">
        <v>11</v>
      </c>
      <c r="BN392">
        <v>61</v>
      </c>
      <c r="BO392" t="s">
        <v>11</v>
      </c>
      <c r="BP392" t="str">
        <f t="shared" si="70"/>
        <v>NoData</v>
      </c>
      <c r="BQ392" t="str">
        <f t="shared" si="71"/>
        <v>NoData</v>
      </c>
      <c r="BR392">
        <v>81</v>
      </c>
      <c r="BS392" t="s">
        <v>11</v>
      </c>
      <c r="BT392">
        <v>39</v>
      </c>
      <c r="BU392" t="s">
        <v>11</v>
      </c>
    </row>
    <row r="393" spans="1:73" x14ac:dyDescent="0.25">
      <c r="A393" s="5">
        <v>37742</v>
      </c>
      <c r="B393">
        <v>3884</v>
      </c>
      <c r="C393">
        <v>2059</v>
      </c>
      <c r="D393">
        <v>3</v>
      </c>
      <c r="E393">
        <v>2</v>
      </c>
      <c r="F393">
        <v>6094</v>
      </c>
      <c r="G393">
        <v>3293</v>
      </c>
      <c r="H393">
        <v>1732</v>
      </c>
      <c r="I393">
        <v>934</v>
      </c>
      <c r="J393">
        <v>1267</v>
      </c>
      <c r="K393">
        <v>906</v>
      </c>
      <c r="L393">
        <v>74320</v>
      </c>
      <c r="M393">
        <v>49914</v>
      </c>
      <c r="N393">
        <v>208</v>
      </c>
      <c r="O393">
        <v>208</v>
      </c>
      <c r="P393" t="s">
        <v>11</v>
      </c>
      <c r="Q393" t="s">
        <v>11</v>
      </c>
      <c r="R393">
        <v>0</v>
      </c>
      <c r="S393" t="s">
        <v>11</v>
      </c>
      <c r="T393" s="34">
        <v>105400</v>
      </c>
      <c r="U393" s="34">
        <v>55410</v>
      </c>
      <c r="V393" s="34">
        <v>5797</v>
      </c>
      <c r="W393">
        <v>968</v>
      </c>
      <c r="X393">
        <v>6312</v>
      </c>
      <c r="Y393">
        <v>1054</v>
      </c>
      <c r="Z393">
        <v>5482</v>
      </c>
      <c r="AA393">
        <v>1761</v>
      </c>
      <c r="AB393">
        <v>38008</v>
      </c>
      <c r="AC393">
        <v>24942</v>
      </c>
      <c r="AD393">
        <v>2737</v>
      </c>
      <c r="AE393">
        <v>1457</v>
      </c>
      <c r="AF393">
        <v>8088</v>
      </c>
      <c r="AG393">
        <v>3983</v>
      </c>
      <c r="AH393">
        <f t="shared" si="72"/>
        <v>2737</v>
      </c>
      <c r="AI393">
        <f t="shared" si="73"/>
        <v>1457</v>
      </c>
      <c r="AJ393">
        <v>19190</v>
      </c>
      <c r="AK393">
        <v>8443</v>
      </c>
      <c r="AL393">
        <v>44409</v>
      </c>
      <c r="AM393">
        <v>31134</v>
      </c>
      <c r="AN393" s="22">
        <v>136</v>
      </c>
      <c r="AO393">
        <v>497</v>
      </c>
      <c r="AP393">
        <v>1026</v>
      </c>
      <c r="AQ393">
        <v>557</v>
      </c>
      <c r="AR393">
        <v>129</v>
      </c>
      <c r="AS393" t="s">
        <v>11</v>
      </c>
      <c r="AT393">
        <f t="shared" si="66"/>
        <v>1026</v>
      </c>
      <c r="AU393">
        <f t="shared" si="67"/>
        <v>557</v>
      </c>
      <c r="AV393">
        <v>5</v>
      </c>
      <c r="AW393">
        <v>4</v>
      </c>
      <c r="AX393">
        <v>4</v>
      </c>
      <c r="AY393">
        <v>2</v>
      </c>
      <c r="AZ393">
        <f t="shared" si="68"/>
        <v>1026</v>
      </c>
      <c r="BA393">
        <f t="shared" si="69"/>
        <v>557</v>
      </c>
      <c r="BB393">
        <f t="shared" si="74"/>
        <v>136</v>
      </c>
      <c r="BC393">
        <f t="shared" si="75"/>
        <v>497</v>
      </c>
      <c r="BD393" t="s">
        <v>11</v>
      </c>
      <c r="BE393" t="s">
        <v>11</v>
      </c>
      <c r="BF393" t="s">
        <v>11</v>
      </c>
      <c r="BG393" t="s">
        <v>11</v>
      </c>
      <c r="BH393">
        <v>27</v>
      </c>
      <c r="BI393" t="s">
        <v>11</v>
      </c>
      <c r="BJ393">
        <v>0</v>
      </c>
      <c r="BK393" t="s">
        <v>11</v>
      </c>
      <c r="BL393" t="s">
        <v>11</v>
      </c>
      <c r="BM393" t="s">
        <v>11</v>
      </c>
      <c r="BN393">
        <v>32</v>
      </c>
      <c r="BO393" t="s">
        <v>11</v>
      </c>
      <c r="BP393" t="str">
        <f t="shared" si="70"/>
        <v>NoData</v>
      </c>
      <c r="BQ393" t="str">
        <f t="shared" si="71"/>
        <v>NoData</v>
      </c>
      <c r="BR393">
        <v>99</v>
      </c>
      <c r="BS393" t="s">
        <v>11</v>
      </c>
      <c r="BT393">
        <v>48</v>
      </c>
      <c r="BU393" t="s">
        <v>11</v>
      </c>
    </row>
    <row r="394" spans="1:73" x14ac:dyDescent="0.25">
      <c r="A394" s="5">
        <v>37773</v>
      </c>
      <c r="B394">
        <v>3963</v>
      </c>
      <c r="C394">
        <v>2093</v>
      </c>
      <c r="D394">
        <v>0</v>
      </c>
      <c r="E394">
        <v>0</v>
      </c>
      <c r="F394">
        <v>8469</v>
      </c>
      <c r="G394">
        <v>4575</v>
      </c>
      <c r="H394">
        <v>2355</v>
      </c>
      <c r="I394">
        <v>1269</v>
      </c>
      <c r="J394">
        <v>3732</v>
      </c>
      <c r="K394">
        <v>2668</v>
      </c>
      <c r="L394">
        <v>73330</v>
      </c>
      <c r="M394">
        <v>51510</v>
      </c>
      <c r="N394">
        <v>347</v>
      </c>
      <c r="O394">
        <v>347</v>
      </c>
      <c r="P394" t="s">
        <v>11</v>
      </c>
      <c r="Q394" t="s">
        <v>11</v>
      </c>
      <c r="R394">
        <v>0</v>
      </c>
      <c r="S394" t="s">
        <v>11</v>
      </c>
      <c r="T394" s="34">
        <v>107500</v>
      </c>
      <c r="U394" s="34">
        <v>53573</v>
      </c>
      <c r="V394" s="34">
        <v>2303</v>
      </c>
      <c r="W394">
        <v>385</v>
      </c>
      <c r="X394">
        <v>4661</v>
      </c>
      <c r="Y394">
        <v>778</v>
      </c>
      <c r="Z394">
        <v>5234</v>
      </c>
      <c r="AA394">
        <v>1715</v>
      </c>
      <c r="AB394">
        <v>23648</v>
      </c>
      <c r="AC394">
        <v>13686</v>
      </c>
      <c r="AD394">
        <v>3158</v>
      </c>
      <c r="AE394">
        <v>2006</v>
      </c>
      <c r="AF394">
        <v>6160</v>
      </c>
      <c r="AG394">
        <v>3334</v>
      </c>
      <c r="AH394">
        <f t="shared" si="72"/>
        <v>3158</v>
      </c>
      <c r="AI394">
        <f t="shared" si="73"/>
        <v>2006</v>
      </c>
      <c r="AJ394">
        <v>22787</v>
      </c>
      <c r="AK394">
        <v>12357</v>
      </c>
      <c r="AL394">
        <v>49488</v>
      </c>
      <c r="AM394">
        <v>37976</v>
      </c>
      <c r="AN394" s="22">
        <v>56</v>
      </c>
      <c r="AO394">
        <v>287</v>
      </c>
      <c r="AP394">
        <v>1274</v>
      </c>
      <c r="AQ394">
        <v>746</v>
      </c>
      <c r="AR394">
        <v>156</v>
      </c>
      <c r="AS394" t="s">
        <v>11</v>
      </c>
      <c r="AT394">
        <f t="shared" si="66"/>
        <v>1274</v>
      </c>
      <c r="AU394">
        <f t="shared" si="67"/>
        <v>746</v>
      </c>
      <c r="AV394">
        <v>20</v>
      </c>
      <c r="AW394">
        <v>14</v>
      </c>
      <c r="AX394">
        <v>4</v>
      </c>
      <c r="AY394">
        <v>2</v>
      </c>
      <c r="AZ394">
        <f t="shared" si="68"/>
        <v>1274</v>
      </c>
      <c r="BA394">
        <f t="shared" si="69"/>
        <v>746</v>
      </c>
      <c r="BB394">
        <f t="shared" si="74"/>
        <v>56</v>
      </c>
      <c r="BC394">
        <f t="shared" si="75"/>
        <v>287</v>
      </c>
      <c r="BD394" t="s">
        <v>11</v>
      </c>
      <c r="BE394" t="s">
        <v>11</v>
      </c>
      <c r="BF394" t="s">
        <v>11</v>
      </c>
      <c r="BG394" t="s">
        <v>11</v>
      </c>
      <c r="BH394">
        <v>32</v>
      </c>
      <c r="BI394" t="s">
        <v>11</v>
      </c>
      <c r="BJ394">
        <v>0</v>
      </c>
      <c r="BK394" t="s">
        <v>11</v>
      </c>
      <c r="BL394" t="s">
        <v>11</v>
      </c>
      <c r="BM394" t="s">
        <v>11</v>
      </c>
      <c r="BN394">
        <v>26</v>
      </c>
      <c r="BO394" t="s">
        <v>11</v>
      </c>
      <c r="BP394" t="str">
        <f t="shared" si="70"/>
        <v>NoData</v>
      </c>
      <c r="BQ394" t="str">
        <f t="shared" si="71"/>
        <v>NoData</v>
      </c>
      <c r="BR394">
        <v>120</v>
      </c>
      <c r="BS394" t="s">
        <v>11</v>
      </c>
      <c r="BT394">
        <v>58</v>
      </c>
      <c r="BU394" t="s">
        <v>11</v>
      </c>
    </row>
    <row r="395" spans="1:73" x14ac:dyDescent="0.25">
      <c r="A395" s="5">
        <v>37803</v>
      </c>
      <c r="B395">
        <v>4541</v>
      </c>
      <c r="C395">
        <v>2401</v>
      </c>
      <c r="D395">
        <v>2</v>
      </c>
      <c r="E395">
        <v>1</v>
      </c>
      <c r="F395">
        <v>7782</v>
      </c>
      <c r="G395">
        <v>4204</v>
      </c>
      <c r="H395">
        <v>2219</v>
      </c>
      <c r="I395">
        <v>1197</v>
      </c>
      <c r="J395">
        <v>4700</v>
      </c>
      <c r="K395">
        <v>3360</v>
      </c>
      <c r="L395">
        <v>80370</v>
      </c>
      <c r="M395">
        <v>57552</v>
      </c>
      <c r="N395">
        <v>313</v>
      </c>
      <c r="O395">
        <v>313</v>
      </c>
      <c r="P395" t="s">
        <v>11</v>
      </c>
      <c r="Q395" t="s">
        <v>11</v>
      </c>
      <c r="R395">
        <v>0</v>
      </c>
      <c r="S395" t="s">
        <v>11</v>
      </c>
      <c r="T395" s="34">
        <v>105700</v>
      </c>
      <c r="U395" s="34">
        <v>52923</v>
      </c>
      <c r="V395" s="34">
        <v>2451</v>
      </c>
      <c r="W395">
        <v>409</v>
      </c>
      <c r="X395">
        <v>4507</v>
      </c>
      <c r="Y395">
        <v>753</v>
      </c>
      <c r="Z395">
        <v>4524</v>
      </c>
      <c r="AA395">
        <v>1424</v>
      </c>
      <c r="AB395">
        <v>28450</v>
      </c>
      <c r="AC395">
        <v>18479</v>
      </c>
      <c r="AD395">
        <v>3897</v>
      </c>
      <c r="AE395">
        <v>2498</v>
      </c>
      <c r="AF395">
        <v>5220</v>
      </c>
      <c r="AG395">
        <v>2692</v>
      </c>
      <c r="AH395">
        <f t="shared" si="72"/>
        <v>3897</v>
      </c>
      <c r="AI395">
        <f t="shared" si="73"/>
        <v>2498</v>
      </c>
      <c r="AJ395">
        <v>27486</v>
      </c>
      <c r="AK395">
        <v>14917</v>
      </c>
      <c r="AL395">
        <v>47170</v>
      </c>
      <c r="AM395">
        <v>35416</v>
      </c>
      <c r="AN395" s="22">
        <v>428</v>
      </c>
      <c r="AO395">
        <v>623</v>
      </c>
      <c r="AP395">
        <v>1566</v>
      </c>
      <c r="AQ395">
        <v>924</v>
      </c>
      <c r="AR395">
        <v>170</v>
      </c>
      <c r="AS395" t="s">
        <v>11</v>
      </c>
      <c r="AT395">
        <f t="shared" si="66"/>
        <v>1566</v>
      </c>
      <c r="AU395">
        <f t="shared" si="67"/>
        <v>924</v>
      </c>
      <c r="AV395">
        <v>14</v>
      </c>
      <c r="AW395">
        <v>10</v>
      </c>
      <c r="AX395">
        <v>4</v>
      </c>
      <c r="AY395">
        <v>2</v>
      </c>
      <c r="AZ395">
        <f t="shared" si="68"/>
        <v>1566</v>
      </c>
      <c r="BA395">
        <f t="shared" si="69"/>
        <v>924</v>
      </c>
      <c r="BB395">
        <f t="shared" si="74"/>
        <v>428</v>
      </c>
      <c r="BC395">
        <f t="shared" si="75"/>
        <v>623</v>
      </c>
      <c r="BD395" t="s">
        <v>11</v>
      </c>
      <c r="BE395" t="s">
        <v>11</v>
      </c>
      <c r="BF395" t="s">
        <v>11</v>
      </c>
      <c r="BG395" t="s">
        <v>11</v>
      </c>
      <c r="BH395">
        <v>35</v>
      </c>
      <c r="BI395" t="s">
        <v>11</v>
      </c>
      <c r="BJ395">
        <v>0</v>
      </c>
      <c r="BK395" t="s">
        <v>11</v>
      </c>
      <c r="BL395" t="s">
        <v>11</v>
      </c>
      <c r="BM395" t="s">
        <v>11</v>
      </c>
      <c r="BN395">
        <v>29</v>
      </c>
      <c r="BO395" t="s">
        <v>11</v>
      </c>
      <c r="BP395" t="str">
        <f t="shared" si="70"/>
        <v>NoData</v>
      </c>
      <c r="BQ395" t="str">
        <f t="shared" si="71"/>
        <v>NoData</v>
      </c>
      <c r="BR395">
        <v>131</v>
      </c>
      <c r="BS395" t="s">
        <v>11</v>
      </c>
      <c r="BT395">
        <v>63</v>
      </c>
      <c r="BU395" t="s">
        <v>11</v>
      </c>
    </row>
    <row r="396" spans="1:73" x14ac:dyDescent="0.25">
      <c r="A396" s="5">
        <v>37834</v>
      </c>
      <c r="B396">
        <v>3795</v>
      </c>
      <c r="C396">
        <v>2000</v>
      </c>
      <c r="D396">
        <v>6</v>
      </c>
      <c r="E396">
        <v>3</v>
      </c>
      <c r="F396">
        <v>7589</v>
      </c>
      <c r="G396">
        <v>4100</v>
      </c>
      <c r="H396">
        <v>2029</v>
      </c>
      <c r="I396">
        <v>1095</v>
      </c>
      <c r="J396">
        <v>3416</v>
      </c>
      <c r="K396">
        <v>2442</v>
      </c>
      <c r="L396">
        <v>68580</v>
      </c>
      <c r="M396">
        <v>46235</v>
      </c>
      <c r="N396">
        <v>275</v>
      </c>
      <c r="O396">
        <v>275</v>
      </c>
      <c r="P396" t="s">
        <v>11</v>
      </c>
      <c r="Q396" t="s">
        <v>11</v>
      </c>
      <c r="R396">
        <v>0</v>
      </c>
      <c r="S396" t="s">
        <v>11</v>
      </c>
      <c r="T396" s="34">
        <v>103700</v>
      </c>
      <c r="U396" s="34">
        <v>50041</v>
      </c>
      <c r="V396" s="34">
        <v>2118</v>
      </c>
      <c r="W396">
        <v>354</v>
      </c>
      <c r="X396">
        <v>2845</v>
      </c>
      <c r="Y396">
        <v>475</v>
      </c>
      <c r="Z396">
        <v>1821</v>
      </c>
      <c r="AA396">
        <v>289</v>
      </c>
      <c r="AB396">
        <v>18069</v>
      </c>
      <c r="AC396">
        <v>8734</v>
      </c>
      <c r="AD396">
        <v>2968</v>
      </c>
      <c r="AE396">
        <v>1772</v>
      </c>
      <c r="AF396">
        <v>3848</v>
      </c>
      <c r="AG396">
        <v>2008</v>
      </c>
      <c r="AH396">
        <f t="shared" si="72"/>
        <v>2968</v>
      </c>
      <c r="AI396">
        <f t="shared" si="73"/>
        <v>1772</v>
      </c>
      <c r="AJ396">
        <v>21745</v>
      </c>
      <c r="AK396">
        <v>11356</v>
      </c>
      <c r="AL396">
        <v>36757</v>
      </c>
      <c r="AM396">
        <v>25219</v>
      </c>
      <c r="AN396" s="22">
        <v>2661</v>
      </c>
      <c r="AO396">
        <v>2830</v>
      </c>
      <c r="AP396">
        <v>722</v>
      </c>
      <c r="AQ396">
        <v>435</v>
      </c>
      <c r="AR396">
        <v>164</v>
      </c>
      <c r="AS396" t="s">
        <v>11</v>
      </c>
      <c r="AT396">
        <f t="shared" si="66"/>
        <v>722</v>
      </c>
      <c r="AU396">
        <f t="shared" si="67"/>
        <v>435</v>
      </c>
      <c r="AV396">
        <v>69</v>
      </c>
      <c r="AW396">
        <v>49</v>
      </c>
      <c r="AX396">
        <v>4</v>
      </c>
      <c r="AY396">
        <v>2</v>
      </c>
      <c r="AZ396">
        <f t="shared" si="68"/>
        <v>722</v>
      </c>
      <c r="BA396">
        <f t="shared" si="69"/>
        <v>435</v>
      </c>
      <c r="BB396">
        <f t="shared" si="74"/>
        <v>2661</v>
      </c>
      <c r="BC396">
        <f t="shared" si="75"/>
        <v>2830</v>
      </c>
      <c r="BD396" t="s">
        <v>11</v>
      </c>
      <c r="BE396" t="s">
        <v>11</v>
      </c>
      <c r="BF396" t="s">
        <v>11</v>
      </c>
      <c r="BG396" t="s">
        <v>11</v>
      </c>
      <c r="BH396">
        <v>34</v>
      </c>
      <c r="BI396" t="s">
        <v>11</v>
      </c>
      <c r="BJ396">
        <v>0</v>
      </c>
      <c r="BK396" t="s">
        <v>11</v>
      </c>
      <c r="BL396" t="s">
        <v>11</v>
      </c>
      <c r="BM396" t="s">
        <v>11</v>
      </c>
      <c r="BN396">
        <v>28</v>
      </c>
      <c r="BO396" t="s">
        <v>11</v>
      </c>
      <c r="BP396" t="str">
        <f t="shared" si="70"/>
        <v>NoData</v>
      </c>
      <c r="BQ396" t="str">
        <f t="shared" si="71"/>
        <v>NoData</v>
      </c>
      <c r="BR396">
        <v>126</v>
      </c>
      <c r="BS396" t="s">
        <v>11</v>
      </c>
      <c r="BT396">
        <v>61</v>
      </c>
      <c r="BU396" t="s">
        <v>11</v>
      </c>
    </row>
    <row r="397" spans="1:73" x14ac:dyDescent="0.25">
      <c r="A397" s="5">
        <v>37865</v>
      </c>
      <c r="B397">
        <v>3884</v>
      </c>
      <c r="C397">
        <v>2059</v>
      </c>
      <c r="D397">
        <v>191</v>
      </c>
      <c r="E397">
        <v>103</v>
      </c>
      <c r="F397">
        <v>8310</v>
      </c>
      <c r="G397">
        <v>4489</v>
      </c>
      <c r="H397">
        <v>2251</v>
      </c>
      <c r="I397">
        <v>1213</v>
      </c>
      <c r="J397">
        <v>3060</v>
      </c>
      <c r="K397">
        <v>2188</v>
      </c>
      <c r="L397">
        <v>55770</v>
      </c>
      <c r="M397">
        <v>34183</v>
      </c>
      <c r="N397">
        <v>256</v>
      </c>
      <c r="O397">
        <v>256</v>
      </c>
      <c r="P397" t="s">
        <v>11</v>
      </c>
      <c r="Q397" t="s">
        <v>11</v>
      </c>
      <c r="R397">
        <v>0</v>
      </c>
      <c r="S397" t="s">
        <v>11</v>
      </c>
      <c r="T397" s="34">
        <v>88250</v>
      </c>
      <c r="U397" s="34">
        <v>37115</v>
      </c>
      <c r="V397" s="34">
        <v>2786</v>
      </c>
      <c r="W397">
        <v>465</v>
      </c>
      <c r="X397">
        <v>3077</v>
      </c>
      <c r="Y397">
        <v>514</v>
      </c>
      <c r="Z397">
        <v>3583</v>
      </c>
      <c r="AA397">
        <v>999</v>
      </c>
      <c r="AB397">
        <v>28344</v>
      </c>
      <c r="AC397">
        <v>17282</v>
      </c>
      <c r="AD397">
        <v>2698</v>
      </c>
      <c r="AE397">
        <v>1627</v>
      </c>
      <c r="AF397">
        <v>4733</v>
      </c>
      <c r="AG397">
        <v>2423</v>
      </c>
      <c r="AH397">
        <f t="shared" si="72"/>
        <v>2698</v>
      </c>
      <c r="AI397">
        <f t="shared" si="73"/>
        <v>1627</v>
      </c>
      <c r="AJ397">
        <v>20642</v>
      </c>
      <c r="AK397">
        <v>11002</v>
      </c>
      <c r="AL397">
        <v>37017</v>
      </c>
      <c r="AM397">
        <v>24955</v>
      </c>
      <c r="AN397" s="22">
        <v>0</v>
      </c>
      <c r="AO397">
        <v>267</v>
      </c>
      <c r="AP397">
        <v>877</v>
      </c>
      <c r="AQ397">
        <v>515</v>
      </c>
      <c r="AR397">
        <v>129</v>
      </c>
      <c r="AS397" t="s">
        <v>11</v>
      </c>
      <c r="AT397">
        <f t="shared" si="66"/>
        <v>877</v>
      </c>
      <c r="AU397">
        <f t="shared" si="67"/>
        <v>515</v>
      </c>
      <c r="AV397">
        <v>3</v>
      </c>
      <c r="AW397">
        <v>2</v>
      </c>
      <c r="AX397">
        <v>4</v>
      </c>
      <c r="AY397">
        <v>2</v>
      </c>
      <c r="AZ397">
        <f t="shared" si="68"/>
        <v>877</v>
      </c>
      <c r="BA397">
        <f t="shared" si="69"/>
        <v>515</v>
      </c>
      <c r="BB397">
        <f t="shared" si="74"/>
        <v>0</v>
      </c>
      <c r="BC397">
        <f t="shared" si="75"/>
        <v>267</v>
      </c>
      <c r="BD397" t="s">
        <v>11</v>
      </c>
      <c r="BE397" t="s">
        <v>11</v>
      </c>
      <c r="BF397" t="s">
        <v>11</v>
      </c>
      <c r="BG397" t="s">
        <v>11</v>
      </c>
      <c r="BH397">
        <v>27</v>
      </c>
      <c r="BI397" t="s">
        <v>11</v>
      </c>
      <c r="BJ397">
        <v>0</v>
      </c>
      <c r="BK397" t="s">
        <v>11</v>
      </c>
      <c r="BL397" t="s">
        <v>11</v>
      </c>
      <c r="BM397" t="s">
        <v>11</v>
      </c>
      <c r="BN397">
        <v>22</v>
      </c>
      <c r="BO397" t="s">
        <v>11</v>
      </c>
      <c r="BP397" t="str">
        <f t="shared" si="70"/>
        <v>NoData</v>
      </c>
      <c r="BQ397" t="str">
        <f t="shared" si="71"/>
        <v>NoData</v>
      </c>
      <c r="BR397">
        <v>99</v>
      </c>
      <c r="BS397" t="s">
        <v>11</v>
      </c>
      <c r="BT397">
        <v>48</v>
      </c>
      <c r="BU397" t="s">
        <v>11</v>
      </c>
    </row>
    <row r="398" spans="1:73" x14ac:dyDescent="0.25">
      <c r="A398" s="5">
        <v>37895</v>
      </c>
      <c r="B398">
        <v>3458</v>
      </c>
      <c r="C398">
        <v>1835</v>
      </c>
      <c r="D398">
        <v>190</v>
      </c>
      <c r="E398">
        <v>102</v>
      </c>
      <c r="F398">
        <v>5073</v>
      </c>
      <c r="G398">
        <v>2740</v>
      </c>
      <c r="H398">
        <v>1408</v>
      </c>
      <c r="I398">
        <v>760</v>
      </c>
      <c r="J398">
        <v>2395</v>
      </c>
      <c r="K398">
        <v>1712</v>
      </c>
      <c r="L398">
        <v>40170</v>
      </c>
      <c r="M398">
        <v>20259</v>
      </c>
      <c r="N398">
        <v>260</v>
      </c>
      <c r="O398">
        <v>260</v>
      </c>
      <c r="P398" t="s">
        <v>11</v>
      </c>
      <c r="Q398" t="s">
        <v>11</v>
      </c>
      <c r="R398">
        <v>0</v>
      </c>
      <c r="S398" t="s">
        <v>11</v>
      </c>
      <c r="T398" s="34">
        <v>64750</v>
      </c>
      <c r="U398" s="34">
        <v>12748</v>
      </c>
      <c r="V398" s="34">
        <v>6055</v>
      </c>
      <c r="W398">
        <v>1011</v>
      </c>
      <c r="X398">
        <v>4686</v>
      </c>
      <c r="Y398">
        <v>783</v>
      </c>
      <c r="Z398">
        <v>4751</v>
      </c>
      <c r="AA398">
        <v>1491</v>
      </c>
      <c r="AB398">
        <v>45419</v>
      </c>
      <c r="AC398">
        <v>28991</v>
      </c>
      <c r="AD398">
        <v>1910</v>
      </c>
      <c r="AE398">
        <v>1208</v>
      </c>
      <c r="AF398">
        <v>5809</v>
      </c>
      <c r="AG398">
        <v>3507</v>
      </c>
      <c r="AH398">
        <f t="shared" si="72"/>
        <v>1910</v>
      </c>
      <c r="AI398">
        <f t="shared" si="73"/>
        <v>1208</v>
      </c>
      <c r="AJ398">
        <v>19544</v>
      </c>
      <c r="AK398">
        <v>12732</v>
      </c>
      <c r="AL398">
        <v>34275</v>
      </c>
      <c r="AM398">
        <v>24484</v>
      </c>
      <c r="AN398" s="22">
        <v>0</v>
      </c>
      <c r="AO398">
        <v>250</v>
      </c>
      <c r="AP398">
        <v>1126</v>
      </c>
      <c r="AQ398">
        <v>722</v>
      </c>
      <c r="AR398">
        <v>108</v>
      </c>
      <c r="AS398" t="s">
        <v>11</v>
      </c>
      <c r="AT398">
        <f t="shared" si="66"/>
        <v>1126</v>
      </c>
      <c r="AU398">
        <f t="shared" si="67"/>
        <v>722</v>
      </c>
      <c r="AV398">
        <v>3</v>
      </c>
      <c r="AW398">
        <v>2</v>
      </c>
      <c r="AX398">
        <v>4</v>
      </c>
      <c r="AY398">
        <v>2</v>
      </c>
      <c r="AZ398">
        <f t="shared" si="68"/>
        <v>1126</v>
      </c>
      <c r="BA398">
        <f t="shared" si="69"/>
        <v>722</v>
      </c>
      <c r="BB398">
        <f t="shared" si="74"/>
        <v>0</v>
      </c>
      <c r="BC398">
        <f t="shared" si="75"/>
        <v>250</v>
      </c>
      <c r="BD398" t="s">
        <v>11</v>
      </c>
      <c r="BE398" t="s">
        <v>11</v>
      </c>
      <c r="BF398" t="s">
        <v>11</v>
      </c>
      <c r="BG398" t="s">
        <v>11</v>
      </c>
      <c r="BH398">
        <v>22</v>
      </c>
      <c r="BI398" t="s">
        <v>11</v>
      </c>
      <c r="BJ398">
        <v>0</v>
      </c>
      <c r="BK398" t="s">
        <v>11</v>
      </c>
      <c r="BL398" t="s">
        <v>11</v>
      </c>
      <c r="BM398" t="s">
        <v>11</v>
      </c>
      <c r="BN398">
        <v>18</v>
      </c>
      <c r="BO398" t="s">
        <v>11</v>
      </c>
      <c r="BP398" t="str">
        <f t="shared" si="70"/>
        <v>NoData</v>
      </c>
      <c r="BQ398" t="str">
        <f t="shared" si="71"/>
        <v>NoData</v>
      </c>
      <c r="BR398">
        <v>83</v>
      </c>
      <c r="BS398" t="s">
        <v>11</v>
      </c>
      <c r="BT398">
        <v>40</v>
      </c>
      <c r="BU398" t="s">
        <v>11</v>
      </c>
    </row>
    <row r="399" spans="1:73" x14ac:dyDescent="0.25">
      <c r="A399" s="5">
        <v>37926</v>
      </c>
      <c r="B399">
        <v>1432</v>
      </c>
      <c r="C399">
        <v>750</v>
      </c>
      <c r="D399">
        <v>197</v>
      </c>
      <c r="E399">
        <v>106</v>
      </c>
      <c r="F399">
        <v>1946</v>
      </c>
      <c r="G399">
        <v>1052</v>
      </c>
      <c r="H399">
        <v>408</v>
      </c>
      <c r="I399">
        <v>221</v>
      </c>
      <c r="J399">
        <v>1616</v>
      </c>
      <c r="K399">
        <v>1155</v>
      </c>
      <c r="L399">
        <v>21580</v>
      </c>
      <c r="M399">
        <v>4949</v>
      </c>
      <c r="N399">
        <v>114</v>
      </c>
      <c r="O399">
        <v>114</v>
      </c>
      <c r="P399" t="s">
        <v>11</v>
      </c>
      <c r="Q399" t="s">
        <v>11</v>
      </c>
      <c r="R399">
        <v>0</v>
      </c>
      <c r="S399" t="s">
        <v>11</v>
      </c>
      <c r="T399" s="34">
        <v>41290</v>
      </c>
      <c r="U399" s="34">
        <v>471</v>
      </c>
      <c r="V399" s="34">
        <v>3900</v>
      </c>
      <c r="W399">
        <v>651</v>
      </c>
      <c r="X399">
        <v>3288</v>
      </c>
      <c r="Y399">
        <v>549</v>
      </c>
      <c r="Z399">
        <v>3540</v>
      </c>
      <c r="AA399">
        <v>395</v>
      </c>
      <c r="AB399">
        <v>29815</v>
      </c>
      <c r="AC399">
        <v>13622</v>
      </c>
      <c r="AD399">
        <v>1552</v>
      </c>
      <c r="AE399">
        <v>666</v>
      </c>
      <c r="AF399">
        <v>4852</v>
      </c>
      <c r="AG399">
        <v>2375</v>
      </c>
      <c r="AH399">
        <f t="shared" si="72"/>
        <v>1552</v>
      </c>
      <c r="AI399">
        <f t="shared" si="73"/>
        <v>666</v>
      </c>
      <c r="AJ399">
        <v>10343</v>
      </c>
      <c r="AK399">
        <v>3503</v>
      </c>
      <c r="AL399">
        <v>24997</v>
      </c>
      <c r="AM399">
        <v>11876</v>
      </c>
      <c r="AN399" s="22">
        <v>195</v>
      </c>
      <c r="AO399">
        <v>510</v>
      </c>
      <c r="AP399">
        <v>760</v>
      </c>
      <c r="AQ399">
        <v>417</v>
      </c>
      <c r="AR399">
        <v>77</v>
      </c>
      <c r="AS399" t="s">
        <v>11</v>
      </c>
      <c r="AT399">
        <f t="shared" si="66"/>
        <v>760</v>
      </c>
      <c r="AU399">
        <f t="shared" si="67"/>
        <v>417</v>
      </c>
      <c r="AV399">
        <v>0</v>
      </c>
      <c r="AW399">
        <v>0</v>
      </c>
      <c r="AX399">
        <v>4</v>
      </c>
      <c r="AY399">
        <v>2</v>
      </c>
      <c r="AZ399">
        <f t="shared" si="68"/>
        <v>760</v>
      </c>
      <c r="BA399">
        <f t="shared" si="69"/>
        <v>417</v>
      </c>
      <c r="BB399">
        <f t="shared" si="74"/>
        <v>195</v>
      </c>
      <c r="BC399">
        <f t="shared" si="75"/>
        <v>510</v>
      </c>
      <c r="BD399" t="s">
        <v>11</v>
      </c>
      <c r="BE399" t="s">
        <v>11</v>
      </c>
      <c r="BF399" t="s">
        <v>11</v>
      </c>
      <c r="BG399" t="s">
        <v>11</v>
      </c>
      <c r="BH399">
        <v>16</v>
      </c>
      <c r="BI399" t="s">
        <v>11</v>
      </c>
      <c r="BJ399">
        <v>0</v>
      </c>
      <c r="BK399" t="s">
        <v>11</v>
      </c>
      <c r="BL399" t="s">
        <v>11</v>
      </c>
      <c r="BM399" t="s">
        <v>11</v>
      </c>
      <c r="BN399">
        <v>13</v>
      </c>
      <c r="BO399" t="s">
        <v>11</v>
      </c>
      <c r="BP399" t="str">
        <f t="shared" si="70"/>
        <v>NoData</v>
      </c>
      <c r="BQ399" t="str">
        <f t="shared" si="71"/>
        <v>NoData</v>
      </c>
      <c r="BR399">
        <v>59</v>
      </c>
      <c r="BS399" t="s">
        <v>11</v>
      </c>
      <c r="BT399">
        <v>28</v>
      </c>
      <c r="BU399" t="s">
        <v>11</v>
      </c>
    </row>
    <row r="400" spans="1:73" x14ac:dyDescent="0.25">
      <c r="A400" s="5">
        <v>37956</v>
      </c>
      <c r="B400">
        <v>1406</v>
      </c>
      <c r="C400">
        <v>737</v>
      </c>
      <c r="D400">
        <v>0</v>
      </c>
      <c r="E400">
        <v>0</v>
      </c>
      <c r="F400">
        <v>1480</v>
      </c>
      <c r="G400">
        <v>800</v>
      </c>
      <c r="H400">
        <v>306</v>
      </c>
      <c r="I400">
        <v>166</v>
      </c>
      <c r="J400">
        <v>2079</v>
      </c>
      <c r="K400">
        <v>1486</v>
      </c>
      <c r="L400">
        <v>26810</v>
      </c>
      <c r="M400">
        <v>10581</v>
      </c>
      <c r="N400">
        <v>102</v>
      </c>
      <c r="O400">
        <v>102</v>
      </c>
      <c r="P400" t="s">
        <v>11</v>
      </c>
      <c r="Q400" t="s">
        <v>11</v>
      </c>
      <c r="R400">
        <v>0</v>
      </c>
      <c r="S400" t="s">
        <v>11</v>
      </c>
      <c r="T400" s="34">
        <v>57870</v>
      </c>
      <c r="U400" s="34">
        <v>17320</v>
      </c>
      <c r="V400" s="34">
        <v>3068</v>
      </c>
      <c r="W400">
        <v>512</v>
      </c>
      <c r="X400">
        <v>2596</v>
      </c>
      <c r="Y400">
        <v>434</v>
      </c>
      <c r="Z400">
        <v>2447</v>
      </c>
      <c r="AA400">
        <v>347</v>
      </c>
      <c r="AB400">
        <v>21356</v>
      </c>
      <c r="AC400">
        <v>8000</v>
      </c>
      <c r="AD400">
        <v>595</v>
      </c>
      <c r="AE400">
        <v>-95</v>
      </c>
      <c r="AF400">
        <v>3944</v>
      </c>
      <c r="AG400">
        <v>1991</v>
      </c>
      <c r="AH400">
        <f t="shared" si="72"/>
        <v>595</v>
      </c>
      <c r="AI400">
        <f t="shared" si="73"/>
        <v>-95</v>
      </c>
      <c r="AJ400">
        <v>9388</v>
      </c>
      <c r="AK400">
        <v>3512</v>
      </c>
      <c r="AL400">
        <v>20474</v>
      </c>
      <c r="AM400">
        <v>8205</v>
      </c>
      <c r="AN400" s="22">
        <v>134</v>
      </c>
      <c r="AO400">
        <v>305</v>
      </c>
      <c r="AP400">
        <v>532</v>
      </c>
      <c r="AQ400">
        <v>303</v>
      </c>
      <c r="AR400">
        <v>75</v>
      </c>
      <c r="AS400" t="s">
        <v>11</v>
      </c>
      <c r="AT400">
        <f t="shared" si="66"/>
        <v>532</v>
      </c>
      <c r="AU400">
        <f t="shared" si="67"/>
        <v>303</v>
      </c>
      <c r="AV400">
        <v>2</v>
      </c>
      <c r="AW400">
        <v>1</v>
      </c>
      <c r="AX400">
        <v>4</v>
      </c>
      <c r="AY400">
        <v>2</v>
      </c>
      <c r="AZ400">
        <f t="shared" si="68"/>
        <v>532</v>
      </c>
      <c r="BA400">
        <f t="shared" si="69"/>
        <v>303</v>
      </c>
      <c r="BB400">
        <f t="shared" si="74"/>
        <v>134</v>
      </c>
      <c r="BC400">
        <f t="shared" si="75"/>
        <v>305</v>
      </c>
      <c r="BD400" t="s">
        <v>11</v>
      </c>
      <c r="BE400" t="s">
        <v>11</v>
      </c>
      <c r="BF400" t="s">
        <v>11</v>
      </c>
      <c r="BG400" t="s">
        <v>11</v>
      </c>
      <c r="BH400">
        <v>15</v>
      </c>
      <c r="BI400" t="s">
        <v>11</v>
      </c>
      <c r="BJ400">
        <v>0</v>
      </c>
      <c r="BK400" t="s">
        <v>11</v>
      </c>
      <c r="BL400" t="s">
        <v>11</v>
      </c>
      <c r="BM400" t="s">
        <v>11</v>
      </c>
      <c r="BN400">
        <v>57</v>
      </c>
      <c r="BO400" t="s">
        <v>11</v>
      </c>
      <c r="BP400" t="str">
        <f t="shared" si="70"/>
        <v>NoData</v>
      </c>
      <c r="BQ400" t="str">
        <f t="shared" si="71"/>
        <v>NoData</v>
      </c>
      <c r="BR400">
        <v>58</v>
      </c>
      <c r="BS400" t="s">
        <v>11</v>
      </c>
      <c r="BT400">
        <v>28</v>
      </c>
      <c r="BU400" t="s">
        <v>11</v>
      </c>
    </row>
    <row r="401" spans="1:73" x14ac:dyDescent="0.25">
      <c r="A401" s="5">
        <v>37987</v>
      </c>
      <c r="B401">
        <v>1910</v>
      </c>
      <c r="C401">
        <v>1063</v>
      </c>
      <c r="D401">
        <v>0</v>
      </c>
      <c r="E401">
        <v>0</v>
      </c>
      <c r="F401">
        <v>2951</v>
      </c>
      <c r="G401">
        <v>1594</v>
      </c>
      <c r="H401">
        <v>368</v>
      </c>
      <c r="I401">
        <v>368</v>
      </c>
      <c r="J401">
        <v>83</v>
      </c>
      <c r="K401">
        <v>59</v>
      </c>
      <c r="L401">
        <v>24170</v>
      </c>
      <c r="M401">
        <v>10021</v>
      </c>
      <c r="N401">
        <v>254</v>
      </c>
      <c r="O401">
        <v>199</v>
      </c>
      <c r="P401" t="s">
        <v>11</v>
      </c>
      <c r="Q401" t="s">
        <v>11</v>
      </c>
      <c r="R401">
        <v>0</v>
      </c>
      <c r="S401" t="s">
        <v>11</v>
      </c>
      <c r="T401" s="34">
        <v>39560</v>
      </c>
      <c r="U401" s="34">
        <v>4624</v>
      </c>
      <c r="V401" s="34">
        <v>2694</v>
      </c>
      <c r="W401">
        <v>2198</v>
      </c>
      <c r="X401">
        <v>2237</v>
      </c>
      <c r="Y401">
        <v>1840</v>
      </c>
      <c r="Z401">
        <v>2174</v>
      </c>
      <c r="AA401">
        <v>295</v>
      </c>
      <c r="AB401">
        <v>18133</v>
      </c>
      <c r="AC401">
        <v>6912</v>
      </c>
      <c r="AD401">
        <v>904</v>
      </c>
      <c r="AE401">
        <v>386</v>
      </c>
      <c r="AF401">
        <v>4022</v>
      </c>
      <c r="AG401">
        <v>1681</v>
      </c>
      <c r="AH401">
        <f t="shared" si="72"/>
        <v>904</v>
      </c>
      <c r="AI401">
        <f t="shared" si="73"/>
        <v>386</v>
      </c>
      <c r="AJ401">
        <v>7388</v>
      </c>
      <c r="AK401">
        <v>3036</v>
      </c>
      <c r="AL401">
        <v>17555</v>
      </c>
      <c r="AM401">
        <v>5126</v>
      </c>
      <c r="AN401">
        <v>51</v>
      </c>
      <c r="AO401">
        <v>50</v>
      </c>
      <c r="AP401">
        <v>539</v>
      </c>
      <c r="AQ401">
        <v>271</v>
      </c>
      <c r="AR401">
        <v>71</v>
      </c>
      <c r="AS401" t="s">
        <v>11</v>
      </c>
      <c r="AT401">
        <f t="shared" si="66"/>
        <v>539</v>
      </c>
      <c r="AU401">
        <f t="shared" si="67"/>
        <v>271</v>
      </c>
      <c r="AV401">
        <v>0</v>
      </c>
      <c r="AW401">
        <v>0</v>
      </c>
      <c r="AX401">
        <v>4</v>
      </c>
      <c r="AY401">
        <v>2</v>
      </c>
      <c r="AZ401">
        <f t="shared" si="68"/>
        <v>539</v>
      </c>
      <c r="BA401">
        <f t="shared" si="69"/>
        <v>271</v>
      </c>
      <c r="BB401">
        <f t="shared" si="74"/>
        <v>51</v>
      </c>
      <c r="BC401">
        <f t="shared" si="75"/>
        <v>50</v>
      </c>
      <c r="BD401" t="s">
        <v>11</v>
      </c>
      <c r="BE401" t="s">
        <v>11</v>
      </c>
      <c r="BF401" t="s">
        <v>11</v>
      </c>
      <c r="BG401" t="s">
        <v>11</v>
      </c>
      <c r="BH401">
        <v>7</v>
      </c>
      <c r="BI401" t="s">
        <v>11</v>
      </c>
      <c r="BJ401">
        <v>1</v>
      </c>
      <c r="BK401" t="s">
        <v>11</v>
      </c>
      <c r="BL401" t="s">
        <v>11</v>
      </c>
      <c r="BM401" t="s">
        <v>11</v>
      </c>
      <c r="BN401">
        <v>21</v>
      </c>
      <c r="BO401" t="s">
        <v>11</v>
      </c>
      <c r="BP401" t="str">
        <f t="shared" si="70"/>
        <v>NoData</v>
      </c>
      <c r="BQ401" t="str">
        <f t="shared" si="71"/>
        <v>NoData</v>
      </c>
      <c r="BR401">
        <v>55</v>
      </c>
      <c r="BS401" t="s">
        <v>11</v>
      </c>
      <c r="BT401">
        <v>26</v>
      </c>
      <c r="BU401" t="s">
        <v>11</v>
      </c>
    </row>
    <row r="402" spans="1:73" x14ac:dyDescent="0.25">
      <c r="A402" s="5">
        <v>38018</v>
      </c>
      <c r="B402">
        <v>1539</v>
      </c>
      <c r="C402">
        <v>838</v>
      </c>
      <c r="D402">
        <v>0</v>
      </c>
      <c r="E402">
        <v>0</v>
      </c>
      <c r="F402">
        <v>3683</v>
      </c>
      <c r="G402">
        <v>1989</v>
      </c>
      <c r="H402">
        <v>459</v>
      </c>
      <c r="I402">
        <v>459</v>
      </c>
      <c r="J402">
        <v>1612</v>
      </c>
      <c r="K402">
        <v>1153</v>
      </c>
      <c r="L402">
        <v>31260</v>
      </c>
      <c r="M402">
        <v>15301</v>
      </c>
      <c r="N402">
        <v>260</v>
      </c>
      <c r="O402">
        <v>185</v>
      </c>
      <c r="P402" t="s">
        <v>11</v>
      </c>
      <c r="Q402" t="s">
        <v>11</v>
      </c>
      <c r="R402">
        <v>0</v>
      </c>
      <c r="S402" t="s">
        <v>11</v>
      </c>
      <c r="T402" s="34">
        <v>58710</v>
      </c>
      <c r="U402" s="34">
        <v>21852</v>
      </c>
      <c r="V402" s="34">
        <v>2693</v>
      </c>
      <c r="W402">
        <v>2201</v>
      </c>
      <c r="X402">
        <v>2313</v>
      </c>
      <c r="Y402">
        <v>1906</v>
      </c>
      <c r="Z402">
        <v>2388</v>
      </c>
      <c r="AA402">
        <v>507</v>
      </c>
      <c r="AB402">
        <v>23005</v>
      </c>
      <c r="AC402">
        <v>13694</v>
      </c>
      <c r="AD402">
        <v>991</v>
      </c>
      <c r="AE402">
        <v>640</v>
      </c>
      <c r="AF402">
        <v>3912</v>
      </c>
      <c r="AG402">
        <v>2030</v>
      </c>
      <c r="AH402">
        <f t="shared" si="72"/>
        <v>991</v>
      </c>
      <c r="AI402">
        <f t="shared" si="73"/>
        <v>640</v>
      </c>
      <c r="AJ402">
        <v>7645</v>
      </c>
      <c r="AK402">
        <v>4200</v>
      </c>
      <c r="AL402">
        <v>23240</v>
      </c>
      <c r="AM402">
        <v>12084</v>
      </c>
      <c r="AN402">
        <v>90</v>
      </c>
      <c r="AO402">
        <v>88</v>
      </c>
      <c r="AP402">
        <v>624</v>
      </c>
      <c r="AQ402">
        <v>364</v>
      </c>
      <c r="AR402">
        <v>57</v>
      </c>
      <c r="AS402" t="s">
        <v>11</v>
      </c>
      <c r="AT402">
        <f t="shared" si="66"/>
        <v>624</v>
      </c>
      <c r="AU402">
        <f t="shared" si="67"/>
        <v>364</v>
      </c>
      <c r="AV402">
        <v>0</v>
      </c>
      <c r="AW402">
        <v>0</v>
      </c>
      <c r="AX402">
        <v>4</v>
      </c>
      <c r="AY402">
        <v>2</v>
      </c>
      <c r="AZ402">
        <f t="shared" si="68"/>
        <v>624</v>
      </c>
      <c r="BA402">
        <f t="shared" si="69"/>
        <v>364</v>
      </c>
      <c r="BB402">
        <f t="shared" si="74"/>
        <v>90</v>
      </c>
      <c r="BC402">
        <f t="shared" si="75"/>
        <v>88</v>
      </c>
      <c r="BD402" t="s">
        <v>11</v>
      </c>
      <c r="BE402" t="s">
        <v>11</v>
      </c>
      <c r="BF402" t="s">
        <v>11</v>
      </c>
      <c r="BG402" t="s">
        <v>11</v>
      </c>
      <c r="BH402">
        <v>5</v>
      </c>
      <c r="BI402" t="s">
        <v>11</v>
      </c>
      <c r="BJ402">
        <v>2</v>
      </c>
      <c r="BK402" t="s">
        <v>11</v>
      </c>
      <c r="BL402" t="s">
        <v>11</v>
      </c>
      <c r="BM402" t="s">
        <v>11</v>
      </c>
      <c r="BN402">
        <v>26</v>
      </c>
      <c r="BO402" t="s">
        <v>11</v>
      </c>
      <c r="BP402" t="str">
        <f t="shared" si="70"/>
        <v>NoData</v>
      </c>
      <c r="BQ402" t="str">
        <f t="shared" si="71"/>
        <v>NoData</v>
      </c>
      <c r="BR402">
        <v>44</v>
      </c>
      <c r="BS402" t="s">
        <v>11</v>
      </c>
      <c r="BT402">
        <v>21</v>
      </c>
      <c r="BU402" t="s">
        <v>11</v>
      </c>
    </row>
    <row r="403" spans="1:73" x14ac:dyDescent="0.25">
      <c r="A403" s="5">
        <v>38047</v>
      </c>
      <c r="B403">
        <v>3198</v>
      </c>
      <c r="C403">
        <v>1804</v>
      </c>
      <c r="D403">
        <v>242</v>
      </c>
      <c r="E403">
        <v>130</v>
      </c>
      <c r="F403">
        <v>5031</v>
      </c>
      <c r="G403">
        <v>2717</v>
      </c>
      <c r="H403">
        <v>627</v>
      </c>
      <c r="I403">
        <v>627</v>
      </c>
      <c r="J403">
        <v>1534</v>
      </c>
      <c r="K403">
        <v>1097</v>
      </c>
      <c r="L403">
        <v>49660</v>
      </c>
      <c r="M403">
        <v>30548</v>
      </c>
      <c r="N403">
        <v>253</v>
      </c>
      <c r="O403">
        <v>202</v>
      </c>
      <c r="P403" t="s">
        <v>11</v>
      </c>
      <c r="Q403" t="s">
        <v>11</v>
      </c>
      <c r="R403">
        <v>0</v>
      </c>
      <c r="S403" t="s">
        <v>11</v>
      </c>
      <c r="T403" s="34">
        <v>80700</v>
      </c>
      <c r="U403" s="34">
        <v>37469</v>
      </c>
      <c r="V403" s="34">
        <v>5022</v>
      </c>
      <c r="W403">
        <v>4168</v>
      </c>
      <c r="X403">
        <v>4873</v>
      </c>
      <c r="Y403">
        <v>4051</v>
      </c>
      <c r="Z403">
        <v>4030</v>
      </c>
      <c r="AA403">
        <v>980</v>
      </c>
      <c r="AB403">
        <v>37540</v>
      </c>
      <c r="AC403">
        <v>27974</v>
      </c>
      <c r="AD403">
        <v>1839</v>
      </c>
      <c r="AE403">
        <v>1093</v>
      </c>
      <c r="AF403">
        <v>6858</v>
      </c>
      <c r="AG403">
        <v>3009</v>
      </c>
      <c r="AH403">
        <f t="shared" si="72"/>
        <v>1839</v>
      </c>
      <c r="AI403">
        <f t="shared" si="73"/>
        <v>1093</v>
      </c>
      <c r="AJ403">
        <v>15943</v>
      </c>
      <c r="AK403">
        <v>8079</v>
      </c>
      <c r="AL403">
        <v>40995</v>
      </c>
      <c r="AM403">
        <v>24871</v>
      </c>
      <c r="AN403">
        <v>274</v>
      </c>
      <c r="AO403">
        <v>274</v>
      </c>
      <c r="AP403">
        <v>1100</v>
      </c>
      <c r="AQ403">
        <v>567</v>
      </c>
      <c r="AR403">
        <v>97</v>
      </c>
      <c r="AS403" t="s">
        <v>11</v>
      </c>
      <c r="AT403">
        <f t="shared" si="66"/>
        <v>1100</v>
      </c>
      <c r="AU403">
        <f t="shared" si="67"/>
        <v>567</v>
      </c>
      <c r="AV403">
        <v>7</v>
      </c>
      <c r="AW403">
        <v>5</v>
      </c>
      <c r="AX403">
        <v>4</v>
      </c>
      <c r="AY403">
        <v>2</v>
      </c>
      <c r="AZ403">
        <f t="shared" si="68"/>
        <v>1100</v>
      </c>
      <c r="BA403">
        <f t="shared" si="69"/>
        <v>567</v>
      </c>
      <c r="BB403">
        <f t="shared" si="74"/>
        <v>274</v>
      </c>
      <c r="BC403">
        <f t="shared" si="75"/>
        <v>274</v>
      </c>
      <c r="BD403" t="s">
        <v>11</v>
      </c>
      <c r="BE403" t="s">
        <v>11</v>
      </c>
      <c r="BF403" t="s">
        <v>11</v>
      </c>
      <c r="BG403" t="s">
        <v>11</v>
      </c>
      <c r="BH403">
        <v>3</v>
      </c>
      <c r="BI403" t="s">
        <v>11</v>
      </c>
      <c r="BJ403">
        <v>3</v>
      </c>
      <c r="BK403" t="s">
        <v>11</v>
      </c>
      <c r="BL403" t="s">
        <v>11</v>
      </c>
      <c r="BM403" t="s">
        <v>11</v>
      </c>
      <c r="BN403">
        <v>34</v>
      </c>
      <c r="BO403" t="s">
        <v>11</v>
      </c>
      <c r="BP403" t="str">
        <f t="shared" si="70"/>
        <v>NoData</v>
      </c>
      <c r="BQ403" t="str">
        <f t="shared" si="71"/>
        <v>NoData</v>
      </c>
      <c r="BR403">
        <v>75</v>
      </c>
      <c r="BS403" t="s">
        <v>11</v>
      </c>
      <c r="BT403">
        <v>36</v>
      </c>
      <c r="BU403" t="s">
        <v>11</v>
      </c>
    </row>
    <row r="404" spans="1:73" x14ac:dyDescent="0.25">
      <c r="A404" s="5">
        <v>38078</v>
      </c>
      <c r="B404">
        <v>4099</v>
      </c>
      <c r="C404">
        <v>2279</v>
      </c>
      <c r="D404">
        <v>242</v>
      </c>
      <c r="E404">
        <v>130</v>
      </c>
      <c r="F404">
        <v>5431</v>
      </c>
      <c r="G404">
        <v>2935</v>
      </c>
      <c r="H404">
        <v>677</v>
      </c>
      <c r="I404">
        <v>677</v>
      </c>
      <c r="J404">
        <v>1951</v>
      </c>
      <c r="K404">
        <v>1395</v>
      </c>
      <c r="L404">
        <v>58190</v>
      </c>
      <c r="M404">
        <v>36537</v>
      </c>
      <c r="N404">
        <v>347</v>
      </c>
      <c r="O404">
        <v>263</v>
      </c>
      <c r="P404" t="s">
        <v>11</v>
      </c>
      <c r="Q404" t="s">
        <v>11</v>
      </c>
      <c r="R404">
        <v>0</v>
      </c>
      <c r="S404" t="s">
        <v>11</v>
      </c>
      <c r="T404" s="34">
        <v>94590</v>
      </c>
      <c r="U404" s="34">
        <v>47762</v>
      </c>
      <c r="V404" s="34">
        <v>6057</v>
      </c>
      <c r="W404">
        <v>5011</v>
      </c>
      <c r="X404">
        <v>5340</v>
      </c>
      <c r="Y404">
        <v>4431</v>
      </c>
      <c r="Z404">
        <v>4775</v>
      </c>
      <c r="AA404">
        <v>1302</v>
      </c>
      <c r="AB404">
        <v>40770</v>
      </c>
      <c r="AC404">
        <v>31545</v>
      </c>
      <c r="AD404">
        <v>1969</v>
      </c>
      <c r="AE404">
        <v>1178</v>
      </c>
      <c r="AF404">
        <v>8945</v>
      </c>
      <c r="AG404">
        <v>4209</v>
      </c>
      <c r="AH404">
        <f t="shared" si="72"/>
        <v>1969</v>
      </c>
      <c r="AI404">
        <f t="shared" si="73"/>
        <v>1178</v>
      </c>
      <c r="AJ404">
        <v>20850</v>
      </c>
      <c r="AK404">
        <v>11095</v>
      </c>
      <c r="AL404">
        <v>44714</v>
      </c>
      <c r="AM404">
        <v>30609</v>
      </c>
      <c r="AN404">
        <v>138</v>
      </c>
      <c r="AO404">
        <v>137</v>
      </c>
      <c r="AP404">
        <v>1205</v>
      </c>
      <c r="AQ404">
        <v>635</v>
      </c>
      <c r="AR404">
        <v>105</v>
      </c>
      <c r="AS404" t="s">
        <v>11</v>
      </c>
      <c r="AT404">
        <f t="shared" si="66"/>
        <v>1205</v>
      </c>
      <c r="AU404">
        <f t="shared" si="67"/>
        <v>635</v>
      </c>
      <c r="AV404">
        <v>5</v>
      </c>
      <c r="AW404">
        <v>4</v>
      </c>
      <c r="AX404">
        <v>4</v>
      </c>
      <c r="AY404">
        <v>2</v>
      </c>
      <c r="AZ404">
        <f t="shared" si="68"/>
        <v>1205</v>
      </c>
      <c r="BA404">
        <f t="shared" si="69"/>
        <v>635</v>
      </c>
      <c r="BB404">
        <f t="shared" si="74"/>
        <v>138</v>
      </c>
      <c r="BC404">
        <f t="shared" si="75"/>
        <v>137</v>
      </c>
      <c r="BD404" t="s">
        <v>11</v>
      </c>
      <c r="BE404" t="s">
        <v>11</v>
      </c>
      <c r="BF404" t="s">
        <v>11</v>
      </c>
      <c r="BG404" t="s">
        <v>11</v>
      </c>
      <c r="BH404">
        <v>59</v>
      </c>
      <c r="BI404" t="s">
        <v>11</v>
      </c>
      <c r="BJ404">
        <v>4</v>
      </c>
      <c r="BK404" t="s">
        <v>11</v>
      </c>
      <c r="BL404" t="s">
        <v>11</v>
      </c>
      <c r="BM404" t="s">
        <v>11</v>
      </c>
      <c r="BN404">
        <v>39</v>
      </c>
      <c r="BO404" t="s">
        <v>11</v>
      </c>
      <c r="BP404" t="str">
        <f t="shared" si="70"/>
        <v>NoData</v>
      </c>
      <c r="BQ404" t="str">
        <f t="shared" si="71"/>
        <v>NoData</v>
      </c>
      <c r="BR404">
        <v>81</v>
      </c>
      <c r="BS404" t="s">
        <v>11</v>
      </c>
      <c r="BT404">
        <v>39</v>
      </c>
      <c r="BU404" t="s">
        <v>11</v>
      </c>
    </row>
    <row r="405" spans="1:73" x14ac:dyDescent="0.25">
      <c r="A405" s="5">
        <v>38108</v>
      </c>
      <c r="B405">
        <v>4184</v>
      </c>
      <c r="C405">
        <v>2373</v>
      </c>
      <c r="D405">
        <v>240</v>
      </c>
      <c r="E405">
        <v>129</v>
      </c>
      <c r="F405">
        <v>6641</v>
      </c>
      <c r="G405">
        <v>3586</v>
      </c>
      <c r="H405">
        <v>828</v>
      </c>
      <c r="I405">
        <v>828</v>
      </c>
      <c r="J405">
        <v>3018</v>
      </c>
      <c r="K405">
        <v>2158</v>
      </c>
      <c r="L405">
        <v>70140</v>
      </c>
      <c r="M405">
        <v>45724</v>
      </c>
      <c r="N405">
        <v>497</v>
      </c>
      <c r="O405">
        <v>362</v>
      </c>
      <c r="P405" t="s">
        <v>11</v>
      </c>
      <c r="Q405" t="s">
        <v>11</v>
      </c>
      <c r="R405">
        <v>0</v>
      </c>
      <c r="S405" t="s">
        <v>11</v>
      </c>
      <c r="T405" s="34">
        <v>116200</v>
      </c>
      <c r="U405" s="34">
        <v>65236</v>
      </c>
      <c r="V405" s="34">
        <v>8508</v>
      </c>
      <c r="W405">
        <v>6987</v>
      </c>
      <c r="X405">
        <v>2463</v>
      </c>
      <c r="Y405">
        <v>2026</v>
      </c>
      <c r="Z405">
        <v>5454</v>
      </c>
      <c r="AA405">
        <v>1825</v>
      </c>
      <c r="AB405">
        <v>40750</v>
      </c>
      <c r="AC405">
        <v>28597</v>
      </c>
      <c r="AD405">
        <v>2576</v>
      </c>
      <c r="AE405">
        <v>1909</v>
      </c>
      <c r="AF405">
        <v>7483</v>
      </c>
      <c r="AG405">
        <v>4064</v>
      </c>
      <c r="AH405">
        <f t="shared" si="72"/>
        <v>2576</v>
      </c>
      <c r="AI405">
        <f t="shared" si="73"/>
        <v>1909</v>
      </c>
      <c r="AJ405">
        <v>21399</v>
      </c>
      <c r="AK405">
        <v>14048</v>
      </c>
      <c r="AL405">
        <v>45231</v>
      </c>
      <c r="AM405">
        <v>34918</v>
      </c>
      <c r="AN405">
        <v>211</v>
      </c>
      <c r="AO405">
        <v>208</v>
      </c>
      <c r="AP405">
        <v>1426</v>
      </c>
      <c r="AQ405">
        <v>861</v>
      </c>
      <c r="AR405">
        <v>129</v>
      </c>
      <c r="AS405" t="s">
        <v>11</v>
      </c>
      <c r="AT405">
        <f t="shared" si="66"/>
        <v>1426</v>
      </c>
      <c r="AU405">
        <f t="shared" si="67"/>
        <v>861</v>
      </c>
      <c r="AV405">
        <v>6</v>
      </c>
      <c r="AW405">
        <v>4</v>
      </c>
      <c r="AX405">
        <v>4</v>
      </c>
      <c r="AY405">
        <v>2</v>
      </c>
      <c r="AZ405">
        <f t="shared" si="68"/>
        <v>1426</v>
      </c>
      <c r="BA405">
        <f t="shared" si="69"/>
        <v>861</v>
      </c>
      <c r="BB405">
        <f t="shared" si="74"/>
        <v>211</v>
      </c>
      <c r="BC405">
        <f t="shared" si="75"/>
        <v>208</v>
      </c>
      <c r="BD405" t="s">
        <v>11</v>
      </c>
      <c r="BE405" t="s">
        <v>11</v>
      </c>
      <c r="BF405" t="s">
        <v>11</v>
      </c>
      <c r="BG405" t="s">
        <v>11</v>
      </c>
      <c r="BH405">
        <v>41</v>
      </c>
      <c r="BI405" t="s">
        <v>11</v>
      </c>
      <c r="BJ405">
        <v>5</v>
      </c>
      <c r="BK405" t="s">
        <v>11</v>
      </c>
      <c r="BL405" t="s">
        <v>11</v>
      </c>
      <c r="BM405" t="s">
        <v>11</v>
      </c>
      <c r="BN405">
        <v>47</v>
      </c>
      <c r="BO405" t="s">
        <v>11</v>
      </c>
      <c r="BP405" t="str">
        <f t="shared" si="70"/>
        <v>NoData</v>
      </c>
      <c r="BQ405" t="str">
        <f t="shared" si="71"/>
        <v>NoData</v>
      </c>
      <c r="BR405">
        <v>99</v>
      </c>
      <c r="BS405" t="s">
        <v>11</v>
      </c>
      <c r="BT405">
        <v>48</v>
      </c>
      <c r="BU405" t="s">
        <v>11</v>
      </c>
    </row>
    <row r="406" spans="1:73" x14ac:dyDescent="0.25">
      <c r="A406" s="5">
        <v>38139</v>
      </c>
      <c r="B406">
        <v>5130</v>
      </c>
      <c r="C406">
        <v>2884</v>
      </c>
      <c r="D406">
        <v>240</v>
      </c>
      <c r="E406">
        <v>129</v>
      </c>
      <c r="F406">
        <v>8057</v>
      </c>
      <c r="G406">
        <v>4352</v>
      </c>
      <c r="H406">
        <v>1005</v>
      </c>
      <c r="I406">
        <v>1005</v>
      </c>
      <c r="J406">
        <v>3942</v>
      </c>
      <c r="K406">
        <v>2819</v>
      </c>
      <c r="L406">
        <v>76270</v>
      </c>
      <c r="M406">
        <v>50296</v>
      </c>
      <c r="N406">
        <v>554</v>
      </c>
      <c r="O406">
        <v>412</v>
      </c>
      <c r="P406" t="s">
        <v>11</v>
      </c>
      <c r="Q406" t="s">
        <v>11</v>
      </c>
      <c r="R406">
        <v>0</v>
      </c>
      <c r="S406" t="s">
        <v>11</v>
      </c>
      <c r="T406" s="34">
        <v>119600</v>
      </c>
      <c r="U406" s="34">
        <v>66799</v>
      </c>
      <c r="V406" s="34">
        <v>3048</v>
      </c>
      <c r="W406">
        <v>2494</v>
      </c>
      <c r="X406">
        <v>3396</v>
      </c>
      <c r="Y406">
        <v>2790</v>
      </c>
      <c r="Z406">
        <v>6546</v>
      </c>
      <c r="AA406">
        <v>1393</v>
      </c>
      <c r="AB406">
        <v>29978</v>
      </c>
      <c r="AC406">
        <v>20330</v>
      </c>
      <c r="AD406">
        <v>3150</v>
      </c>
      <c r="AE406">
        <v>2426</v>
      </c>
      <c r="AF406">
        <v>8730</v>
      </c>
      <c r="AG406">
        <v>2556</v>
      </c>
      <c r="AH406">
        <f t="shared" si="72"/>
        <v>3150</v>
      </c>
      <c r="AI406">
        <f t="shared" si="73"/>
        <v>2426</v>
      </c>
      <c r="AJ406">
        <v>8811</v>
      </c>
      <c r="AK406">
        <v>2206</v>
      </c>
      <c r="AL406">
        <v>60277</v>
      </c>
      <c r="AM406">
        <v>35774</v>
      </c>
      <c r="AN406">
        <v>543</v>
      </c>
      <c r="AO406">
        <v>532</v>
      </c>
      <c r="AP406">
        <v>1723</v>
      </c>
      <c r="AQ406">
        <v>699</v>
      </c>
      <c r="AR406">
        <v>156</v>
      </c>
      <c r="AS406" t="s">
        <v>11</v>
      </c>
      <c r="AT406">
        <f t="shared" si="66"/>
        <v>1723</v>
      </c>
      <c r="AU406">
        <f t="shared" si="67"/>
        <v>699</v>
      </c>
      <c r="AV406">
        <v>10</v>
      </c>
      <c r="AW406">
        <v>7</v>
      </c>
      <c r="AX406">
        <v>4</v>
      </c>
      <c r="AY406">
        <v>2</v>
      </c>
      <c r="AZ406">
        <f t="shared" si="68"/>
        <v>1723</v>
      </c>
      <c r="BA406">
        <f t="shared" si="69"/>
        <v>699</v>
      </c>
      <c r="BB406">
        <f t="shared" si="74"/>
        <v>543</v>
      </c>
      <c r="BC406">
        <f t="shared" si="75"/>
        <v>532</v>
      </c>
      <c r="BD406" t="s">
        <v>11</v>
      </c>
      <c r="BE406" t="s">
        <v>11</v>
      </c>
      <c r="BF406" t="s">
        <v>11</v>
      </c>
      <c r="BG406" t="s">
        <v>11</v>
      </c>
      <c r="BH406">
        <v>18</v>
      </c>
      <c r="BI406" t="s">
        <v>11</v>
      </c>
      <c r="BJ406">
        <v>6</v>
      </c>
      <c r="BK406" t="s">
        <v>11</v>
      </c>
      <c r="BL406" t="s">
        <v>11</v>
      </c>
      <c r="BM406" t="s">
        <v>11</v>
      </c>
      <c r="BN406">
        <v>58</v>
      </c>
      <c r="BO406" t="s">
        <v>11</v>
      </c>
      <c r="BP406" t="str">
        <f t="shared" si="70"/>
        <v>NoData</v>
      </c>
      <c r="BQ406" t="str">
        <f t="shared" si="71"/>
        <v>NoData</v>
      </c>
      <c r="BR406">
        <v>120</v>
      </c>
      <c r="BS406" t="s">
        <v>11</v>
      </c>
      <c r="BT406">
        <v>58</v>
      </c>
      <c r="BU406" t="s">
        <v>11</v>
      </c>
    </row>
    <row r="407" spans="1:73" x14ac:dyDescent="0.25">
      <c r="A407" s="5">
        <v>38169</v>
      </c>
      <c r="B407">
        <v>5023</v>
      </c>
      <c r="C407">
        <v>2783</v>
      </c>
      <c r="D407">
        <v>240</v>
      </c>
      <c r="E407">
        <v>129</v>
      </c>
      <c r="F407">
        <v>8790</v>
      </c>
      <c r="G407">
        <v>4749</v>
      </c>
      <c r="H407">
        <v>1096</v>
      </c>
      <c r="I407">
        <v>1096</v>
      </c>
      <c r="J407">
        <v>4054</v>
      </c>
      <c r="K407">
        <v>2899</v>
      </c>
      <c r="L407">
        <v>75990</v>
      </c>
      <c r="M407">
        <v>50043</v>
      </c>
      <c r="N407">
        <v>694</v>
      </c>
      <c r="O407">
        <v>500</v>
      </c>
      <c r="P407" t="s">
        <v>11</v>
      </c>
      <c r="Q407" t="s">
        <v>11</v>
      </c>
      <c r="R407">
        <v>0</v>
      </c>
      <c r="S407" t="s">
        <v>11</v>
      </c>
      <c r="T407" s="34">
        <v>126900</v>
      </c>
      <c r="U407" s="34">
        <v>72969</v>
      </c>
      <c r="V407" s="34">
        <v>2382</v>
      </c>
      <c r="W407">
        <v>1956</v>
      </c>
      <c r="X407">
        <v>3381</v>
      </c>
      <c r="Y407">
        <v>2793</v>
      </c>
      <c r="Z407">
        <v>4153</v>
      </c>
      <c r="AA407">
        <v>1237</v>
      </c>
      <c r="AB407">
        <v>25602</v>
      </c>
      <c r="AC407">
        <v>17394</v>
      </c>
      <c r="AD407">
        <v>3067</v>
      </c>
      <c r="AE407">
        <v>2176</v>
      </c>
      <c r="AF407">
        <v>5218</v>
      </c>
      <c r="AG407">
        <v>2700</v>
      </c>
      <c r="AH407">
        <f t="shared" si="72"/>
        <v>3067</v>
      </c>
      <c r="AI407">
        <f t="shared" si="73"/>
        <v>2176</v>
      </c>
      <c r="AJ407">
        <v>24766</v>
      </c>
      <c r="AK407">
        <v>15483</v>
      </c>
      <c r="AL407">
        <v>45469</v>
      </c>
      <c r="AM407">
        <v>37519</v>
      </c>
      <c r="AN407">
        <v>938</v>
      </c>
      <c r="AO407">
        <v>927</v>
      </c>
      <c r="AP407">
        <v>1343</v>
      </c>
      <c r="AQ407">
        <v>805</v>
      </c>
      <c r="AR407">
        <v>170</v>
      </c>
      <c r="AS407" t="s">
        <v>11</v>
      </c>
      <c r="AT407">
        <f t="shared" si="66"/>
        <v>1343</v>
      </c>
      <c r="AU407">
        <f t="shared" si="67"/>
        <v>805</v>
      </c>
      <c r="AV407">
        <v>3</v>
      </c>
      <c r="AW407">
        <v>2</v>
      </c>
      <c r="AX407">
        <v>4</v>
      </c>
      <c r="AY407">
        <v>2</v>
      </c>
      <c r="AZ407">
        <f t="shared" si="68"/>
        <v>1343</v>
      </c>
      <c r="BA407">
        <f t="shared" si="69"/>
        <v>805</v>
      </c>
      <c r="BB407">
        <f t="shared" si="74"/>
        <v>938</v>
      </c>
      <c r="BC407">
        <f t="shared" si="75"/>
        <v>927</v>
      </c>
      <c r="BD407" t="s">
        <v>11</v>
      </c>
      <c r="BE407" t="s">
        <v>11</v>
      </c>
      <c r="BF407" t="s">
        <v>11</v>
      </c>
      <c r="BG407" t="s">
        <v>11</v>
      </c>
      <c r="BH407">
        <v>32</v>
      </c>
      <c r="BI407" t="s">
        <v>11</v>
      </c>
      <c r="BJ407">
        <v>7</v>
      </c>
      <c r="BK407" t="s">
        <v>11</v>
      </c>
      <c r="BL407" t="s">
        <v>11</v>
      </c>
      <c r="BM407" t="s">
        <v>11</v>
      </c>
      <c r="BN407">
        <v>63</v>
      </c>
      <c r="BO407" t="s">
        <v>11</v>
      </c>
      <c r="BP407" t="str">
        <f t="shared" si="70"/>
        <v>NoData</v>
      </c>
      <c r="BQ407" t="str">
        <f t="shared" si="71"/>
        <v>NoData</v>
      </c>
      <c r="BR407">
        <v>131</v>
      </c>
      <c r="BS407" t="s">
        <v>11</v>
      </c>
      <c r="BT407">
        <v>63</v>
      </c>
      <c r="BU407" t="s">
        <v>11</v>
      </c>
    </row>
    <row r="408" spans="1:73" x14ac:dyDescent="0.25">
      <c r="A408" s="5">
        <v>38200</v>
      </c>
      <c r="B408">
        <v>4079</v>
      </c>
      <c r="C408">
        <v>2203</v>
      </c>
      <c r="D408">
        <v>240</v>
      </c>
      <c r="E408">
        <v>129</v>
      </c>
      <c r="F408">
        <v>8458</v>
      </c>
      <c r="G408">
        <v>4567</v>
      </c>
      <c r="H408">
        <v>1055</v>
      </c>
      <c r="I408">
        <v>1055</v>
      </c>
      <c r="J408">
        <v>4743</v>
      </c>
      <c r="K408">
        <v>3391</v>
      </c>
      <c r="L408">
        <v>72940</v>
      </c>
      <c r="M408">
        <v>47071</v>
      </c>
      <c r="N408">
        <v>597</v>
      </c>
      <c r="O408">
        <v>444</v>
      </c>
      <c r="P408" t="s">
        <v>11</v>
      </c>
      <c r="Q408" t="s">
        <v>11</v>
      </c>
      <c r="R408">
        <v>0</v>
      </c>
      <c r="S408" t="s">
        <v>11</v>
      </c>
      <c r="T408" s="34">
        <v>116700</v>
      </c>
      <c r="U408" s="34">
        <v>58845</v>
      </c>
      <c r="V408" s="34">
        <v>2315</v>
      </c>
      <c r="W408">
        <v>1870</v>
      </c>
      <c r="X408">
        <v>2591</v>
      </c>
      <c r="Y408">
        <v>2122</v>
      </c>
      <c r="Z408">
        <v>2427</v>
      </c>
      <c r="AA408">
        <v>435</v>
      </c>
      <c r="AB408">
        <v>18387</v>
      </c>
      <c r="AC408">
        <v>9933</v>
      </c>
      <c r="AD408">
        <v>2831</v>
      </c>
      <c r="AE408">
        <v>1900</v>
      </c>
      <c r="AF408">
        <v>3611</v>
      </c>
      <c r="AG408">
        <v>1721</v>
      </c>
      <c r="AH408">
        <f t="shared" si="72"/>
        <v>2831</v>
      </c>
      <c r="AI408">
        <f t="shared" si="73"/>
        <v>1900</v>
      </c>
      <c r="AJ408">
        <v>23939</v>
      </c>
      <c r="AK408">
        <v>14688</v>
      </c>
      <c r="AL408">
        <v>36311</v>
      </c>
      <c r="AM408">
        <v>27104</v>
      </c>
      <c r="AN408">
        <v>518</v>
      </c>
      <c r="AO408">
        <v>506</v>
      </c>
      <c r="AP408">
        <v>534</v>
      </c>
      <c r="AQ408">
        <v>324</v>
      </c>
      <c r="AR408">
        <v>164</v>
      </c>
      <c r="AS408" t="s">
        <v>11</v>
      </c>
      <c r="AT408">
        <f t="shared" si="66"/>
        <v>534</v>
      </c>
      <c r="AU408">
        <f t="shared" si="67"/>
        <v>324</v>
      </c>
      <c r="AV408">
        <v>5</v>
      </c>
      <c r="AW408">
        <v>4</v>
      </c>
      <c r="AX408">
        <v>4</v>
      </c>
      <c r="AY408">
        <v>2</v>
      </c>
      <c r="AZ408">
        <f t="shared" si="68"/>
        <v>534</v>
      </c>
      <c r="BA408">
        <f t="shared" si="69"/>
        <v>324</v>
      </c>
      <c r="BB408">
        <f t="shared" si="74"/>
        <v>518</v>
      </c>
      <c r="BC408">
        <f t="shared" si="75"/>
        <v>506</v>
      </c>
      <c r="BD408" t="s">
        <v>11</v>
      </c>
      <c r="BE408" t="s">
        <v>11</v>
      </c>
      <c r="BF408" t="s">
        <v>11</v>
      </c>
      <c r="BG408" t="s">
        <v>11</v>
      </c>
      <c r="BH408">
        <v>1</v>
      </c>
      <c r="BI408" t="s">
        <v>11</v>
      </c>
      <c r="BJ408">
        <v>8</v>
      </c>
      <c r="BK408" t="s">
        <v>11</v>
      </c>
      <c r="BL408" t="s">
        <v>11</v>
      </c>
      <c r="BM408" t="s">
        <v>11</v>
      </c>
      <c r="BN408">
        <v>60</v>
      </c>
      <c r="BO408" t="s">
        <v>11</v>
      </c>
      <c r="BP408" t="str">
        <f t="shared" si="70"/>
        <v>NoData</v>
      </c>
      <c r="BQ408" t="str">
        <f t="shared" si="71"/>
        <v>NoData</v>
      </c>
      <c r="BR408">
        <v>126</v>
      </c>
      <c r="BS408" t="s">
        <v>11</v>
      </c>
      <c r="BT408">
        <v>61</v>
      </c>
      <c r="BU408" t="s">
        <v>11</v>
      </c>
    </row>
    <row r="409" spans="1:73" x14ac:dyDescent="0.25">
      <c r="A409" s="5">
        <v>38231</v>
      </c>
      <c r="B409">
        <v>3220</v>
      </c>
      <c r="C409">
        <v>1750</v>
      </c>
      <c r="D409">
        <v>0</v>
      </c>
      <c r="E409">
        <v>0</v>
      </c>
      <c r="F409">
        <v>6648</v>
      </c>
      <c r="G409">
        <v>3590</v>
      </c>
      <c r="H409">
        <v>829</v>
      </c>
      <c r="I409">
        <v>829</v>
      </c>
      <c r="J409">
        <v>2539</v>
      </c>
      <c r="K409">
        <v>1815</v>
      </c>
      <c r="L409">
        <v>51540</v>
      </c>
      <c r="M409">
        <v>30363</v>
      </c>
      <c r="N409">
        <v>564</v>
      </c>
      <c r="O409">
        <v>410</v>
      </c>
      <c r="P409" t="s">
        <v>11</v>
      </c>
      <c r="Q409" t="s">
        <v>11</v>
      </c>
      <c r="R409">
        <v>0</v>
      </c>
      <c r="S409" t="s">
        <v>11</v>
      </c>
      <c r="T409" s="34">
        <v>88360</v>
      </c>
      <c r="U409" s="34">
        <v>29767</v>
      </c>
      <c r="V409" s="34">
        <v>2791</v>
      </c>
      <c r="W409">
        <v>2277</v>
      </c>
      <c r="X409">
        <v>2635</v>
      </c>
      <c r="Y409">
        <v>2157</v>
      </c>
      <c r="Z409">
        <v>3594</v>
      </c>
      <c r="AA409">
        <v>768</v>
      </c>
      <c r="AB409">
        <v>26277</v>
      </c>
      <c r="AC409">
        <v>17196</v>
      </c>
      <c r="AD409">
        <v>2621</v>
      </c>
      <c r="AE409">
        <v>1574</v>
      </c>
      <c r="AF409">
        <v>5787</v>
      </c>
      <c r="AG409">
        <v>2995</v>
      </c>
      <c r="AH409">
        <f t="shared" si="72"/>
        <v>2621</v>
      </c>
      <c r="AI409">
        <f t="shared" si="73"/>
        <v>1574</v>
      </c>
      <c r="AJ409">
        <v>21106</v>
      </c>
      <c r="AK409">
        <v>11463</v>
      </c>
      <c r="AL409">
        <v>38711</v>
      </c>
      <c r="AM409">
        <v>28154</v>
      </c>
      <c r="AN409">
        <v>660</v>
      </c>
      <c r="AO409">
        <v>646</v>
      </c>
      <c r="AP409">
        <v>647</v>
      </c>
      <c r="AQ409">
        <v>377</v>
      </c>
      <c r="AR409">
        <v>129</v>
      </c>
      <c r="AS409" t="s">
        <v>11</v>
      </c>
      <c r="AT409">
        <f t="shared" si="66"/>
        <v>647</v>
      </c>
      <c r="AU409">
        <f t="shared" si="67"/>
        <v>377</v>
      </c>
      <c r="AV409">
        <v>0</v>
      </c>
      <c r="AW409">
        <v>0</v>
      </c>
      <c r="AX409">
        <v>4</v>
      </c>
      <c r="AY409">
        <v>2</v>
      </c>
      <c r="AZ409">
        <f t="shared" si="68"/>
        <v>647</v>
      </c>
      <c r="BA409">
        <f t="shared" si="69"/>
        <v>377</v>
      </c>
      <c r="BB409">
        <f t="shared" si="74"/>
        <v>660</v>
      </c>
      <c r="BC409">
        <f t="shared" si="75"/>
        <v>646</v>
      </c>
      <c r="BD409" t="s">
        <v>11</v>
      </c>
      <c r="BE409" t="s">
        <v>11</v>
      </c>
      <c r="BF409" t="s">
        <v>11</v>
      </c>
      <c r="BG409" t="s">
        <v>11</v>
      </c>
      <c r="BH409">
        <v>50</v>
      </c>
      <c r="BI409" t="s">
        <v>11</v>
      </c>
      <c r="BJ409">
        <v>9</v>
      </c>
      <c r="BK409" t="s">
        <v>11</v>
      </c>
      <c r="BL409" t="s">
        <v>11</v>
      </c>
      <c r="BM409" t="s">
        <v>11</v>
      </c>
      <c r="BN409">
        <v>47</v>
      </c>
      <c r="BO409" t="s">
        <v>11</v>
      </c>
      <c r="BP409" t="str">
        <f t="shared" si="70"/>
        <v>NoData</v>
      </c>
      <c r="BQ409" t="str">
        <f t="shared" si="71"/>
        <v>NoData</v>
      </c>
      <c r="BR409">
        <v>99</v>
      </c>
      <c r="BS409" t="s">
        <v>11</v>
      </c>
      <c r="BT409">
        <v>48</v>
      </c>
      <c r="BU409" t="s">
        <v>11</v>
      </c>
    </row>
    <row r="410" spans="1:73" x14ac:dyDescent="0.25">
      <c r="A410" s="5">
        <v>38261</v>
      </c>
      <c r="B410">
        <v>1758</v>
      </c>
      <c r="C410">
        <v>949</v>
      </c>
      <c r="D410">
        <v>0</v>
      </c>
      <c r="E410">
        <v>0</v>
      </c>
      <c r="F410">
        <v>5570</v>
      </c>
      <c r="G410">
        <v>3008</v>
      </c>
      <c r="H410">
        <v>695</v>
      </c>
      <c r="I410">
        <v>695</v>
      </c>
      <c r="J410">
        <v>2325</v>
      </c>
      <c r="K410">
        <v>1662</v>
      </c>
      <c r="L410">
        <v>34450</v>
      </c>
      <c r="M410">
        <v>13740</v>
      </c>
      <c r="N410">
        <v>280</v>
      </c>
      <c r="O410">
        <v>226</v>
      </c>
      <c r="P410" t="s">
        <v>11</v>
      </c>
      <c r="Q410" t="s">
        <v>11</v>
      </c>
      <c r="R410">
        <v>0</v>
      </c>
      <c r="S410" t="s">
        <v>11</v>
      </c>
      <c r="T410" s="34">
        <v>53160</v>
      </c>
      <c r="U410" s="34">
        <v>7220</v>
      </c>
      <c r="V410" s="34">
        <v>4820</v>
      </c>
      <c r="W410">
        <v>3869</v>
      </c>
      <c r="X410">
        <v>3487</v>
      </c>
      <c r="Y410">
        <v>2840</v>
      </c>
      <c r="Z410">
        <v>3633</v>
      </c>
      <c r="AA410">
        <v>732</v>
      </c>
      <c r="AB410">
        <v>38667</v>
      </c>
      <c r="AC410">
        <v>24088</v>
      </c>
      <c r="AD410">
        <v>1546</v>
      </c>
      <c r="AE410">
        <v>907</v>
      </c>
      <c r="AF410">
        <v>5408</v>
      </c>
      <c r="AG410">
        <v>2652</v>
      </c>
      <c r="AH410">
        <f t="shared" si="72"/>
        <v>1546</v>
      </c>
      <c r="AI410">
        <f t="shared" si="73"/>
        <v>907</v>
      </c>
      <c r="AJ410">
        <v>12350</v>
      </c>
      <c r="AK410">
        <v>6505</v>
      </c>
      <c r="AL410">
        <v>29062</v>
      </c>
      <c r="AM410">
        <v>17882</v>
      </c>
      <c r="AN410">
        <v>397</v>
      </c>
      <c r="AO410">
        <v>383</v>
      </c>
      <c r="AP410">
        <v>874</v>
      </c>
      <c r="AQ410">
        <v>496</v>
      </c>
      <c r="AR410">
        <v>108</v>
      </c>
      <c r="AS410" t="s">
        <v>11</v>
      </c>
      <c r="AT410">
        <f t="shared" si="66"/>
        <v>874</v>
      </c>
      <c r="AU410">
        <f t="shared" si="67"/>
        <v>496</v>
      </c>
      <c r="AV410">
        <v>2</v>
      </c>
      <c r="AW410">
        <v>1</v>
      </c>
      <c r="AX410">
        <v>4</v>
      </c>
      <c r="AY410">
        <v>2</v>
      </c>
      <c r="AZ410">
        <f t="shared" si="68"/>
        <v>874</v>
      </c>
      <c r="BA410">
        <f t="shared" si="69"/>
        <v>496</v>
      </c>
      <c r="BB410">
        <f t="shared" si="74"/>
        <v>397</v>
      </c>
      <c r="BC410">
        <f t="shared" si="75"/>
        <v>383</v>
      </c>
      <c r="BD410" t="s">
        <v>11</v>
      </c>
      <c r="BE410" t="s">
        <v>11</v>
      </c>
      <c r="BF410" t="s">
        <v>11</v>
      </c>
      <c r="BG410" t="s">
        <v>11</v>
      </c>
      <c r="BH410">
        <v>44</v>
      </c>
      <c r="BI410" t="s">
        <v>11</v>
      </c>
      <c r="BJ410">
        <v>10</v>
      </c>
      <c r="BK410" t="s">
        <v>11</v>
      </c>
      <c r="BL410" t="s">
        <v>11</v>
      </c>
      <c r="BM410" t="s">
        <v>11</v>
      </c>
      <c r="BN410">
        <v>39</v>
      </c>
      <c r="BO410" t="s">
        <v>11</v>
      </c>
      <c r="BP410" t="str">
        <f t="shared" si="70"/>
        <v>NoData</v>
      </c>
      <c r="BQ410" t="str">
        <f t="shared" si="71"/>
        <v>NoData</v>
      </c>
      <c r="BR410">
        <v>83</v>
      </c>
      <c r="BS410" t="s">
        <v>11</v>
      </c>
      <c r="BT410">
        <v>40</v>
      </c>
      <c r="BU410" t="s">
        <v>11</v>
      </c>
    </row>
    <row r="411" spans="1:73" x14ac:dyDescent="0.25">
      <c r="A411" s="5">
        <v>38292</v>
      </c>
      <c r="B411">
        <v>644</v>
      </c>
      <c r="C411">
        <v>348</v>
      </c>
      <c r="D411">
        <v>0</v>
      </c>
      <c r="E411">
        <v>0</v>
      </c>
      <c r="F411">
        <v>3953</v>
      </c>
      <c r="G411">
        <v>2136</v>
      </c>
      <c r="H411">
        <v>493</v>
      </c>
      <c r="I411">
        <v>493</v>
      </c>
      <c r="J411">
        <v>670</v>
      </c>
      <c r="K411">
        <v>479</v>
      </c>
      <c r="L411">
        <v>8040</v>
      </c>
      <c r="M411">
        <v>-6105</v>
      </c>
      <c r="N411">
        <v>231</v>
      </c>
      <c r="O411">
        <v>169</v>
      </c>
      <c r="P411" t="s">
        <v>11</v>
      </c>
      <c r="Q411" t="s">
        <v>11</v>
      </c>
      <c r="R411">
        <v>0</v>
      </c>
      <c r="S411" t="s">
        <v>11</v>
      </c>
      <c r="T411" s="34">
        <v>35980</v>
      </c>
      <c r="U411" s="34">
        <v>-1936</v>
      </c>
      <c r="V411" s="34">
        <v>4113</v>
      </c>
      <c r="W411">
        <v>3276</v>
      </c>
      <c r="X411">
        <v>3064</v>
      </c>
      <c r="Y411">
        <v>2483</v>
      </c>
      <c r="Z411">
        <v>2790</v>
      </c>
      <c r="AA411">
        <v>404</v>
      </c>
      <c r="AB411">
        <v>29340</v>
      </c>
      <c r="AC411">
        <v>16590</v>
      </c>
      <c r="AD411">
        <v>1197</v>
      </c>
      <c r="AE411">
        <v>208</v>
      </c>
      <c r="AF411">
        <v>4426</v>
      </c>
      <c r="AG411">
        <v>1720</v>
      </c>
      <c r="AH411">
        <f t="shared" si="72"/>
        <v>1197</v>
      </c>
      <c r="AI411">
        <f t="shared" si="73"/>
        <v>208</v>
      </c>
      <c r="AJ411">
        <v>10668</v>
      </c>
      <c r="AK411">
        <v>2998</v>
      </c>
      <c r="AL411">
        <v>14247</v>
      </c>
      <c r="AM411">
        <v>2060</v>
      </c>
      <c r="AN411">
        <v>41</v>
      </c>
      <c r="AO411">
        <v>39</v>
      </c>
      <c r="AP411">
        <v>314</v>
      </c>
      <c r="AQ411">
        <v>155</v>
      </c>
      <c r="AR411">
        <v>77</v>
      </c>
      <c r="AS411" t="s">
        <v>11</v>
      </c>
      <c r="AT411">
        <f t="shared" si="66"/>
        <v>314</v>
      </c>
      <c r="AU411">
        <f t="shared" si="67"/>
        <v>155</v>
      </c>
      <c r="AV411">
        <v>0</v>
      </c>
      <c r="AW411">
        <v>0</v>
      </c>
      <c r="AX411">
        <v>4</v>
      </c>
      <c r="AY411">
        <v>2</v>
      </c>
      <c r="AZ411">
        <f t="shared" si="68"/>
        <v>314</v>
      </c>
      <c r="BA411">
        <f t="shared" si="69"/>
        <v>155</v>
      </c>
      <c r="BB411">
        <f t="shared" si="74"/>
        <v>41</v>
      </c>
      <c r="BC411">
        <f t="shared" si="75"/>
        <v>39</v>
      </c>
      <c r="BD411" t="s">
        <v>11</v>
      </c>
      <c r="BE411" t="s">
        <v>11</v>
      </c>
      <c r="BF411" t="s">
        <v>11</v>
      </c>
      <c r="BG411" t="s">
        <v>11</v>
      </c>
      <c r="BH411">
        <v>9</v>
      </c>
      <c r="BI411" t="s">
        <v>11</v>
      </c>
      <c r="BJ411">
        <v>11</v>
      </c>
      <c r="BK411" t="s">
        <v>11</v>
      </c>
      <c r="BL411" t="s">
        <v>11</v>
      </c>
      <c r="BM411" t="s">
        <v>11</v>
      </c>
      <c r="BN411">
        <v>28</v>
      </c>
      <c r="BO411" t="s">
        <v>11</v>
      </c>
      <c r="BP411" t="str">
        <f t="shared" si="70"/>
        <v>NoData</v>
      </c>
      <c r="BQ411" t="str">
        <f t="shared" si="71"/>
        <v>NoData</v>
      </c>
      <c r="BR411">
        <v>59</v>
      </c>
      <c r="BS411" t="s">
        <v>11</v>
      </c>
      <c r="BT411">
        <v>28</v>
      </c>
      <c r="BU411" t="s">
        <v>11</v>
      </c>
    </row>
    <row r="412" spans="1:73" x14ac:dyDescent="0.25">
      <c r="A412" s="5">
        <v>38322</v>
      </c>
      <c r="B412">
        <v>1080</v>
      </c>
      <c r="C412">
        <v>583</v>
      </c>
      <c r="D412">
        <v>0</v>
      </c>
      <c r="E412">
        <v>0</v>
      </c>
      <c r="F412">
        <v>3890</v>
      </c>
      <c r="G412">
        <v>2101</v>
      </c>
      <c r="H412">
        <v>485</v>
      </c>
      <c r="I412">
        <v>485</v>
      </c>
      <c r="J412">
        <v>599</v>
      </c>
      <c r="K412">
        <v>428</v>
      </c>
      <c r="L412">
        <v>19110</v>
      </c>
      <c r="M412">
        <v>4057</v>
      </c>
      <c r="N412">
        <v>223</v>
      </c>
      <c r="O412">
        <v>162</v>
      </c>
      <c r="P412" t="s">
        <v>11</v>
      </c>
      <c r="Q412" t="s">
        <v>11</v>
      </c>
      <c r="R412">
        <v>0</v>
      </c>
      <c r="S412" t="s">
        <v>11</v>
      </c>
      <c r="T412" s="34">
        <v>38580</v>
      </c>
      <c r="U412" s="34">
        <v>2093</v>
      </c>
      <c r="V412" s="34">
        <v>1816</v>
      </c>
      <c r="W412">
        <v>1497</v>
      </c>
      <c r="X412">
        <v>1677</v>
      </c>
      <c r="Y412">
        <v>1389</v>
      </c>
      <c r="Z412">
        <v>1829</v>
      </c>
      <c r="AA412">
        <v>296</v>
      </c>
      <c r="AB412">
        <v>17680</v>
      </c>
      <c r="AC412">
        <v>8056</v>
      </c>
      <c r="AD412">
        <v>1027</v>
      </c>
      <c r="AE412">
        <v>-85</v>
      </c>
      <c r="AF412">
        <v>2086</v>
      </c>
      <c r="AG412">
        <v>932</v>
      </c>
      <c r="AH412">
        <f t="shared" si="72"/>
        <v>1027</v>
      </c>
      <c r="AI412">
        <f t="shared" si="73"/>
        <v>-85</v>
      </c>
      <c r="AJ412">
        <v>5815</v>
      </c>
      <c r="AK412">
        <v>-161</v>
      </c>
      <c r="AL412">
        <v>11887</v>
      </c>
      <c r="AM412">
        <v>473</v>
      </c>
      <c r="AN412">
        <v>0</v>
      </c>
      <c r="AO412">
        <v>0</v>
      </c>
      <c r="AP412">
        <v>348</v>
      </c>
      <c r="AQ412">
        <v>209</v>
      </c>
      <c r="AR412">
        <v>75</v>
      </c>
      <c r="AS412" t="s">
        <v>11</v>
      </c>
      <c r="AT412">
        <f t="shared" si="66"/>
        <v>348</v>
      </c>
      <c r="AU412">
        <f t="shared" si="67"/>
        <v>209</v>
      </c>
      <c r="AV412">
        <v>0</v>
      </c>
      <c r="AW412">
        <v>0</v>
      </c>
      <c r="AX412">
        <v>4</v>
      </c>
      <c r="AY412">
        <v>2</v>
      </c>
      <c r="AZ412">
        <f t="shared" si="68"/>
        <v>348</v>
      </c>
      <c r="BA412">
        <f t="shared" si="69"/>
        <v>209</v>
      </c>
      <c r="BB412">
        <f t="shared" si="74"/>
        <v>0</v>
      </c>
      <c r="BC412">
        <f t="shared" si="75"/>
        <v>0</v>
      </c>
      <c r="BD412" t="s">
        <v>11</v>
      </c>
      <c r="BE412" t="s">
        <v>11</v>
      </c>
      <c r="BF412" t="s">
        <v>11</v>
      </c>
      <c r="BG412" t="s">
        <v>11</v>
      </c>
      <c r="BH412">
        <v>5</v>
      </c>
      <c r="BI412" t="s">
        <v>11</v>
      </c>
      <c r="BJ412">
        <v>12</v>
      </c>
      <c r="BK412" t="s">
        <v>11</v>
      </c>
      <c r="BL412" t="s">
        <v>11</v>
      </c>
      <c r="BM412" t="s">
        <v>11</v>
      </c>
      <c r="BN412">
        <v>28</v>
      </c>
      <c r="BO412" t="s">
        <v>11</v>
      </c>
      <c r="BP412" t="str">
        <f t="shared" si="70"/>
        <v>NoData</v>
      </c>
      <c r="BQ412" t="str">
        <f t="shared" si="71"/>
        <v>NoData</v>
      </c>
      <c r="BR412">
        <v>58</v>
      </c>
      <c r="BS412" t="s">
        <v>11</v>
      </c>
      <c r="BT412">
        <v>28</v>
      </c>
      <c r="BU412" t="s">
        <v>11</v>
      </c>
    </row>
    <row r="413" spans="1:73" x14ac:dyDescent="0.25">
      <c r="A413" s="5">
        <v>38353</v>
      </c>
      <c r="B413">
        <v>419</v>
      </c>
      <c r="C413">
        <v>226</v>
      </c>
      <c r="D413">
        <v>0</v>
      </c>
      <c r="E413">
        <v>0</v>
      </c>
      <c r="F413">
        <v>1370</v>
      </c>
      <c r="G413">
        <v>740</v>
      </c>
      <c r="H413">
        <v>351</v>
      </c>
      <c r="I413">
        <v>189</v>
      </c>
      <c r="J413">
        <v>109</v>
      </c>
      <c r="K413">
        <v>87</v>
      </c>
      <c r="L413">
        <v>5650</v>
      </c>
      <c r="M413">
        <v>-6700</v>
      </c>
      <c r="N413">
        <v>241</v>
      </c>
      <c r="O413">
        <v>167</v>
      </c>
      <c r="P413" t="s">
        <v>11</v>
      </c>
      <c r="Q413" t="s">
        <v>11</v>
      </c>
      <c r="R413">
        <v>5</v>
      </c>
      <c r="S413" t="s">
        <v>11</v>
      </c>
      <c r="T413" s="34">
        <v>19420</v>
      </c>
      <c r="U413" s="34">
        <v>-10453</v>
      </c>
      <c r="V413" s="34">
        <v>1908</v>
      </c>
      <c r="W413">
        <v>319</v>
      </c>
      <c r="X413">
        <v>1186</v>
      </c>
      <c r="Y413">
        <v>198</v>
      </c>
      <c r="Z413">
        <v>1782</v>
      </c>
      <c r="AA413">
        <v>232</v>
      </c>
      <c r="AB413">
        <v>14449</v>
      </c>
      <c r="AC413">
        <v>7190</v>
      </c>
      <c r="AD413">
        <v>929</v>
      </c>
      <c r="AE413">
        <v>-5</v>
      </c>
      <c r="AF413">
        <v>2769</v>
      </c>
      <c r="AG413">
        <v>873</v>
      </c>
      <c r="AH413">
        <f t="shared" si="72"/>
        <v>929</v>
      </c>
      <c r="AI413">
        <f t="shared" si="73"/>
        <v>-5</v>
      </c>
      <c r="AJ413">
        <v>7359</v>
      </c>
      <c r="AK413">
        <v>620</v>
      </c>
      <c r="AL413">
        <v>8662</v>
      </c>
      <c r="AM413">
        <v>-2923</v>
      </c>
      <c r="AN413">
        <v>28</v>
      </c>
      <c r="AO413">
        <v>25</v>
      </c>
      <c r="AP413">
        <v>159</v>
      </c>
      <c r="AQ413">
        <v>74</v>
      </c>
      <c r="AR413">
        <v>41</v>
      </c>
      <c r="AS413" t="s">
        <v>11</v>
      </c>
      <c r="AT413">
        <f t="shared" si="66"/>
        <v>159</v>
      </c>
      <c r="AU413">
        <f t="shared" si="67"/>
        <v>74</v>
      </c>
      <c r="AV413">
        <v>0</v>
      </c>
      <c r="AW413">
        <v>0</v>
      </c>
      <c r="AX413">
        <v>4</v>
      </c>
      <c r="AY413">
        <v>2</v>
      </c>
      <c r="AZ413">
        <f t="shared" si="68"/>
        <v>159</v>
      </c>
      <c r="BA413">
        <f t="shared" si="69"/>
        <v>74</v>
      </c>
      <c r="BB413">
        <f t="shared" si="74"/>
        <v>28</v>
      </c>
      <c r="BC413">
        <f t="shared" si="75"/>
        <v>25</v>
      </c>
      <c r="BD413" t="s">
        <v>11</v>
      </c>
      <c r="BE413" t="s">
        <v>11</v>
      </c>
      <c r="BF413" t="s">
        <v>11</v>
      </c>
      <c r="BG413" t="s">
        <v>11</v>
      </c>
      <c r="BH413">
        <v>12</v>
      </c>
      <c r="BI413" t="s">
        <v>11</v>
      </c>
      <c r="BJ413">
        <v>18</v>
      </c>
      <c r="BK413" t="s">
        <v>11</v>
      </c>
      <c r="BL413">
        <v>35</v>
      </c>
      <c r="BM413" t="s">
        <v>11</v>
      </c>
      <c r="BN413">
        <v>19</v>
      </c>
      <c r="BO413" t="s">
        <v>11</v>
      </c>
      <c r="BP413" t="str">
        <f t="shared" si="70"/>
        <v>NoData</v>
      </c>
      <c r="BQ413" t="str">
        <f t="shared" si="71"/>
        <v>NoData</v>
      </c>
      <c r="BR413">
        <v>44</v>
      </c>
      <c r="BS413" t="s">
        <v>11</v>
      </c>
      <c r="BT413">
        <v>21</v>
      </c>
      <c r="BU413" t="s">
        <v>11</v>
      </c>
    </row>
    <row r="414" spans="1:73" x14ac:dyDescent="0.25">
      <c r="A414" s="5">
        <v>38384</v>
      </c>
      <c r="B414">
        <v>214</v>
      </c>
      <c r="C414">
        <v>116</v>
      </c>
      <c r="D414">
        <v>0</v>
      </c>
      <c r="E414">
        <v>0</v>
      </c>
      <c r="F414">
        <v>2242</v>
      </c>
      <c r="G414">
        <v>1211</v>
      </c>
      <c r="H414">
        <v>609</v>
      </c>
      <c r="I414">
        <v>329</v>
      </c>
      <c r="J414">
        <v>133</v>
      </c>
      <c r="K414">
        <v>95</v>
      </c>
      <c r="L414">
        <v>6890</v>
      </c>
      <c r="M414">
        <v>-3850</v>
      </c>
      <c r="N414">
        <v>276</v>
      </c>
      <c r="O414">
        <v>180</v>
      </c>
      <c r="P414" t="s">
        <v>11</v>
      </c>
      <c r="Q414" t="s">
        <v>11</v>
      </c>
      <c r="R414">
        <v>10</v>
      </c>
      <c r="S414" t="s">
        <v>11</v>
      </c>
      <c r="T414" s="34">
        <v>22970</v>
      </c>
      <c r="U414" s="34">
        <v>-6340</v>
      </c>
      <c r="V414" s="34">
        <v>1096</v>
      </c>
      <c r="W414">
        <v>183</v>
      </c>
      <c r="X414">
        <v>1010</v>
      </c>
      <c r="Y414">
        <v>169</v>
      </c>
      <c r="Z414">
        <v>1654</v>
      </c>
      <c r="AA414">
        <v>215</v>
      </c>
      <c r="AB414">
        <v>14546</v>
      </c>
      <c r="AC414">
        <v>7854</v>
      </c>
      <c r="AD414">
        <v>557</v>
      </c>
      <c r="AE414">
        <v>-262</v>
      </c>
      <c r="AF414">
        <v>3368</v>
      </c>
      <c r="AG414">
        <v>1117</v>
      </c>
      <c r="AH414">
        <f t="shared" si="72"/>
        <v>557</v>
      </c>
      <c r="AI414">
        <f t="shared" si="73"/>
        <v>-262</v>
      </c>
      <c r="AJ414">
        <v>6190</v>
      </c>
      <c r="AK414">
        <v>-86</v>
      </c>
      <c r="AL414">
        <v>10026</v>
      </c>
      <c r="AM414">
        <v>-65</v>
      </c>
      <c r="AN414">
        <v>177</v>
      </c>
      <c r="AO414">
        <v>177</v>
      </c>
      <c r="AP414">
        <v>446</v>
      </c>
      <c r="AQ414">
        <v>211</v>
      </c>
      <c r="AR414">
        <v>52</v>
      </c>
      <c r="AS414" t="s">
        <v>11</v>
      </c>
      <c r="AT414">
        <f t="shared" si="66"/>
        <v>446</v>
      </c>
      <c r="AU414">
        <f t="shared" si="67"/>
        <v>211</v>
      </c>
      <c r="AV414">
        <v>0</v>
      </c>
      <c r="AW414">
        <v>0</v>
      </c>
      <c r="AX414">
        <v>4</v>
      </c>
      <c r="AY414">
        <v>2</v>
      </c>
      <c r="AZ414">
        <f t="shared" si="68"/>
        <v>446</v>
      </c>
      <c r="BA414">
        <f t="shared" si="69"/>
        <v>211</v>
      </c>
      <c r="BB414">
        <f t="shared" si="74"/>
        <v>177</v>
      </c>
      <c r="BC414">
        <f t="shared" si="75"/>
        <v>177</v>
      </c>
      <c r="BD414" t="s">
        <v>11</v>
      </c>
      <c r="BE414" t="s">
        <v>11</v>
      </c>
      <c r="BF414" t="s">
        <v>11</v>
      </c>
      <c r="BG414" t="s">
        <v>11</v>
      </c>
      <c r="BH414">
        <v>15</v>
      </c>
      <c r="BI414" t="s">
        <v>11</v>
      </c>
      <c r="BJ414">
        <v>23</v>
      </c>
      <c r="BK414" t="s">
        <v>11</v>
      </c>
      <c r="BL414">
        <v>44</v>
      </c>
      <c r="BM414" t="s">
        <v>11</v>
      </c>
      <c r="BN414">
        <v>24</v>
      </c>
      <c r="BO414" t="s">
        <v>11</v>
      </c>
      <c r="BP414" t="str">
        <f t="shared" si="70"/>
        <v>NoData</v>
      </c>
      <c r="BQ414" t="str">
        <f t="shared" si="71"/>
        <v>NoData</v>
      </c>
      <c r="BR414">
        <v>55</v>
      </c>
      <c r="BS414" t="s">
        <v>11</v>
      </c>
      <c r="BT414">
        <v>26</v>
      </c>
      <c r="BU414" t="s">
        <v>11</v>
      </c>
    </row>
    <row r="415" spans="1:73" x14ac:dyDescent="0.25">
      <c r="A415" s="5">
        <v>38412</v>
      </c>
      <c r="B415">
        <v>1762</v>
      </c>
      <c r="C415">
        <v>951</v>
      </c>
      <c r="D415">
        <v>242</v>
      </c>
      <c r="E415">
        <v>130</v>
      </c>
      <c r="F415">
        <v>5344</v>
      </c>
      <c r="G415">
        <v>2886</v>
      </c>
      <c r="H415">
        <v>1583</v>
      </c>
      <c r="I415">
        <v>853</v>
      </c>
      <c r="J415">
        <v>998</v>
      </c>
      <c r="K415">
        <v>1484</v>
      </c>
      <c r="L415">
        <v>40410</v>
      </c>
      <c r="M415">
        <v>24705</v>
      </c>
      <c r="N415">
        <v>389</v>
      </c>
      <c r="O415">
        <v>259</v>
      </c>
      <c r="P415" t="s">
        <v>11</v>
      </c>
      <c r="Q415" t="s">
        <v>11</v>
      </c>
      <c r="R415">
        <v>10</v>
      </c>
      <c r="S415" t="s">
        <v>11</v>
      </c>
      <c r="T415" s="34">
        <v>61400</v>
      </c>
      <c r="U415" s="34">
        <v>26451</v>
      </c>
      <c r="V415" s="34">
        <v>4924</v>
      </c>
      <c r="W415">
        <v>822</v>
      </c>
      <c r="X415">
        <v>3424</v>
      </c>
      <c r="Y415">
        <v>572</v>
      </c>
      <c r="Z415">
        <v>4138</v>
      </c>
      <c r="AA415">
        <v>1451</v>
      </c>
      <c r="AB415">
        <v>37991</v>
      </c>
      <c r="AC415">
        <v>28048</v>
      </c>
      <c r="AD415">
        <v>1736</v>
      </c>
      <c r="AE415">
        <v>1583</v>
      </c>
      <c r="AF415">
        <v>6271</v>
      </c>
      <c r="AG415">
        <v>3806</v>
      </c>
      <c r="AH415">
        <f t="shared" si="72"/>
        <v>1736</v>
      </c>
      <c r="AI415">
        <f t="shared" si="73"/>
        <v>1583</v>
      </c>
      <c r="AJ415">
        <v>13467</v>
      </c>
      <c r="AK415">
        <v>10447</v>
      </c>
      <c r="AL415">
        <v>32501</v>
      </c>
      <c r="AM415">
        <v>22411</v>
      </c>
      <c r="AN415">
        <v>478</v>
      </c>
      <c r="AO415">
        <v>478</v>
      </c>
      <c r="AP415">
        <v>509</v>
      </c>
      <c r="AQ415">
        <v>350</v>
      </c>
      <c r="AR415">
        <v>70</v>
      </c>
      <c r="AS415" t="s">
        <v>11</v>
      </c>
      <c r="AT415">
        <f t="shared" si="66"/>
        <v>509</v>
      </c>
      <c r="AU415">
        <f t="shared" si="67"/>
        <v>350</v>
      </c>
      <c r="AV415">
        <v>0</v>
      </c>
      <c r="AW415">
        <v>0</v>
      </c>
      <c r="AX415">
        <v>4</v>
      </c>
      <c r="AY415">
        <v>2</v>
      </c>
      <c r="AZ415">
        <f t="shared" si="68"/>
        <v>509</v>
      </c>
      <c r="BA415">
        <f t="shared" si="69"/>
        <v>350</v>
      </c>
      <c r="BB415">
        <f t="shared" si="74"/>
        <v>478</v>
      </c>
      <c r="BC415">
        <f t="shared" si="75"/>
        <v>478</v>
      </c>
      <c r="BD415" t="s">
        <v>11</v>
      </c>
      <c r="BE415" t="s">
        <v>11</v>
      </c>
      <c r="BF415" t="s">
        <v>11</v>
      </c>
      <c r="BG415" t="s">
        <v>11</v>
      </c>
      <c r="BH415">
        <v>21</v>
      </c>
      <c r="BI415" t="s">
        <v>11</v>
      </c>
      <c r="BJ415">
        <v>31</v>
      </c>
      <c r="BK415" t="s">
        <v>11</v>
      </c>
      <c r="BL415">
        <v>60</v>
      </c>
      <c r="BM415" t="s">
        <v>11</v>
      </c>
      <c r="BN415">
        <v>33</v>
      </c>
      <c r="BO415" t="s">
        <v>11</v>
      </c>
      <c r="BP415" t="str">
        <f t="shared" si="70"/>
        <v>NoData</v>
      </c>
      <c r="BQ415" t="str">
        <f t="shared" si="71"/>
        <v>NoData</v>
      </c>
      <c r="BR415">
        <v>75</v>
      </c>
      <c r="BS415" t="s">
        <v>11</v>
      </c>
      <c r="BT415">
        <v>35</v>
      </c>
      <c r="BU415" t="s">
        <v>11</v>
      </c>
    </row>
    <row r="416" spans="1:73" x14ac:dyDescent="0.25">
      <c r="A416" s="5">
        <v>38443</v>
      </c>
      <c r="B416">
        <v>3834</v>
      </c>
      <c r="C416">
        <v>2088</v>
      </c>
      <c r="D416">
        <v>242</v>
      </c>
      <c r="E416">
        <v>130</v>
      </c>
      <c r="F416">
        <v>6707</v>
      </c>
      <c r="G416">
        <v>3622</v>
      </c>
      <c r="H416">
        <v>1730</v>
      </c>
      <c r="I416">
        <v>932</v>
      </c>
      <c r="J416">
        <v>732</v>
      </c>
      <c r="K416">
        <v>815</v>
      </c>
      <c r="L416">
        <v>72930</v>
      </c>
      <c r="M416">
        <v>49440</v>
      </c>
      <c r="N416">
        <v>452</v>
      </c>
      <c r="O416">
        <v>316</v>
      </c>
      <c r="P416" t="s">
        <v>11</v>
      </c>
      <c r="Q416" t="s">
        <v>11</v>
      </c>
      <c r="R416">
        <v>40</v>
      </c>
      <c r="S416" t="s">
        <v>11</v>
      </c>
      <c r="T416" s="34">
        <v>82610</v>
      </c>
      <c r="U416" s="34">
        <v>41413</v>
      </c>
      <c r="V416" s="34">
        <v>6624</v>
      </c>
      <c r="W416">
        <v>1106</v>
      </c>
      <c r="X416">
        <v>4507</v>
      </c>
      <c r="Y416">
        <v>753</v>
      </c>
      <c r="Z416">
        <v>3920</v>
      </c>
      <c r="AA416">
        <v>1374</v>
      </c>
      <c r="AB416">
        <v>42076</v>
      </c>
      <c r="AC416">
        <v>31569</v>
      </c>
      <c r="AD416">
        <v>2249</v>
      </c>
      <c r="AE416">
        <v>2026</v>
      </c>
      <c r="AF416">
        <v>7038</v>
      </c>
      <c r="AG416">
        <v>4245</v>
      </c>
      <c r="AH416">
        <f t="shared" si="72"/>
        <v>2249</v>
      </c>
      <c r="AI416">
        <f t="shared" si="73"/>
        <v>2026</v>
      </c>
      <c r="AJ416">
        <v>15299</v>
      </c>
      <c r="AK416">
        <v>11586</v>
      </c>
      <c r="AL416">
        <v>39625</v>
      </c>
      <c r="AM416">
        <v>29855</v>
      </c>
      <c r="AN416">
        <v>154</v>
      </c>
      <c r="AO416">
        <v>153</v>
      </c>
      <c r="AP416">
        <v>690</v>
      </c>
      <c r="AQ416">
        <v>356</v>
      </c>
      <c r="AR416">
        <v>75</v>
      </c>
      <c r="AS416" t="s">
        <v>11</v>
      </c>
      <c r="AT416">
        <f t="shared" si="66"/>
        <v>690</v>
      </c>
      <c r="AU416">
        <f t="shared" si="67"/>
        <v>356</v>
      </c>
      <c r="AV416">
        <v>1</v>
      </c>
      <c r="AW416">
        <v>1</v>
      </c>
      <c r="AX416">
        <v>4</v>
      </c>
      <c r="AY416">
        <v>2</v>
      </c>
      <c r="AZ416">
        <f t="shared" si="68"/>
        <v>690</v>
      </c>
      <c r="BA416">
        <f t="shared" si="69"/>
        <v>356</v>
      </c>
      <c r="BB416">
        <f t="shared" si="74"/>
        <v>154</v>
      </c>
      <c r="BC416">
        <f t="shared" si="75"/>
        <v>153</v>
      </c>
      <c r="BD416" t="s">
        <v>11</v>
      </c>
      <c r="BE416" t="s">
        <v>11</v>
      </c>
      <c r="BF416" t="s">
        <v>11</v>
      </c>
      <c r="BG416" t="s">
        <v>11</v>
      </c>
      <c r="BH416">
        <v>23</v>
      </c>
      <c r="BI416" t="s">
        <v>11</v>
      </c>
      <c r="BJ416">
        <v>33</v>
      </c>
      <c r="BK416" t="s">
        <v>11</v>
      </c>
      <c r="BL416">
        <v>65</v>
      </c>
      <c r="BM416" t="s">
        <v>11</v>
      </c>
      <c r="BN416">
        <v>36</v>
      </c>
      <c r="BO416" t="s">
        <v>11</v>
      </c>
      <c r="BP416" t="str">
        <f t="shared" si="70"/>
        <v>NoData</v>
      </c>
      <c r="BQ416" t="str">
        <f t="shared" si="71"/>
        <v>NoData</v>
      </c>
      <c r="BR416">
        <v>81</v>
      </c>
      <c r="BS416" t="s">
        <v>11</v>
      </c>
      <c r="BT416">
        <v>38</v>
      </c>
      <c r="BU416" t="s">
        <v>11</v>
      </c>
    </row>
    <row r="417" spans="1:73" x14ac:dyDescent="0.25">
      <c r="A417" s="5">
        <v>38473</v>
      </c>
      <c r="B417">
        <v>3951</v>
      </c>
      <c r="C417">
        <v>2134</v>
      </c>
      <c r="D417">
        <v>48</v>
      </c>
      <c r="E417">
        <v>26</v>
      </c>
      <c r="F417">
        <v>8854</v>
      </c>
      <c r="G417">
        <v>4781</v>
      </c>
      <c r="H417">
        <v>1902</v>
      </c>
      <c r="I417">
        <v>1024</v>
      </c>
      <c r="J417">
        <v>1602</v>
      </c>
      <c r="K417">
        <v>2236</v>
      </c>
      <c r="L417">
        <v>73790</v>
      </c>
      <c r="M417">
        <v>49060</v>
      </c>
      <c r="N417">
        <v>556</v>
      </c>
      <c r="O417">
        <v>391</v>
      </c>
      <c r="P417" t="s">
        <v>11</v>
      </c>
      <c r="Q417" t="s">
        <v>11</v>
      </c>
      <c r="R417">
        <v>60</v>
      </c>
      <c r="S417" t="s">
        <v>11</v>
      </c>
      <c r="T417" s="34">
        <v>94260</v>
      </c>
      <c r="U417" s="34">
        <v>52570</v>
      </c>
      <c r="V417" s="34">
        <v>6628</v>
      </c>
      <c r="W417">
        <v>1107</v>
      </c>
      <c r="X417">
        <v>5460</v>
      </c>
      <c r="Y417">
        <v>912</v>
      </c>
      <c r="Z417">
        <v>5249</v>
      </c>
      <c r="AA417">
        <v>1788</v>
      </c>
      <c r="AB417">
        <v>36191</v>
      </c>
      <c r="AC417">
        <v>23820</v>
      </c>
      <c r="AD417">
        <v>2105</v>
      </c>
      <c r="AE417">
        <v>1853</v>
      </c>
      <c r="AF417">
        <v>6877</v>
      </c>
      <c r="AG417">
        <v>3612</v>
      </c>
      <c r="AH417">
        <f t="shared" si="72"/>
        <v>2105</v>
      </c>
      <c r="AI417">
        <f t="shared" si="73"/>
        <v>1853</v>
      </c>
      <c r="AJ417">
        <v>22563</v>
      </c>
      <c r="AK417">
        <v>16789</v>
      </c>
      <c r="AL417">
        <v>45487</v>
      </c>
      <c r="AM417">
        <v>33367</v>
      </c>
      <c r="AN417">
        <v>219</v>
      </c>
      <c r="AO417">
        <v>213</v>
      </c>
      <c r="AP417">
        <v>885</v>
      </c>
      <c r="AQ417">
        <v>508</v>
      </c>
      <c r="AR417">
        <v>92</v>
      </c>
      <c r="AS417" t="s">
        <v>11</v>
      </c>
      <c r="AT417">
        <f t="shared" si="66"/>
        <v>885</v>
      </c>
      <c r="AU417">
        <f t="shared" si="67"/>
        <v>508</v>
      </c>
      <c r="AV417">
        <v>0</v>
      </c>
      <c r="AW417">
        <v>0</v>
      </c>
      <c r="AX417">
        <v>4</v>
      </c>
      <c r="AY417">
        <v>2</v>
      </c>
      <c r="AZ417">
        <f t="shared" si="68"/>
        <v>885</v>
      </c>
      <c r="BA417">
        <f t="shared" si="69"/>
        <v>508</v>
      </c>
      <c r="BB417">
        <f t="shared" si="74"/>
        <v>219</v>
      </c>
      <c r="BC417">
        <f t="shared" si="75"/>
        <v>213</v>
      </c>
      <c r="BD417" t="s">
        <v>11</v>
      </c>
      <c r="BE417" t="s">
        <v>11</v>
      </c>
      <c r="BF417" t="s">
        <v>11</v>
      </c>
      <c r="BG417" t="s">
        <v>11</v>
      </c>
      <c r="BH417">
        <v>28</v>
      </c>
      <c r="BI417" t="s">
        <v>11</v>
      </c>
      <c r="BJ417">
        <v>41</v>
      </c>
      <c r="BK417" t="s">
        <v>11</v>
      </c>
      <c r="BL417">
        <v>79</v>
      </c>
      <c r="BM417" t="s">
        <v>11</v>
      </c>
      <c r="BN417">
        <v>44</v>
      </c>
      <c r="BO417" t="s">
        <v>11</v>
      </c>
      <c r="BP417" t="str">
        <f t="shared" si="70"/>
        <v>NoData</v>
      </c>
      <c r="BQ417" t="str">
        <f t="shared" si="71"/>
        <v>NoData</v>
      </c>
      <c r="BR417">
        <v>99</v>
      </c>
      <c r="BS417" t="s">
        <v>11</v>
      </c>
      <c r="BT417">
        <v>47</v>
      </c>
      <c r="BU417" t="s">
        <v>11</v>
      </c>
    </row>
    <row r="418" spans="1:73" x14ac:dyDescent="0.25">
      <c r="A418" s="5">
        <v>38504</v>
      </c>
      <c r="B418">
        <v>5602</v>
      </c>
      <c r="C418">
        <v>3042</v>
      </c>
      <c r="D418">
        <v>240</v>
      </c>
      <c r="E418">
        <v>129</v>
      </c>
      <c r="F418">
        <v>10004</v>
      </c>
      <c r="G418">
        <v>5402</v>
      </c>
      <c r="H418">
        <v>2360</v>
      </c>
      <c r="I418">
        <v>1271</v>
      </c>
      <c r="J418">
        <v>1967</v>
      </c>
      <c r="K418">
        <v>2683</v>
      </c>
      <c r="L418">
        <v>76270</v>
      </c>
      <c r="M418">
        <v>51538</v>
      </c>
      <c r="N418">
        <v>668</v>
      </c>
      <c r="O418">
        <v>466</v>
      </c>
      <c r="P418" t="s">
        <v>11</v>
      </c>
      <c r="Q418" t="s">
        <v>11</v>
      </c>
      <c r="R418">
        <v>55</v>
      </c>
      <c r="S418" t="s">
        <v>11</v>
      </c>
      <c r="T418" s="34">
        <v>101700</v>
      </c>
      <c r="U418" s="34">
        <v>58160</v>
      </c>
      <c r="V418" s="34">
        <v>2824</v>
      </c>
      <c r="W418">
        <v>472</v>
      </c>
      <c r="X418">
        <v>4444</v>
      </c>
      <c r="Y418">
        <v>742</v>
      </c>
      <c r="Z418">
        <v>4243</v>
      </c>
      <c r="AA418">
        <v>1340</v>
      </c>
      <c r="AB418">
        <v>27134</v>
      </c>
      <c r="AC418">
        <v>18971</v>
      </c>
      <c r="AD418">
        <v>2210</v>
      </c>
      <c r="AE418">
        <v>1144</v>
      </c>
      <c r="AF418">
        <v>5377</v>
      </c>
      <c r="AG418">
        <v>2770</v>
      </c>
      <c r="AH418">
        <f t="shared" si="72"/>
        <v>2210</v>
      </c>
      <c r="AI418">
        <f t="shared" si="73"/>
        <v>1144</v>
      </c>
      <c r="AJ418">
        <v>25266</v>
      </c>
      <c r="AK418">
        <v>14550</v>
      </c>
      <c r="AL418">
        <v>46824</v>
      </c>
      <c r="AM418">
        <v>35166</v>
      </c>
      <c r="AN418">
        <v>490</v>
      </c>
      <c r="AO418">
        <v>481</v>
      </c>
      <c r="AP418">
        <v>1296</v>
      </c>
      <c r="AQ418">
        <v>762</v>
      </c>
      <c r="AR418">
        <v>112</v>
      </c>
      <c r="AS418" t="s">
        <v>11</v>
      </c>
      <c r="AT418">
        <f t="shared" si="66"/>
        <v>1296</v>
      </c>
      <c r="AU418">
        <f t="shared" si="67"/>
        <v>762</v>
      </c>
      <c r="AV418">
        <v>0</v>
      </c>
      <c r="AW418">
        <v>0</v>
      </c>
      <c r="AX418">
        <v>4</v>
      </c>
      <c r="AY418">
        <v>2</v>
      </c>
      <c r="AZ418">
        <f t="shared" si="68"/>
        <v>1296</v>
      </c>
      <c r="BA418">
        <f t="shared" si="69"/>
        <v>762</v>
      </c>
      <c r="BB418">
        <f t="shared" si="74"/>
        <v>490</v>
      </c>
      <c r="BC418">
        <f t="shared" si="75"/>
        <v>481</v>
      </c>
      <c r="BD418" t="s">
        <v>11</v>
      </c>
      <c r="BE418" t="s">
        <v>11</v>
      </c>
      <c r="BF418" t="s">
        <v>11</v>
      </c>
      <c r="BG418" t="s">
        <v>11</v>
      </c>
      <c r="BH418">
        <v>33</v>
      </c>
      <c r="BI418" t="s">
        <v>11</v>
      </c>
      <c r="BJ418">
        <v>48</v>
      </c>
      <c r="BK418" t="s">
        <v>11</v>
      </c>
      <c r="BL418">
        <v>96</v>
      </c>
      <c r="BM418" t="s">
        <v>11</v>
      </c>
      <c r="BN418">
        <v>53</v>
      </c>
      <c r="BO418" t="s">
        <v>11</v>
      </c>
      <c r="BP418" t="str">
        <f t="shared" si="70"/>
        <v>NoData</v>
      </c>
      <c r="BQ418" t="str">
        <f t="shared" si="71"/>
        <v>NoData</v>
      </c>
      <c r="BR418">
        <v>120</v>
      </c>
      <c r="BS418" t="s">
        <v>11</v>
      </c>
      <c r="BT418">
        <v>57</v>
      </c>
      <c r="BU418" t="s">
        <v>11</v>
      </c>
    </row>
    <row r="419" spans="1:73" x14ac:dyDescent="0.25">
      <c r="A419" s="5">
        <v>38534</v>
      </c>
      <c r="B419">
        <v>3469</v>
      </c>
      <c r="C419">
        <v>1893</v>
      </c>
      <c r="D419">
        <v>244</v>
      </c>
      <c r="E419">
        <v>131</v>
      </c>
      <c r="F419">
        <v>8725</v>
      </c>
      <c r="G419">
        <v>4711</v>
      </c>
      <c r="H419">
        <v>2286</v>
      </c>
      <c r="I419">
        <v>1231</v>
      </c>
      <c r="J419">
        <v>2130</v>
      </c>
      <c r="K419">
        <v>2938</v>
      </c>
      <c r="L419">
        <v>77370</v>
      </c>
      <c r="M419">
        <v>51793</v>
      </c>
      <c r="N419">
        <v>752</v>
      </c>
      <c r="O419">
        <v>535</v>
      </c>
      <c r="P419" t="s">
        <v>11</v>
      </c>
      <c r="Q419" t="s">
        <v>11</v>
      </c>
      <c r="R419">
        <v>50</v>
      </c>
      <c r="S419" t="s">
        <v>11</v>
      </c>
      <c r="T419" s="34">
        <v>105400</v>
      </c>
      <c r="U419" s="34">
        <v>58310</v>
      </c>
      <c r="V419" s="34">
        <v>2560</v>
      </c>
      <c r="W419">
        <v>428</v>
      </c>
      <c r="X419">
        <v>4104</v>
      </c>
      <c r="Y419">
        <v>685</v>
      </c>
      <c r="Z419">
        <v>5047</v>
      </c>
      <c r="AA419">
        <v>1678</v>
      </c>
      <c r="AB419">
        <v>26651</v>
      </c>
      <c r="AC419">
        <v>18925</v>
      </c>
      <c r="AD419">
        <v>2907</v>
      </c>
      <c r="AE419">
        <v>1522</v>
      </c>
      <c r="AF419">
        <v>5700</v>
      </c>
      <c r="AG419">
        <v>2954</v>
      </c>
      <c r="AH419">
        <f t="shared" si="72"/>
        <v>2907</v>
      </c>
      <c r="AI419">
        <f t="shared" si="73"/>
        <v>1522</v>
      </c>
      <c r="AJ419">
        <v>24873</v>
      </c>
      <c r="AK419">
        <v>12585</v>
      </c>
      <c r="AL419">
        <v>44577</v>
      </c>
      <c r="AM419">
        <v>32721</v>
      </c>
      <c r="AN419">
        <v>753</v>
      </c>
      <c r="AO419">
        <v>736</v>
      </c>
      <c r="AP419">
        <v>1175</v>
      </c>
      <c r="AQ419">
        <v>685</v>
      </c>
      <c r="AR419">
        <v>122</v>
      </c>
      <c r="AS419" t="s">
        <v>11</v>
      </c>
      <c r="AT419">
        <f t="shared" si="66"/>
        <v>1175</v>
      </c>
      <c r="AU419">
        <f t="shared" si="67"/>
        <v>685</v>
      </c>
      <c r="AV419">
        <v>0</v>
      </c>
      <c r="AW419">
        <v>0</v>
      </c>
      <c r="AX419">
        <v>4</v>
      </c>
      <c r="AY419">
        <v>2</v>
      </c>
      <c r="AZ419">
        <f t="shared" si="68"/>
        <v>1175</v>
      </c>
      <c r="BA419">
        <f t="shared" si="69"/>
        <v>685</v>
      </c>
      <c r="BB419">
        <f t="shared" si="74"/>
        <v>753</v>
      </c>
      <c r="BC419">
        <f t="shared" si="75"/>
        <v>736</v>
      </c>
      <c r="BD419" t="s">
        <v>11</v>
      </c>
      <c r="BE419" t="s">
        <v>11</v>
      </c>
      <c r="BF419" t="s">
        <v>11</v>
      </c>
      <c r="BG419" t="s">
        <v>11</v>
      </c>
      <c r="BH419">
        <v>37</v>
      </c>
      <c r="BI419" t="s">
        <v>11</v>
      </c>
      <c r="BJ419">
        <v>53</v>
      </c>
      <c r="BK419" t="s">
        <v>11</v>
      </c>
      <c r="BL419">
        <v>105</v>
      </c>
      <c r="BM419" t="s">
        <v>11</v>
      </c>
      <c r="BN419">
        <v>58</v>
      </c>
      <c r="BO419" t="s">
        <v>11</v>
      </c>
      <c r="BP419" t="str">
        <f t="shared" si="70"/>
        <v>NoData</v>
      </c>
      <c r="BQ419" t="str">
        <f t="shared" si="71"/>
        <v>NoData</v>
      </c>
      <c r="BR419">
        <v>131</v>
      </c>
      <c r="BS419" t="s">
        <v>11</v>
      </c>
      <c r="BT419">
        <v>61</v>
      </c>
      <c r="BU419" t="s">
        <v>11</v>
      </c>
    </row>
    <row r="420" spans="1:73" x14ac:dyDescent="0.25">
      <c r="A420" s="5">
        <v>38565</v>
      </c>
      <c r="B420">
        <v>2806</v>
      </c>
      <c r="C420">
        <v>1557</v>
      </c>
      <c r="D420">
        <v>240</v>
      </c>
      <c r="E420">
        <v>129</v>
      </c>
      <c r="F420">
        <v>8257</v>
      </c>
      <c r="G420">
        <v>4459</v>
      </c>
      <c r="H420">
        <v>2078</v>
      </c>
      <c r="I420">
        <v>1120</v>
      </c>
      <c r="J420">
        <v>1181</v>
      </c>
      <c r="K420">
        <v>1660</v>
      </c>
      <c r="L420">
        <v>69760</v>
      </c>
      <c r="M420">
        <v>44446</v>
      </c>
      <c r="N420">
        <v>690</v>
      </c>
      <c r="O420">
        <v>400</v>
      </c>
      <c r="P420" t="s">
        <v>11</v>
      </c>
      <c r="Q420" t="s">
        <v>11</v>
      </c>
      <c r="R420">
        <v>60</v>
      </c>
      <c r="S420" t="s">
        <v>11</v>
      </c>
      <c r="T420" s="34">
        <v>81410</v>
      </c>
      <c r="U420" s="34">
        <v>36008</v>
      </c>
      <c r="V420" s="34">
        <v>2574</v>
      </c>
      <c r="W420">
        <v>430</v>
      </c>
      <c r="X420">
        <v>2331</v>
      </c>
      <c r="Y420">
        <v>389</v>
      </c>
      <c r="Z420">
        <v>3057</v>
      </c>
      <c r="AA420">
        <v>546</v>
      </c>
      <c r="AB420">
        <v>20314</v>
      </c>
      <c r="AC420">
        <v>15399</v>
      </c>
      <c r="AD420">
        <v>3133</v>
      </c>
      <c r="AE420">
        <v>1974</v>
      </c>
      <c r="AF420">
        <v>4046</v>
      </c>
      <c r="AG420">
        <v>1823</v>
      </c>
      <c r="AH420">
        <f t="shared" si="72"/>
        <v>3133</v>
      </c>
      <c r="AI420">
        <f t="shared" si="73"/>
        <v>1974</v>
      </c>
      <c r="AJ420">
        <v>24210</v>
      </c>
      <c r="AK420">
        <v>13088</v>
      </c>
      <c r="AL420">
        <v>30781</v>
      </c>
      <c r="AM420">
        <v>18818</v>
      </c>
      <c r="AN420">
        <v>0</v>
      </c>
      <c r="AO420">
        <v>-1</v>
      </c>
      <c r="AP420">
        <v>809</v>
      </c>
      <c r="AQ420">
        <v>445</v>
      </c>
      <c r="AR420">
        <v>118</v>
      </c>
      <c r="AS420" t="s">
        <v>11</v>
      </c>
      <c r="AT420">
        <f t="shared" si="66"/>
        <v>809</v>
      </c>
      <c r="AU420">
        <f t="shared" si="67"/>
        <v>445</v>
      </c>
      <c r="AV420">
        <v>0</v>
      </c>
      <c r="AW420">
        <v>0</v>
      </c>
      <c r="AX420">
        <v>4</v>
      </c>
      <c r="AY420">
        <v>2</v>
      </c>
      <c r="AZ420">
        <f t="shared" si="68"/>
        <v>809</v>
      </c>
      <c r="BA420">
        <f t="shared" si="69"/>
        <v>445</v>
      </c>
      <c r="BB420">
        <f t="shared" si="74"/>
        <v>0</v>
      </c>
      <c r="BC420">
        <f t="shared" si="75"/>
        <v>-1</v>
      </c>
      <c r="BD420" t="s">
        <v>11</v>
      </c>
      <c r="BE420" t="s">
        <v>11</v>
      </c>
      <c r="BF420" t="s">
        <v>11</v>
      </c>
      <c r="BG420" t="s">
        <v>11</v>
      </c>
      <c r="BH420">
        <v>35</v>
      </c>
      <c r="BI420" t="s">
        <v>11</v>
      </c>
      <c r="BJ420">
        <v>52</v>
      </c>
      <c r="BK420" t="s">
        <v>11</v>
      </c>
      <c r="BL420">
        <v>102</v>
      </c>
      <c r="BM420" t="s">
        <v>11</v>
      </c>
      <c r="BN420">
        <v>56</v>
      </c>
      <c r="BO420" t="s">
        <v>11</v>
      </c>
      <c r="BP420" t="str">
        <f t="shared" si="70"/>
        <v>NoData</v>
      </c>
      <c r="BQ420" t="str">
        <f t="shared" si="71"/>
        <v>NoData</v>
      </c>
      <c r="BR420">
        <v>126</v>
      </c>
      <c r="BS420" t="s">
        <v>11</v>
      </c>
      <c r="BT420">
        <v>60</v>
      </c>
      <c r="BU420" t="s">
        <v>11</v>
      </c>
    </row>
    <row r="421" spans="1:73" x14ac:dyDescent="0.25">
      <c r="A421" s="5">
        <v>38596</v>
      </c>
      <c r="B421">
        <v>4114</v>
      </c>
      <c r="C421">
        <v>2306</v>
      </c>
      <c r="D421">
        <v>240</v>
      </c>
      <c r="E421">
        <v>129</v>
      </c>
      <c r="F421">
        <v>11739</v>
      </c>
      <c r="G421">
        <v>6339</v>
      </c>
      <c r="H421">
        <v>1979</v>
      </c>
      <c r="I421">
        <v>1066</v>
      </c>
      <c r="J421">
        <v>1456</v>
      </c>
      <c r="K421">
        <v>2084</v>
      </c>
      <c r="L421">
        <v>59930</v>
      </c>
      <c r="M421">
        <v>35676</v>
      </c>
      <c r="N421">
        <v>578</v>
      </c>
      <c r="O421">
        <v>415</v>
      </c>
      <c r="P421" t="s">
        <v>11</v>
      </c>
      <c r="Q421" t="s">
        <v>11</v>
      </c>
      <c r="R421">
        <v>45</v>
      </c>
      <c r="S421" t="s">
        <v>11</v>
      </c>
      <c r="T421" s="34">
        <v>88620</v>
      </c>
      <c r="U421" s="34">
        <v>43023</v>
      </c>
      <c r="V421" s="34">
        <v>2644</v>
      </c>
      <c r="W421">
        <v>442</v>
      </c>
      <c r="X421">
        <v>3395</v>
      </c>
      <c r="Y421">
        <v>567</v>
      </c>
      <c r="Z421">
        <v>3997</v>
      </c>
      <c r="AA421">
        <v>960</v>
      </c>
      <c r="AB421">
        <v>24960</v>
      </c>
      <c r="AC421">
        <v>17031</v>
      </c>
      <c r="AD421">
        <v>2914</v>
      </c>
      <c r="AE421">
        <v>1482</v>
      </c>
      <c r="AF421">
        <v>5802</v>
      </c>
      <c r="AG421">
        <v>2726</v>
      </c>
      <c r="AH421">
        <f t="shared" si="72"/>
        <v>2914</v>
      </c>
      <c r="AI421">
        <f t="shared" si="73"/>
        <v>1482</v>
      </c>
      <c r="AJ421">
        <v>23829</v>
      </c>
      <c r="AK421">
        <v>10960</v>
      </c>
      <c r="AL421">
        <v>39743</v>
      </c>
      <c r="AM421">
        <v>26328</v>
      </c>
      <c r="AN421">
        <v>187</v>
      </c>
      <c r="AO421">
        <v>182</v>
      </c>
      <c r="AP421">
        <v>886</v>
      </c>
      <c r="AQ421">
        <v>472</v>
      </c>
      <c r="AR421">
        <v>92</v>
      </c>
      <c r="AS421" t="s">
        <v>11</v>
      </c>
      <c r="AT421">
        <f t="shared" si="66"/>
        <v>886</v>
      </c>
      <c r="AU421">
        <f t="shared" si="67"/>
        <v>472</v>
      </c>
      <c r="AV421">
        <v>0</v>
      </c>
      <c r="AW421">
        <v>0</v>
      </c>
      <c r="AX421">
        <v>4</v>
      </c>
      <c r="AY421">
        <v>2</v>
      </c>
      <c r="AZ421">
        <f t="shared" si="68"/>
        <v>886</v>
      </c>
      <c r="BA421">
        <f t="shared" si="69"/>
        <v>472</v>
      </c>
      <c r="BB421">
        <f t="shared" si="74"/>
        <v>187</v>
      </c>
      <c r="BC421">
        <f t="shared" si="75"/>
        <v>182</v>
      </c>
      <c r="BD421" t="s">
        <v>11</v>
      </c>
      <c r="BE421" t="s">
        <v>11</v>
      </c>
      <c r="BF421" t="s">
        <v>11</v>
      </c>
      <c r="BG421" t="s">
        <v>11</v>
      </c>
      <c r="BH421">
        <v>28</v>
      </c>
      <c r="BI421" t="s">
        <v>11</v>
      </c>
      <c r="BJ421">
        <v>41</v>
      </c>
      <c r="BK421" t="s">
        <v>11</v>
      </c>
      <c r="BL421">
        <v>79</v>
      </c>
      <c r="BM421" t="s">
        <v>11</v>
      </c>
      <c r="BN421">
        <v>44</v>
      </c>
      <c r="BO421" t="s">
        <v>11</v>
      </c>
      <c r="BP421" t="str">
        <f t="shared" si="70"/>
        <v>NoData</v>
      </c>
      <c r="BQ421" t="str">
        <f t="shared" si="71"/>
        <v>NoData</v>
      </c>
      <c r="BR421">
        <v>99</v>
      </c>
      <c r="BS421" t="s">
        <v>11</v>
      </c>
      <c r="BT421">
        <v>47</v>
      </c>
      <c r="BU421" t="s">
        <v>11</v>
      </c>
    </row>
    <row r="422" spans="1:73" x14ac:dyDescent="0.25">
      <c r="A422" s="5">
        <v>38626</v>
      </c>
      <c r="B422">
        <v>1870</v>
      </c>
      <c r="C422">
        <v>1032</v>
      </c>
      <c r="D422">
        <v>0</v>
      </c>
      <c r="E422">
        <v>0</v>
      </c>
      <c r="F422">
        <v>4643</v>
      </c>
      <c r="G422">
        <v>2507</v>
      </c>
      <c r="H422">
        <v>702</v>
      </c>
      <c r="I422">
        <v>379</v>
      </c>
      <c r="J422">
        <v>950</v>
      </c>
      <c r="K422">
        <v>1809</v>
      </c>
      <c r="L422">
        <v>40160</v>
      </c>
      <c r="M422">
        <v>16905</v>
      </c>
      <c r="N422">
        <v>478</v>
      </c>
      <c r="O422">
        <v>341</v>
      </c>
      <c r="P422" t="s">
        <v>11</v>
      </c>
      <c r="Q422" t="s">
        <v>11</v>
      </c>
      <c r="R422">
        <v>40</v>
      </c>
      <c r="S422" t="s">
        <v>11</v>
      </c>
      <c r="T422" s="34">
        <v>56190</v>
      </c>
      <c r="U422" s="34">
        <v>14060</v>
      </c>
      <c r="V422" s="34">
        <v>5848</v>
      </c>
      <c r="W422">
        <v>977</v>
      </c>
      <c r="X422">
        <v>3267</v>
      </c>
      <c r="Y422">
        <v>546</v>
      </c>
      <c r="Z422">
        <v>5055</v>
      </c>
      <c r="AA422">
        <v>1561</v>
      </c>
      <c r="AB422">
        <v>43233</v>
      </c>
      <c r="AC422">
        <v>29385</v>
      </c>
      <c r="AD422">
        <v>1972</v>
      </c>
      <c r="AE422">
        <v>1044</v>
      </c>
      <c r="AF422">
        <v>6277</v>
      </c>
      <c r="AG422">
        <v>3329</v>
      </c>
      <c r="AH422">
        <f t="shared" si="72"/>
        <v>1972</v>
      </c>
      <c r="AI422">
        <f t="shared" si="73"/>
        <v>1044</v>
      </c>
      <c r="AJ422">
        <v>13755</v>
      </c>
      <c r="AK422">
        <v>6166</v>
      </c>
      <c r="AL422">
        <v>30533</v>
      </c>
      <c r="AM422">
        <v>19105</v>
      </c>
      <c r="AN422">
        <v>445</v>
      </c>
      <c r="AO422">
        <v>428</v>
      </c>
      <c r="AP422">
        <v>615</v>
      </c>
      <c r="AQ422">
        <v>361</v>
      </c>
      <c r="AR422">
        <v>77</v>
      </c>
      <c r="AS422" t="s">
        <v>11</v>
      </c>
      <c r="AT422">
        <f t="shared" si="66"/>
        <v>615</v>
      </c>
      <c r="AU422">
        <f t="shared" si="67"/>
        <v>361</v>
      </c>
      <c r="AV422">
        <v>0</v>
      </c>
      <c r="AW422">
        <v>0</v>
      </c>
      <c r="AX422">
        <v>4</v>
      </c>
      <c r="AY422">
        <v>2</v>
      </c>
      <c r="AZ422">
        <f t="shared" si="68"/>
        <v>615</v>
      </c>
      <c r="BA422">
        <f t="shared" si="69"/>
        <v>361</v>
      </c>
      <c r="BB422">
        <f t="shared" si="74"/>
        <v>445</v>
      </c>
      <c r="BC422">
        <f t="shared" si="75"/>
        <v>428</v>
      </c>
      <c r="BD422" t="s">
        <v>11</v>
      </c>
      <c r="BE422" t="s">
        <v>11</v>
      </c>
      <c r="BF422" t="s">
        <v>11</v>
      </c>
      <c r="BG422" t="s">
        <v>11</v>
      </c>
      <c r="BH422">
        <v>23</v>
      </c>
      <c r="BI422" t="s">
        <v>11</v>
      </c>
      <c r="BJ422">
        <v>34</v>
      </c>
      <c r="BK422" t="s">
        <v>11</v>
      </c>
      <c r="BL422">
        <v>66</v>
      </c>
      <c r="BM422" t="s">
        <v>11</v>
      </c>
      <c r="BN422">
        <v>37</v>
      </c>
      <c r="BO422" t="s">
        <v>11</v>
      </c>
      <c r="BP422" t="str">
        <f t="shared" si="70"/>
        <v>NoData</v>
      </c>
      <c r="BQ422" t="str">
        <f t="shared" si="71"/>
        <v>NoData</v>
      </c>
      <c r="BR422">
        <v>83</v>
      </c>
      <c r="BS422" t="s">
        <v>11</v>
      </c>
      <c r="BT422">
        <v>39</v>
      </c>
      <c r="BU422" t="s">
        <v>11</v>
      </c>
    </row>
    <row r="423" spans="1:73" x14ac:dyDescent="0.25">
      <c r="A423" s="5">
        <v>38657</v>
      </c>
      <c r="B423">
        <v>1530</v>
      </c>
      <c r="C423">
        <v>837</v>
      </c>
      <c r="D423">
        <v>0</v>
      </c>
      <c r="E423">
        <v>0</v>
      </c>
      <c r="F423">
        <v>3010</v>
      </c>
      <c r="G423">
        <v>1625</v>
      </c>
      <c r="H423">
        <v>452</v>
      </c>
      <c r="I423">
        <v>244</v>
      </c>
      <c r="J423">
        <v>1228</v>
      </c>
      <c r="K423">
        <v>1791</v>
      </c>
      <c r="L423">
        <v>26700</v>
      </c>
      <c r="M423">
        <v>7835</v>
      </c>
      <c r="N423">
        <v>346</v>
      </c>
      <c r="O423">
        <v>215</v>
      </c>
      <c r="P423" t="s">
        <v>11</v>
      </c>
      <c r="Q423" t="s">
        <v>11</v>
      </c>
      <c r="R423">
        <v>25</v>
      </c>
      <c r="S423" t="s">
        <v>11</v>
      </c>
      <c r="T423" s="34">
        <v>43990</v>
      </c>
      <c r="U423" s="34">
        <v>5956</v>
      </c>
      <c r="V423" s="34">
        <v>4214</v>
      </c>
      <c r="W423">
        <v>704</v>
      </c>
      <c r="X423">
        <v>3294</v>
      </c>
      <c r="Y423">
        <v>550</v>
      </c>
      <c r="Z423">
        <v>3416</v>
      </c>
      <c r="AA423">
        <v>826</v>
      </c>
      <c r="AB423">
        <v>30576</v>
      </c>
      <c r="AC423">
        <v>18309</v>
      </c>
      <c r="AD423">
        <v>1873</v>
      </c>
      <c r="AE423">
        <v>1257</v>
      </c>
      <c r="AF423">
        <v>5000</v>
      </c>
      <c r="AG423">
        <v>2493</v>
      </c>
      <c r="AH423">
        <f t="shared" si="72"/>
        <v>1873</v>
      </c>
      <c r="AI423">
        <f t="shared" si="73"/>
        <v>1257</v>
      </c>
      <c r="AJ423">
        <v>11582</v>
      </c>
      <c r="AK423">
        <v>6173</v>
      </c>
      <c r="AL423">
        <v>25635</v>
      </c>
      <c r="AM423">
        <v>15190</v>
      </c>
      <c r="AN423">
        <v>338</v>
      </c>
      <c r="AO423">
        <v>327</v>
      </c>
      <c r="AP423">
        <v>513</v>
      </c>
      <c r="AQ423">
        <v>296</v>
      </c>
      <c r="AR423">
        <v>55</v>
      </c>
      <c r="AS423" t="s">
        <v>11</v>
      </c>
      <c r="AT423">
        <f t="shared" si="66"/>
        <v>513</v>
      </c>
      <c r="AU423">
        <f t="shared" si="67"/>
        <v>296</v>
      </c>
      <c r="AV423">
        <v>0</v>
      </c>
      <c r="AW423">
        <v>0</v>
      </c>
      <c r="AX423">
        <v>4</v>
      </c>
      <c r="AY423">
        <v>2</v>
      </c>
      <c r="AZ423">
        <f t="shared" si="68"/>
        <v>513</v>
      </c>
      <c r="BA423">
        <f t="shared" si="69"/>
        <v>296</v>
      </c>
      <c r="BB423">
        <f t="shared" si="74"/>
        <v>338</v>
      </c>
      <c r="BC423">
        <f t="shared" si="75"/>
        <v>327</v>
      </c>
      <c r="BD423" t="s">
        <v>11</v>
      </c>
      <c r="BE423" t="s">
        <v>11</v>
      </c>
      <c r="BF423" t="s">
        <v>11</v>
      </c>
      <c r="BG423" t="s">
        <v>11</v>
      </c>
      <c r="BH423">
        <v>16</v>
      </c>
      <c r="BI423" t="s">
        <v>11</v>
      </c>
      <c r="BJ423">
        <v>24</v>
      </c>
      <c r="BK423" t="s">
        <v>11</v>
      </c>
      <c r="BL423">
        <v>47</v>
      </c>
      <c r="BM423" t="s">
        <v>11</v>
      </c>
      <c r="BN423">
        <v>26</v>
      </c>
      <c r="BO423" t="s">
        <v>11</v>
      </c>
      <c r="BP423" t="str">
        <f t="shared" si="70"/>
        <v>NoData</v>
      </c>
      <c r="BQ423" t="str">
        <f t="shared" si="71"/>
        <v>NoData</v>
      </c>
      <c r="BR423">
        <v>59</v>
      </c>
      <c r="BS423" t="s">
        <v>11</v>
      </c>
      <c r="BT423">
        <v>28</v>
      </c>
      <c r="BU423" t="s">
        <v>11</v>
      </c>
    </row>
    <row r="424" spans="1:73" x14ac:dyDescent="0.25">
      <c r="A424" s="5">
        <v>38687</v>
      </c>
      <c r="B424">
        <v>2358</v>
      </c>
      <c r="C424">
        <v>1273</v>
      </c>
      <c r="D424">
        <v>0</v>
      </c>
      <c r="E424">
        <v>0</v>
      </c>
      <c r="F424">
        <v>1469</v>
      </c>
      <c r="G424">
        <v>793</v>
      </c>
      <c r="H424">
        <v>250</v>
      </c>
      <c r="I424">
        <v>135</v>
      </c>
      <c r="J424">
        <v>938</v>
      </c>
      <c r="K424">
        <v>1499</v>
      </c>
      <c r="L424">
        <v>26120</v>
      </c>
      <c r="M424">
        <v>8263</v>
      </c>
      <c r="N424">
        <v>332</v>
      </c>
      <c r="O424">
        <v>236</v>
      </c>
      <c r="P424" t="s">
        <v>11</v>
      </c>
      <c r="Q424" t="s">
        <v>11</v>
      </c>
      <c r="R424">
        <v>5</v>
      </c>
      <c r="S424" t="s">
        <v>11</v>
      </c>
      <c r="T424" s="34">
        <v>42490</v>
      </c>
      <c r="U424" s="34">
        <v>5781</v>
      </c>
      <c r="V424" s="34">
        <v>2959</v>
      </c>
      <c r="W424">
        <v>494</v>
      </c>
      <c r="X424">
        <v>2115</v>
      </c>
      <c r="Y424">
        <v>353</v>
      </c>
      <c r="Z424">
        <v>3269</v>
      </c>
      <c r="AA424">
        <v>437</v>
      </c>
      <c r="AB424">
        <v>22435</v>
      </c>
      <c r="AC424">
        <v>11157</v>
      </c>
      <c r="AD424">
        <v>1359</v>
      </c>
      <c r="AE424">
        <v>379</v>
      </c>
      <c r="AF424">
        <v>5400</v>
      </c>
      <c r="AG424">
        <v>1576</v>
      </c>
      <c r="AH424">
        <f t="shared" si="72"/>
        <v>1359</v>
      </c>
      <c r="AI424">
        <f t="shared" si="73"/>
        <v>379</v>
      </c>
      <c r="AJ424">
        <v>9883</v>
      </c>
      <c r="AK424">
        <v>2092</v>
      </c>
      <c r="AL424">
        <v>17976</v>
      </c>
      <c r="AM424">
        <v>6350</v>
      </c>
      <c r="AN424">
        <v>374</v>
      </c>
      <c r="AO424">
        <v>364</v>
      </c>
      <c r="AP424">
        <v>556</v>
      </c>
      <c r="AQ424">
        <v>224</v>
      </c>
      <c r="AR424">
        <v>54</v>
      </c>
      <c r="AS424" t="s">
        <v>11</v>
      </c>
      <c r="AT424">
        <f t="shared" si="66"/>
        <v>556</v>
      </c>
      <c r="AU424">
        <f t="shared" si="67"/>
        <v>224</v>
      </c>
      <c r="AV424">
        <v>0</v>
      </c>
      <c r="AW424">
        <v>0</v>
      </c>
      <c r="AX424">
        <v>4</v>
      </c>
      <c r="AY424">
        <v>2</v>
      </c>
      <c r="AZ424">
        <f t="shared" si="68"/>
        <v>556</v>
      </c>
      <c r="BA424">
        <f t="shared" si="69"/>
        <v>224</v>
      </c>
      <c r="BB424">
        <f t="shared" si="74"/>
        <v>374</v>
      </c>
      <c r="BC424">
        <f t="shared" si="75"/>
        <v>364</v>
      </c>
      <c r="BD424" t="s">
        <v>11</v>
      </c>
      <c r="BE424" t="s">
        <v>11</v>
      </c>
      <c r="BF424" t="s">
        <v>11</v>
      </c>
      <c r="BG424" t="s">
        <v>11</v>
      </c>
      <c r="BH424">
        <v>16</v>
      </c>
      <c r="BI424" t="s">
        <v>11</v>
      </c>
      <c r="BJ424">
        <v>23</v>
      </c>
      <c r="BK424" t="s">
        <v>11</v>
      </c>
      <c r="BL424">
        <v>46</v>
      </c>
      <c r="BM424" t="s">
        <v>11</v>
      </c>
      <c r="BN424">
        <v>26</v>
      </c>
      <c r="BO424" t="s">
        <v>11</v>
      </c>
      <c r="BP424" t="str">
        <f t="shared" si="70"/>
        <v>NoData</v>
      </c>
      <c r="BQ424" t="str">
        <f t="shared" si="71"/>
        <v>NoData</v>
      </c>
      <c r="BR424">
        <v>58</v>
      </c>
      <c r="BS424" t="s">
        <v>11</v>
      </c>
      <c r="BT424">
        <v>27</v>
      </c>
      <c r="BU424" t="s">
        <v>11</v>
      </c>
    </row>
    <row r="425" spans="1:73" x14ac:dyDescent="0.25">
      <c r="A425" s="5">
        <v>38718</v>
      </c>
      <c r="B425">
        <v>1057</v>
      </c>
      <c r="C425">
        <v>571</v>
      </c>
      <c r="D425">
        <v>15</v>
      </c>
      <c r="E425">
        <v>8</v>
      </c>
      <c r="F425">
        <v>1788</v>
      </c>
      <c r="G425">
        <v>1087</v>
      </c>
      <c r="H425">
        <v>630</v>
      </c>
      <c r="I425">
        <v>340</v>
      </c>
      <c r="J425">
        <v>812</v>
      </c>
      <c r="K425">
        <v>812</v>
      </c>
      <c r="L425">
        <v>26330</v>
      </c>
      <c r="M425">
        <v>9628</v>
      </c>
      <c r="N425">
        <v>152</v>
      </c>
      <c r="O425">
        <v>152</v>
      </c>
      <c r="P425" t="s">
        <v>11</v>
      </c>
      <c r="Q425" t="s">
        <v>11</v>
      </c>
      <c r="R425">
        <v>25</v>
      </c>
      <c r="S425" t="s">
        <v>11</v>
      </c>
      <c r="T425" s="34">
        <v>36540</v>
      </c>
      <c r="U425" s="34">
        <v>5887</v>
      </c>
      <c r="V425" s="34">
        <v>2647</v>
      </c>
      <c r="W425">
        <v>442</v>
      </c>
      <c r="X425">
        <v>2401</v>
      </c>
      <c r="Y425">
        <v>401</v>
      </c>
      <c r="Z425">
        <v>2657</v>
      </c>
      <c r="AA425">
        <v>493</v>
      </c>
      <c r="AB425">
        <v>21802</v>
      </c>
      <c r="AC425">
        <v>13059</v>
      </c>
      <c r="AD425">
        <v>1407</v>
      </c>
      <c r="AE425">
        <v>117</v>
      </c>
      <c r="AF425">
        <v>4121</v>
      </c>
      <c r="AG425">
        <v>1830</v>
      </c>
      <c r="AH425">
        <f t="shared" si="72"/>
        <v>1407</v>
      </c>
      <c r="AI425">
        <f t="shared" si="73"/>
        <v>117</v>
      </c>
      <c r="AJ425">
        <v>9961</v>
      </c>
      <c r="AK425">
        <v>772</v>
      </c>
      <c r="AL425">
        <v>18898</v>
      </c>
      <c r="AM425">
        <v>7090</v>
      </c>
      <c r="AN425">
        <v>381</v>
      </c>
      <c r="AO425">
        <v>374</v>
      </c>
      <c r="AP425">
        <v>378</v>
      </c>
      <c r="AQ425">
        <v>195</v>
      </c>
      <c r="AR425">
        <v>33</v>
      </c>
      <c r="AS425" t="s">
        <v>11</v>
      </c>
      <c r="AT425">
        <f t="shared" si="66"/>
        <v>378</v>
      </c>
      <c r="AU425">
        <f t="shared" si="67"/>
        <v>195</v>
      </c>
      <c r="AV425">
        <v>0</v>
      </c>
      <c r="AW425">
        <v>0</v>
      </c>
      <c r="AX425">
        <v>4</v>
      </c>
      <c r="AY425">
        <v>2</v>
      </c>
      <c r="AZ425">
        <f t="shared" si="68"/>
        <v>378</v>
      </c>
      <c r="BA425">
        <f t="shared" si="69"/>
        <v>195</v>
      </c>
      <c r="BB425">
        <f t="shared" si="74"/>
        <v>381</v>
      </c>
      <c r="BC425">
        <f t="shared" si="75"/>
        <v>374</v>
      </c>
      <c r="BD425">
        <v>47</v>
      </c>
      <c r="BE425">
        <v>31</v>
      </c>
      <c r="BF425" t="s">
        <v>11</v>
      </c>
      <c r="BG425" t="s">
        <v>11</v>
      </c>
      <c r="BH425">
        <v>12</v>
      </c>
      <c r="BI425" t="s">
        <v>11</v>
      </c>
      <c r="BJ425">
        <v>17</v>
      </c>
      <c r="BK425" t="s">
        <v>11</v>
      </c>
      <c r="BL425">
        <v>33</v>
      </c>
      <c r="BM425" t="s">
        <v>11</v>
      </c>
      <c r="BN425">
        <v>13</v>
      </c>
      <c r="BO425" t="s">
        <v>11</v>
      </c>
      <c r="BP425" t="str">
        <f t="shared" si="70"/>
        <v>NoData</v>
      </c>
      <c r="BQ425" t="str">
        <f t="shared" si="71"/>
        <v>NoData</v>
      </c>
      <c r="BR425">
        <v>44</v>
      </c>
      <c r="BS425" t="s">
        <v>11</v>
      </c>
      <c r="BT425">
        <v>21</v>
      </c>
      <c r="BU425" t="s">
        <v>11</v>
      </c>
    </row>
    <row r="426" spans="1:73" x14ac:dyDescent="0.25">
      <c r="A426" s="5">
        <v>38749</v>
      </c>
      <c r="B426">
        <v>1992</v>
      </c>
      <c r="C426">
        <v>1076</v>
      </c>
      <c r="D426">
        <v>11</v>
      </c>
      <c r="E426">
        <v>6</v>
      </c>
      <c r="F426">
        <v>3792</v>
      </c>
      <c r="G426">
        <v>2185</v>
      </c>
      <c r="H426">
        <v>1141</v>
      </c>
      <c r="I426">
        <v>615</v>
      </c>
      <c r="J426">
        <v>1263</v>
      </c>
      <c r="K426">
        <v>1263</v>
      </c>
      <c r="L426">
        <v>31450</v>
      </c>
      <c r="M426">
        <v>15606</v>
      </c>
      <c r="N426">
        <v>176</v>
      </c>
      <c r="O426">
        <v>176</v>
      </c>
      <c r="P426" t="s">
        <v>11</v>
      </c>
      <c r="Q426" t="s">
        <v>11</v>
      </c>
      <c r="R426">
        <v>20</v>
      </c>
      <c r="S426" t="s">
        <v>11</v>
      </c>
      <c r="T426" s="34">
        <v>51620</v>
      </c>
      <c r="U426" s="34">
        <v>18901</v>
      </c>
      <c r="V426" s="34">
        <v>2333</v>
      </c>
      <c r="W426">
        <v>390</v>
      </c>
      <c r="X426">
        <v>2076</v>
      </c>
      <c r="Y426">
        <v>347</v>
      </c>
      <c r="Z426">
        <v>3284</v>
      </c>
      <c r="AA426">
        <v>908</v>
      </c>
      <c r="AB426">
        <v>23452</v>
      </c>
      <c r="AC426">
        <v>15392</v>
      </c>
      <c r="AD426">
        <v>1130</v>
      </c>
      <c r="AE426">
        <v>-137</v>
      </c>
      <c r="AF426">
        <v>4330</v>
      </c>
      <c r="AG426">
        <v>2540</v>
      </c>
      <c r="AH426">
        <f t="shared" si="72"/>
        <v>1130</v>
      </c>
      <c r="AI426">
        <f t="shared" si="73"/>
        <v>-137</v>
      </c>
      <c r="AJ426">
        <v>8675</v>
      </c>
      <c r="AK426">
        <v>47</v>
      </c>
      <c r="AL426">
        <v>24980</v>
      </c>
      <c r="AM426">
        <v>15861</v>
      </c>
      <c r="AN426">
        <v>398</v>
      </c>
      <c r="AO426">
        <v>393</v>
      </c>
      <c r="AP426">
        <v>412</v>
      </c>
      <c r="AQ426">
        <v>248</v>
      </c>
      <c r="AR426">
        <v>41</v>
      </c>
      <c r="AS426" t="s">
        <v>11</v>
      </c>
      <c r="AT426">
        <f t="shared" si="66"/>
        <v>412</v>
      </c>
      <c r="AU426">
        <f t="shared" si="67"/>
        <v>248</v>
      </c>
      <c r="AV426">
        <v>0</v>
      </c>
      <c r="AW426">
        <v>0</v>
      </c>
      <c r="AX426">
        <v>4</v>
      </c>
      <c r="AY426">
        <v>2</v>
      </c>
      <c r="AZ426">
        <f t="shared" si="68"/>
        <v>412</v>
      </c>
      <c r="BA426">
        <f t="shared" si="69"/>
        <v>248</v>
      </c>
      <c r="BB426">
        <f t="shared" si="74"/>
        <v>398</v>
      </c>
      <c r="BC426">
        <f t="shared" si="75"/>
        <v>393</v>
      </c>
      <c r="BD426">
        <v>39</v>
      </c>
      <c r="BE426">
        <v>25</v>
      </c>
      <c r="BF426" t="s">
        <v>11</v>
      </c>
      <c r="BG426" t="s">
        <v>11</v>
      </c>
      <c r="BH426">
        <v>15</v>
      </c>
      <c r="BI426" t="s">
        <v>11</v>
      </c>
      <c r="BJ426">
        <v>21</v>
      </c>
      <c r="BK426" t="s">
        <v>11</v>
      </c>
      <c r="BL426">
        <v>41</v>
      </c>
      <c r="BM426" t="s">
        <v>11</v>
      </c>
      <c r="BN426">
        <v>17</v>
      </c>
      <c r="BO426" t="s">
        <v>11</v>
      </c>
      <c r="BP426" t="str">
        <f t="shared" si="70"/>
        <v>NoData</v>
      </c>
      <c r="BQ426" t="str">
        <f t="shared" si="71"/>
        <v>NoData</v>
      </c>
      <c r="BR426">
        <v>55</v>
      </c>
      <c r="BS426" t="s">
        <v>11</v>
      </c>
      <c r="BT426">
        <v>26</v>
      </c>
      <c r="BU426" t="s">
        <v>11</v>
      </c>
    </row>
    <row r="427" spans="1:73" x14ac:dyDescent="0.25">
      <c r="A427" s="5">
        <v>38777</v>
      </c>
      <c r="B427">
        <v>2363</v>
      </c>
      <c r="C427">
        <v>1314</v>
      </c>
      <c r="D427">
        <v>30</v>
      </c>
      <c r="E427">
        <v>16</v>
      </c>
      <c r="F427">
        <v>4909</v>
      </c>
      <c r="G427">
        <v>2883</v>
      </c>
      <c r="H427">
        <v>1399</v>
      </c>
      <c r="I427">
        <v>754</v>
      </c>
      <c r="J427">
        <v>1056</v>
      </c>
      <c r="K427">
        <v>1056</v>
      </c>
      <c r="L427">
        <v>45580</v>
      </c>
      <c r="M427">
        <v>24999</v>
      </c>
      <c r="N427">
        <v>231</v>
      </c>
      <c r="O427">
        <v>231</v>
      </c>
      <c r="P427" t="s">
        <v>11</v>
      </c>
      <c r="Q427" t="s">
        <v>11</v>
      </c>
      <c r="R427">
        <v>30</v>
      </c>
      <c r="S427" t="s">
        <v>11</v>
      </c>
      <c r="T427" s="34">
        <v>61870</v>
      </c>
      <c r="U427" s="34">
        <v>23443</v>
      </c>
      <c r="V427" s="34">
        <v>3472</v>
      </c>
      <c r="W427">
        <v>622</v>
      </c>
      <c r="X427">
        <v>3978</v>
      </c>
      <c r="Y427">
        <v>664</v>
      </c>
      <c r="Z427">
        <v>3965</v>
      </c>
      <c r="AA427">
        <v>1087</v>
      </c>
      <c r="AB427">
        <v>33192</v>
      </c>
      <c r="AC427">
        <v>25863</v>
      </c>
      <c r="AD427">
        <v>1751</v>
      </c>
      <c r="AE427">
        <v>224</v>
      </c>
      <c r="AF427">
        <v>5964</v>
      </c>
      <c r="AG427">
        <v>2665</v>
      </c>
      <c r="AH427">
        <f t="shared" si="72"/>
        <v>1751</v>
      </c>
      <c r="AI427">
        <f t="shared" si="73"/>
        <v>224</v>
      </c>
      <c r="AJ427">
        <v>13529</v>
      </c>
      <c r="AK427">
        <v>2108</v>
      </c>
      <c r="AL427">
        <v>31912</v>
      </c>
      <c r="AM427">
        <v>18787</v>
      </c>
      <c r="AN427">
        <v>479</v>
      </c>
      <c r="AO427">
        <v>483</v>
      </c>
      <c r="AP427">
        <v>603</v>
      </c>
      <c r="AQ427">
        <v>297</v>
      </c>
      <c r="AR427">
        <v>56</v>
      </c>
      <c r="AS427" t="s">
        <v>11</v>
      </c>
      <c r="AT427">
        <f t="shared" si="66"/>
        <v>603</v>
      </c>
      <c r="AU427">
        <f t="shared" si="67"/>
        <v>297</v>
      </c>
      <c r="AV427">
        <v>0</v>
      </c>
      <c r="AW427">
        <v>0</v>
      </c>
      <c r="AX427">
        <v>4</v>
      </c>
      <c r="AY427">
        <v>2</v>
      </c>
      <c r="AZ427">
        <f t="shared" si="68"/>
        <v>603</v>
      </c>
      <c r="BA427">
        <f t="shared" si="69"/>
        <v>297</v>
      </c>
      <c r="BB427">
        <f t="shared" si="74"/>
        <v>479</v>
      </c>
      <c r="BC427">
        <f t="shared" si="75"/>
        <v>483</v>
      </c>
      <c r="BD427">
        <v>45</v>
      </c>
      <c r="BE427">
        <v>29</v>
      </c>
      <c r="BF427" t="s">
        <v>11</v>
      </c>
      <c r="BG427" t="s">
        <v>11</v>
      </c>
      <c r="BH427">
        <v>20</v>
      </c>
      <c r="BI427" t="s">
        <v>11</v>
      </c>
      <c r="BJ427">
        <v>29</v>
      </c>
      <c r="BK427" t="s">
        <v>11</v>
      </c>
      <c r="BL427">
        <v>56</v>
      </c>
      <c r="BM427" t="s">
        <v>11</v>
      </c>
      <c r="BN427">
        <v>23</v>
      </c>
      <c r="BO427" t="s">
        <v>11</v>
      </c>
      <c r="BP427" t="str">
        <f t="shared" si="70"/>
        <v>NoData</v>
      </c>
      <c r="BQ427" t="str">
        <f t="shared" si="71"/>
        <v>NoData</v>
      </c>
      <c r="BR427">
        <v>75</v>
      </c>
      <c r="BS427" t="s">
        <v>11</v>
      </c>
      <c r="BT427">
        <v>35</v>
      </c>
      <c r="BU427" t="s">
        <v>11</v>
      </c>
    </row>
    <row r="428" spans="1:73" x14ac:dyDescent="0.25">
      <c r="A428" s="5">
        <v>38808</v>
      </c>
      <c r="B428">
        <v>3163</v>
      </c>
      <c r="C428">
        <v>1771</v>
      </c>
      <c r="D428">
        <v>17</v>
      </c>
      <c r="E428">
        <v>9</v>
      </c>
      <c r="F428">
        <v>4941</v>
      </c>
      <c r="G428">
        <v>3128</v>
      </c>
      <c r="H428">
        <v>2081</v>
      </c>
      <c r="I428">
        <v>1121</v>
      </c>
      <c r="J428">
        <v>1287</v>
      </c>
      <c r="K428">
        <v>1287</v>
      </c>
      <c r="L428">
        <v>56700</v>
      </c>
      <c r="M428">
        <v>35346</v>
      </c>
      <c r="N428">
        <v>255</v>
      </c>
      <c r="O428">
        <v>255</v>
      </c>
      <c r="P428" t="s">
        <v>11</v>
      </c>
      <c r="Q428" t="s">
        <v>11</v>
      </c>
      <c r="R428">
        <v>15</v>
      </c>
      <c r="S428" t="s">
        <v>11</v>
      </c>
      <c r="T428" s="34">
        <v>72490</v>
      </c>
      <c r="U428" s="34">
        <v>33458</v>
      </c>
      <c r="V428" s="34">
        <v>5288</v>
      </c>
      <c r="W428">
        <v>883</v>
      </c>
      <c r="X428">
        <v>4854</v>
      </c>
      <c r="Y428">
        <v>811</v>
      </c>
      <c r="Z428">
        <v>4029</v>
      </c>
      <c r="AA428">
        <v>1223</v>
      </c>
      <c r="AB428">
        <v>42468</v>
      </c>
      <c r="AC428">
        <v>34553</v>
      </c>
      <c r="AD428">
        <v>2114</v>
      </c>
      <c r="AE428">
        <v>543</v>
      </c>
      <c r="AF428">
        <v>6802</v>
      </c>
      <c r="AG428">
        <v>3825</v>
      </c>
      <c r="AH428">
        <f t="shared" si="72"/>
        <v>2114</v>
      </c>
      <c r="AI428">
        <f t="shared" si="73"/>
        <v>543</v>
      </c>
      <c r="AJ428">
        <v>14847</v>
      </c>
      <c r="AK428">
        <v>3376</v>
      </c>
      <c r="AL428">
        <v>43787</v>
      </c>
      <c r="AM428">
        <v>34774</v>
      </c>
      <c r="AN428">
        <v>330</v>
      </c>
      <c r="AO428">
        <v>328</v>
      </c>
      <c r="AP428">
        <v>758</v>
      </c>
      <c r="AQ428">
        <v>437</v>
      </c>
      <c r="AR428">
        <v>60</v>
      </c>
      <c r="AS428" t="s">
        <v>11</v>
      </c>
      <c r="AT428">
        <f t="shared" si="66"/>
        <v>758</v>
      </c>
      <c r="AU428">
        <f t="shared" si="67"/>
        <v>437</v>
      </c>
      <c r="AV428">
        <v>0</v>
      </c>
      <c r="AW428">
        <v>0</v>
      </c>
      <c r="AX428">
        <v>4</v>
      </c>
      <c r="AY428">
        <v>2</v>
      </c>
      <c r="AZ428">
        <f t="shared" si="68"/>
        <v>758</v>
      </c>
      <c r="BA428">
        <f t="shared" si="69"/>
        <v>437</v>
      </c>
      <c r="BB428">
        <f t="shared" si="74"/>
        <v>330</v>
      </c>
      <c r="BC428">
        <f t="shared" si="75"/>
        <v>328</v>
      </c>
      <c r="BD428">
        <v>95</v>
      </c>
      <c r="BE428">
        <v>62</v>
      </c>
      <c r="BF428" t="s">
        <v>11</v>
      </c>
      <c r="BG428" t="s">
        <v>11</v>
      </c>
      <c r="BH428">
        <v>22</v>
      </c>
      <c r="BI428" t="s">
        <v>11</v>
      </c>
      <c r="BJ428">
        <v>31</v>
      </c>
      <c r="BK428" t="s">
        <v>11</v>
      </c>
      <c r="BL428">
        <v>61</v>
      </c>
      <c r="BM428" t="s">
        <v>11</v>
      </c>
      <c r="BN428">
        <v>25</v>
      </c>
      <c r="BO428" t="s">
        <v>11</v>
      </c>
      <c r="BP428" t="str">
        <f t="shared" si="70"/>
        <v>NoData</v>
      </c>
      <c r="BQ428" t="str">
        <f t="shared" si="71"/>
        <v>NoData</v>
      </c>
      <c r="BR428">
        <v>81</v>
      </c>
      <c r="BS428" t="s">
        <v>11</v>
      </c>
      <c r="BT428">
        <v>38</v>
      </c>
      <c r="BU428" t="s">
        <v>11</v>
      </c>
    </row>
    <row r="429" spans="1:73" x14ac:dyDescent="0.25">
      <c r="A429" s="5">
        <v>38838</v>
      </c>
      <c r="B429">
        <v>3146</v>
      </c>
      <c r="C429">
        <v>1751</v>
      </c>
      <c r="D429">
        <v>23</v>
      </c>
      <c r="E429">
        <v>12</v>
      </c>
      <c r="F429">
        <v>7384</v>
      </c>
      <c r="G429">
        <v>4489</v>
      </c>
      <c r="H429">
        <v>2129</v>
      </c>
      <c r="I429">
        <v>1147</v>
      </c>
      <c r="J429">
        <v>2192</v>
      </c>
      <c r="K429">
        <v>2192</v>
      </c>
      <c r="L429">
        <v>74390</v>
      </c>
      <c r="M429">
        <v>50491</v>
      </c>
      <c r="N429">
        <v>321</v>
      </c>
      <c r="O429">
        <v>321</v>
      </c>
      <c r="P429" t="s">
        <v>11</v>
      </c>
      <c r="Q429" t="s">
        <v>11</v>
      </c>
      <c r="R429">
        <v>0</v>
      </c>
      <c r="S429" t="s">
        <v>11</v>
      </c>
      <c r="T429" s="34">
        <v>91720</v>
      </c>
      <c r="U429" s="34">
        <v>46437</v>
      </c>
      <c r="V429" s="34">
        <v>4780</v>
      </c>
      <c r="W429">
        <v>798</v>
      </c>
      <c r="X429">
        <v>5971</v>
      </c>
      <c r="Y429">
        <v>997</v>
      </c>
      <c r="Z429">
        <v>5320</v>
      </c>
      <c r="AA429">
        <v>1798</v>
      </c>
      <c r="AB429">
        <v>41026</v>
      </c>
      <c r="AC429">
        <v>31425</v>
      </c>
      <c r="AD429">
        <v>3344</v>
      </c>
      <c r="AE429">
        <v>2266</v>
      </c>
      <c r="AF429">
        <v>7138</v>
      </c>
      <c r="AG429">
        <v>4346</v>
      </c>
      <c r="AH429">
        <f t="shared" si="72"/>
        <v>3344</v>
      </c>
      <c r="AI429">
        <f t="shared" si="73"/>
        <v>2266</v>
      </c>
      <c r="AJ429">
        <v>23026</v>
      </c>
      <c r="AK429">
        <v>13061</v>
      </c>
      <c r="AL429">
        <v>48630</v>
      </c>
      <c r="AM429">
        <v>39759</v>
      </c>
      <c r="AN429">
        <v>424</v>
      </c>
      <c r="AO429">
        <v>410</v>
      </c>
      <c r="AP429">
        <v>1156</v>
      </c>
      <c r="AQ429">
        <v>683</v>
      </c>
      <c r="AR429">
        <v>74</v>
      </c>
      <c r="AS429" t="s">
        <v>11</v>
      </c>
      <c r="AT429">
        <f t="shared" si="66"/>
        <v>1156</v>
      </c>
      <c r="AU429">
        <f t="shared" si="67"/>
        <v>683</v>
      </c>
      <c r="AV429">
        <v>0</v>
      </c>
      <c r="AW429">
        <v>0</v>
      </c>
      <c r="AX429">
        <v>4</v>
      </c>
      <c r="AY429">
        <v>2</v>
      </c>
      <c r="AZ429">
        <f t="shared" si="68"/>
        <v>1156</v>
      </c>
      <c r="BA429">
        <f t="shared" si="69"/>
        <v>683</v>
      </c>
      <c r="BB429">
        <f t="shared" si="74"/>
        <v>424</v>
      </c>
      <c r="BC429">
        <f t="shared" si="75"/>
        <v>410</v>
      </c>
      <c r="BD429">
        <v>98</v>
      </c>
      <c r="BE429">
        <v>64</v>
      </c>
      <c r="BF429" t="s">
        <v>11</v>
      </c>
      <c r="BG429" t="s">
        <v>11</v>
      </c>
      <c r="BH429">
        <v>27</v>
      </c>
      <c r="BI429" t="s">
        <v>11</v>
      </c>
      <c r="BJ429">
        <v>38</v>
      </c>
      <c r="BK429" t="s">
        <v>11</v>
      </c>
      <c r="BL429">
        <v>74</v>
      </c>
      <c r="BM429" t="s">
        <v>11</v>
      </c>
      <c r="BN429">
        <v>30</v>
      </c>
      <c r="BO429" t="s">
        <v>11</v>
      </c>
      <c r="BP429" t="str">
        <f t="shared" si="70"/>
        <v>NoData</v>
      </c>
      <c r="BQ429" t="str">
        <f t="shared" si="71"/>
        <v>NoData</v>
      </c>
      <c r="BR429">
        <v>99</v>
      </c>
      <c r="BS429" t="s">
        <v>11</v>
      </c>
      <c r="BT429">
        <v>47</v>
      </c>
      <c r="BU429" t="s">
        <v>11</v>
      </c>
    </row>
    <row r="430" spans="1:73" x14ac:dyDescent="0.25">
      <c r="A430" s="5">
        <v>38869</v>
      </c>
      <c r="B430">
        <v>6543</v>
      </c>
      <c r="C430">
        <v>3556</v>
      </c>
      <c r="D430">
        <v>25</v>
      </c>
      <c r="E430">
        <v>13</v>
      </c>
      <c r="F430">
        <v>8241</v>
      </c>
      <c r="G430">
        <v>5196</v>
      </c>
      <c r="H430">
        <v>2972</v>
      </c>
      <c r="I430">
        <v>1601</v>
      </c>
      <c r="J430">
        <v>3191</v>
      </c>
      <c r="K430">
        <v>3191</v>
      </c>
      <c r="L430">
        <v>75370</v>
      </c>
      <c r="M430">
        <v>50761</v>
      </c>
      <c r="N430">
        <v>384</v>
      </c>
      <c r="O430">
        <v>384</v>
      </c>
      <c r="P430" t="s">
        <v>11</v>
      </c>
      <c r="Q430" t="s">
        <v>11</v>
      </c>
      <c r="R430">
        <v>30</v>
      </c>
      <c r="S430" t="s">
        <v>11</v>
      </c>
      <c r="T430" s="34">
        <v>98680</v>
      </c>
      <c r="U430" s="34">
        <v>52785</v>
      </c>
      <c r="V430" s="34">
        <v>1529</v>
      </c>
      <c r="W430">
        <v>255</v>
      </c>
      <c r="X430">
        <v>3493</v>
      </c>
      <c r="Y430">
        <v>583</v>
      </c>
      <c r="Z430">
        <v>5018</v>
      </c>
      <c r="AA430">
        <v>1541</v>
      </c>
      <c r="AB430">
        <v>26307</v>
      </c>
      <c r="AC430">
        <v>18865</v>
      </c>
      <c r="AD430">
        <v>3325</v>
      </c>
      <c r="AE430">
        <v>2265</v>
      </c>
      <c r="AF430">
        <v>6610</v>
      </c>
      <c r="AG430">
        <v>3895</v>
      </c>
      <c r="AH430">
        <f t="shared" si="72"/>
        <v>3325</v>
      </c>
      <c r="AI430">
        <f t="shared" si="73"/>
        <v>2265</v>
      </c>
      <c r="AJ430">
        <v>24352</v>
      </c>
      <c r="AK430">
        <v>14244</v>
      </c>
      <c r="AL430">
        <v>46569</v>
      </c>
      <c r="AM430">
        <v>36370</v>
      </c>
      <c r="AN430">
        <v>661</v>
      </c>
      <c r="AO430">
        <v>643</v>
      </c>
      <c r="AP430">
        <v>1437</v>
      </c>
      <c r="AQ430">
        <v>853</v>
      </c>
      <c r="AR430">
        <v>90</v>
      </c>
      <c r="AS430" t="s">
        <v>11</v>
      </c>
      <c r="AT430">
        <f t="shared" ref="AT430:AT493" si="76">AP430</f>
        <v>1437</v>
      </c>
      <c r="AU430">
        <f t="shared" ref="AU430:AU493" si="77">AQ430</f>
        <v>853</v>
      </c>
      <c r="AV430">
        <v>0</v>
      </c>
      <c r="AW430">
        <v>0</v>
      </c>
      <c r="AX430">
        <v>4</v>
      </c>
      <c r="AY430">
        <v>2</v>
      </c>
      <c r="AZ430">
        <f t="shared" ref="AZ430:AZ493" si="78">AT430</f>
        <v>1437</v>
      </c>
      <c r="BA430">
        <f t="shared" ref="BA430:BA493" si="79">AU430</f>
        <v>853</v>
      </c>
      <c r="BB430">
        <f t="shared" si="74"/>
        <v>661</v>
      </c>
      <c r="BC430">
        <f t="shared" si="75"/>
        <v>643</v>
      </c>
      <c r="BD430">
        <v>102</v>
      </c>
      <c r="BE430">
        <v>66</v>
      </c>
      <c r="BF430" t="s">
        <v>11</v>
      </c>
      <c r="BG430" t="s">
        <v>11</v>
      </c>
      <c r="BH430">
        <v>33</v>
      </c>
      <c r="BI430" t="s">
        <v>11</v>
      </c>
      <c r="BJ430">
        <v>47</v>
      </c>
      <c r="BK430" t="s">
        <v>11</v>
      </c>
      <c r="BL430">
        <v>90</v>
      </c>
      <c r="BM430" t="s">
        <v>11</v>
      </c>
      <c r="BN430">
        <v>36</v>
      </c>
      <c r="BO430" t="s">
        <v>11</v>
      </c>
      <c r="BP430" t="str">
        <f t="shared" si="70"/>
        <v>NoData</v>
      </c>
      <c r="BQ430" t="str">
        <f t="shared" si="71"/>
        <v>NoData</v>
      </c>
      <c r="BR430">
        <v>120</v>
      </c>
      <c r="BS430" t="s">
        <v>11</v>
      </c>
      <c r="BT430">
        <v>57</v>
      </c>
      <c r="BU430" t="s">
        <v>11</v>
      </c>
    </row>
    <row r="431" spans="1:73" x14ac:dyDescent="0.25">
      <c r="A431" s="5">
        <v>38899</v>
      </c>
      <c r="B431">
        <v>4096</v>
      </c>
      <c r="C431">
        <v>2238</v>
      </c>
      <c r="D431">
        <v>29</v>
      </c>
      <c r="E431">
        <v>16</v>
      </c>
      <c r="F431">
        <v>8700</v>
      </c>
      <c r="G431">
        <v>5364</v>
      </c>
      <c r="H431">
        <v>2096</v>
      </c>
      <c r="I431">
        <v>1129</v>
      </c>
      <c r="J431">
        <v>2943</v>
      </c>
      <c r="K431">
        <v>2943</v>
      </c>
      <c r="L431">
        <v>76640</v>
      </c>
      <c r="M431">
        <v>49225</v>
      </c>
      <c r="N431">
        <v>420</v>
      </c>
      <c r="O431">
        <v>420</v>
      </c>
      <c r="P431" t="s">
        <v>11</v>
      </c>
      <c r="Q431" t="s">
        <v>11</v>
      </c>
      <c r="R431">
        <v>15</v>
      </c>
      <c r="S431" t="s">
        <v>11</v>
      </c>
      <c r="T431" s="34">
        <v>102400</v>
      </c>
      <c r="U431" s="34">
        <v>55463</v>
      </c>
      <c r="V431" s="34">
        <v>1866</v>
      </c>
      <c r="W431">
        <v>312</v>
      </c>
      <c r="X431">
        <v>3955</v>
      </c>
      <c r="Y431">
        <v>660</v>
      </c>
      <c r="Z431">
        <v>4587</v>
      </c>
      <c r="AA431">
        <v>1422</v>
      </c>
      <c r="AB431">
        <v>27666</v>
      </c>
      <c r="AC431">
        <v>20014</v>
      </c>
      <c r="AD431">
        <v>3278</v>
      </c>
      <c r="AE431">
        <v>2090</v>
      </c>
      <c r="AF431">
        <v>5277</v>
      </c>
      <c r="AG431">
        <v>3270</v>
      </c>
      <c r="AH431">
        <f t="shared" si="72"/>
        <v>3278</v>
      </c>
      <c r="AI431">
        <f t="shared" si="73"/>
        <v>2090</v>
      </c>
      <c r="AJ431">
        <v>21863</v>
      </c>
      <c r="AK431">
        <v>11636</v>
      </c>
      <c r="AL431">
        <v>39901</v>
      </c>
      <c r="AM431">
        <v>30413</v>
      </c>
      <c r="AN431">
        <v>1139</v>
      </c>
      <c r="AO431">
        <v>1128</v>
      </c>
      <c r="AP431">
        <v>1587</v>
      </c>
      <c r="AQ431">
        <v>899</v>
      </c>
      <c r="AR431">
        <v>98</v>
      </c>
      <c r="AS431" t="s">
        <v>11</v>
      </c>
      <c r="AT431">
        <f t="shared" si="76"/>
        <v>1587</v>
      </c>
      <c r="AU431">
        <f t="shared" si="77"/>
        <v>899</v>
      </c>
      <c r="AV431">
        <v>0</v>
      </c>
      <c r="AW431">
        <v>0</v>
      </c>
      <c r="AX431">
        <v>4</v>
      </c>
      <c r="AY431">
        <v>2</v>
      </c>
      <c r="AZ431">
        <f t="shared" si="78"/>
        <v>1587</v>
      </c>
      <c r="BA431">
        <f t="shared" si="79"/>
        <v>899</v>
      </c>
      <c r="BB431">
        <f t="shared" si="74"/>
        <v>1139</v>
      </c>
      <c r="BC431">
        <f t="shared" si="75"/>
        <v>1128</v>
      </c>
      <c r="BD431">
        <v>90</v>
      </c>
      <c r="BE431">
        <v>59</v>
      </c>
      <c r="BF431" t="s">
        <v>11</v>
      </c>
      <c r="BG431" t="s">
        <v>11</v>
      </c>
      <c r="BH431">
        <v>36</v>
      </c>
      <c r="BI431" t="s">
        <v>11</v>
      </c>
      <c r="BJ431">
        <v>52</v>
      </c>
      <c r="BK431" t="s">
        <v>11</v>
      </c>
      <c r="BL431">
        <v>98</v>
      </c>
      <c r="BM431" t="s">
        <v>11</v>
      </c>
      <c r="BN431">
        <v>40</v>
      </c>
      <c r="BO431" t="s">
        <v>11</v>
      </c>
      <c r="BP431" t="str">
        <f t="shared" si="70"/>
        <v>NoData</v>
      </c>
      <c r="BQ431" t="str">
        <f t="shared" si="71"/>
        <v>NoData</v>
      </c>
      <c r="BR431">
        <v>131</v>
      </c>
      <c r="BS431" t="s">
        <v>11</v>
      </c>
      <c r="BT431">
        <v>61</v>
      </c>
      <c r="BU431" t="s">
        <v>11</v>
      </c>
    </row>
    <row r="432" spans="1:73" x14ac:dyDescent="0.25">
      <c r="A432" s="5">
        <v>38930</v>
      </c>
      <c r="B432">
        <v>3423</v>
      </c>
      <c r="C432">
        <v>1900</v>
      </c>
      <c r="D432">
        <v>26</v>
      </c>
      <c r="E432">
        <v>14</v>
      </c>
      <c r="F432">
        <v>9324</v>
      </c>
      <c r="G432">
        <v>5757</v>
      </c>
      <c r="H432">
        <v>2794</v>
      </c>
      <c r="I432">
        <v>1505</v>
      </c>
      <c r="J432">
        <v>3162</v>
      </c>
      <c r="K432">
        <v>3162</v>
      </c>
      <c r="L432">
        <v>69220</v>
      </c>
      <c r="M432">
        <v>42631</v>
      </c>
      <c r="N432">
        <v>409</v>
      </c>
      <c r="O432">
        <v>409</v>
      </c>
      <c r="P432" t="s">
        <v>11</v>
      </c>
      <c r="Q432" t="s">
        <v>11</v>
      </c>
      <c r="R432">
        <v>10</v>
      </c>
      <c r="S432" t="s">
        <v>11</v>
      </c>
      <c r="T432" s="34">
        <v>103700</v>
      </c>
      <c r="U432" s="34">
        <v>54649</v>
      </c>
      <c r="V432" s="34">
        <v>1859</v>
      </c>
      <c r="W432">
        <v>310</v>
      </c>
      <c r="X432">
        <v>2125</v>
      </c>
      <c r="Y432">
        <v>355</v>
      </c>
      <c r="Z432">
        <v>2612</v>
      </c>
      <c r="AA432">
        <v>393</v>
      </c>
      <c r="AB432">
        <v>21312</v>
      </c>
      <c r="AC432">
        <v>14258</v>
      </c>
      <c r="AD432">
        <v>3742</v>
      </c>
      <c r="AE432">
        <v>2114</v>
      </c>
      <c r="AF432">
        <v>4031</v>
      </c>
      <c r="AG432">
        <v>2283</v>
      </c>
      <c r="AH432">
        <f t="shared" si="72"/>
        <v>3742</v>
      </c>
      <c r="AI432">
        <f t="shared" si="73"/>
        <v>2114</v>
      </c>
      <c r="AJ432">
        <v>24632</v>
      </c>
      <c r="AK432">
        <v>11358</v>
      </c>
      <c r="AL432">
        <v>36590</v>
      </c>
      <c r="AM432">
        <v>25972</v>
      </c>
      <c r="AN432">
        <v>692</v>
      </c>
      <c r="AO432">
        <v>673</v>
      </c>
      <c r="AP432">
        <v>994</v>
      </c>
      <c r="AQ432">
        <v>597</v>
      </c>
      <c r="AR432">
        <v>94</v>
      </c>
      <c r="AS432" t="s">
        <v>11</v>
      </c>
      <c r="AT432">
        <f t="shared" si="76"/>
        <v>994</v>
      </c>
      <c r="AU432">
        <f t="shared" si="77"/>
        <v>597</v>
      </c>
      <c r="AV432">
        <v>0</v>
      </c>
      <c r="AW432">
        <v>0</v>
      </c>
      <c r="AX432">
        <v>4</v>
      </c>
      <c r="AY432">
        <v>2</v>
      </c>
      <c r="AZ432">
        <f t="shared" si="78"/>
        <v>994</v>
      </c>
      <c r="BA432">
        <f t="shared" si="79"/>
        <v>597</v>
      </c>
      <c r="BB432">
        <f t="shared" si="74"/>
        <v>692</v>
      </c>
      <c r="BC432">
        <f t="shared" si="75"/>
        <v>673</v>
      </c>
      <c r="BD432">
        <v>24</v>
      </c>
      <c r="BE432">
        <v>16</v>
      </c>
      <c r="BF432" t="s">
        <v>11</v>
      </c>
      <c r="BG432" t="s">
        <v>11</v>
      </c>
      <c r="BH432">
        <v>34</v>
      </c>
      <c r="BI432" t="s">
        <v>11</v>
      </c>
      <c r="BJ432">
        <v>49</v>
      </c>
      <c r="BK432" t="s">
        <v>11</v>
      </c>
      <c r="BL432">
        <v>94</v>
      </c>
      <c r="BM432" t="s">
        <v>11</v>
      </c>
      <c r="BN432">
        <v>38</v>
      </c>
      <c r="BO432" t="s">
        <v>11</v>
      </c>
      <c r="BP432" t="str">
        <f t="shared" si="70"/>
        <v>NoData</v>
      </c>
      <c r="BQ432" t="str">
        <f t="shared" si="71"/>
        <v>NoData</v>
      </c>
      <c r="BR432">
        <v>126</v>
      </c>
      <c r="BS432" t="s">
        <v>11</v>
      </c>
      <c r="BT432">
        <v>60</v>
      </c>
      <c r="BU432" t="s">
        <v>11</v>
      </c>
    </row>
    <row r="433" spans="1:73" x14ac:dyDescent="0.25">
      <c r="A433" s="5">
        <v>38961</v>
      </c>
      <c r="B433">
        <v>3935</v>
      </c>
      <c r="C433">
        <v>2185</v>
      </c>
      <c r="D433">
        <v>22</v>
      </c>
      <c r="E433">
        <v>12</v>
      </c>
      <c r="F433">
        <v>4513</v>
      </c>
      <c r="G433">
        <v>2818</v>
      </c>
      <c r="H433">
        <v>2113</v>
      </c>
      <c r="I433">
        <v>1139</v>
      </c>
      <c r="J433">
        <v>2320</v>
      </c>
      <c r="K433">
        <v>2320</v>
      </c>
      <c r="L433">
        <v>51520</v>
      </c>
      <c r="M433">
        <v>29971</v>
      </c>
      <c r="N433">
        <v>324</v>
      </c>
      <c r="O433">
        <v>324</v>
      </c>
      <c r="P433" t="s">
        <v>11</v>
      </c>
      <c r="Q433" t="s">
        <v>11</v>
      </c>
      <c r="R433">
        <v>30</v>
      </c>
      <c r="S433" t="s">
        <v>11</v>
      </c>
      <c r="T433" s="34">
        <v>78640</v>
      </c>
      <c r="U433" s="34">
        <v>34728</v>
      </c>
      <c r="V433" s="34">
        <v>2087</v>
      </c>
      <c r="W433">
        <v>349</v>
      </c>
      <c r="X433">
        <v>2666</v>
      </c>
      <c r="Y433">
        <v>445</v>
      </c>
      <c r="Z433">
        <v>3535</v>
      </c>
      <c r="AA433">
        <v>1028</v>
      </c>
      <c r="AB433">
        <v>25988</v>
      </c>
      <c r="AC433">
        <v>16560</v>
      </c>
      <c r="AD433">
        <v>2252</v>
      </c>
      <c r="AE433">
        <v>1090</v>
      </c>
      <c r="AF433">
        <v>5281</v>
      </c>
      <c r="AG433">
        <v>3306</v>
      </c>
      <c r="AH433">
        <f t="shared" si="72"/>
        <v>2252</v>
      </c>
      <c r="AI433">
        <f t="shared" si="73"/>
        <v>1090</v>
      </c>
      <c r="AJ433">
        <v>16419</v>
      </c>
      <c r="AK433">
        <v>7207</v>
      </c>
      <c r="AL433">
        <v>33491</v>
      </c>
      <c r="AM433">
        <v>23502</v>
      </c>
      <c r="AN433">
        <v>294</v>
      </c>
      <c r="AO433">
        <v>287</v>
      </c>
      <c r="AP433">
        <v>668</v>
      </c>
      <c r="AQ433">
        <v>422</v>
      </c>
      <c r="AR433">
        <v>74</v>
      </c>
      <c r="AS433" t="s">
        <v>11</v>
      </c>
      <c r="AT433">
        <f t="shared" si="76"/>
        <v>668</v>
      </c>
      <c r="AU433">
        <f t="shared" si="77"/>
        <v>422</v>
      </c>
      <c r="AV433">
        <v>0</v>
      </c>
      <c r="AW433">
        <v>0</v>
      </c>
      <c r="AX433">
        <v>4</v>
      </c>
      <c r="AY433">
        <v>2</v>
      </c>
      <c r="AZ433">
        <f t="shared" si="78"/>
        <v>668</v>
      </c>
      <c r="BA433">
        <f t="shared" si="79"/>
        <v>422</v>
      </c>
      <c r="BB433">
        <f t="shared" si="74"/>
        <v>294</v>
      </c>
      <c r="BC433">
        <f t="shared" si="75"/>
        <v>287</v>
      </c>
      <c r="BD433">
        <v>85</v>
      </c>
      <c r="BE433">
        <v>55</v>
      </c>
      <c r="BF433" t="s">
        <v>11</v>
      </c>
      <c r="BG433" t="s">
        <v>11</v>
      </c>
      <c r="BH433">
        <v>27</v>
      </c>
      <c r="BI433" t="s">
        <v>11</v>
      </c>
      <c r="BJ433">
        <v>38</v>
      </c>
      <c r="BK433" t="s">
        <v>11</v>
      </c>
      <c r="BL433">
        <v>74</v>
      </c>
      <c r="BM433" t="s">
        <v>11</v>
      </c>
      <c r="BN433">
        <v>30</v>
      </c>
      <c r="BO433" t="s">
        <v>11</v>
      </c>
      <c r="BP433" t="str">
        <f t="shared" si="70"/>
        <v>NoData</v>
      </c>
      <c r="BQ433" t="str">
        <f t="shared" si="71"/>
        <v>NoData</v>
      </c>
      <c r="BR433">
        <v>99</v>
      </c>
      <c r="BS433" t="s">
        <v>11</v>
      </c>
      <c r="BT433">
        <v>47</v>
      </c>
      <c r="BU433" t="s">
        <v>11</v>
      </c>
    </row>
    <row r="434" spans="1:73" x14ac:dyDescent="0.25">
      <c r="A434" s="5">
        <v>38991</v>
      </c>
      <c r="B434">
        <v>2888</v>
      </c>
      <c r="C434">
        <v>1263</v>
      </c>
      <c r="D434">
        <v>61</v>
      </c>
      <c r="E434">
        <v>33</v>
      </c>
      <c r="F434">
        <v>3055</v>
      </c>
      <c r="G434">
        <v>1824</v>
      </c>
      <c r="H434">
        <v>890</v>
      </c>
      <c r="I434">
        <v>480</v>
      </c>
      <c r="J434">
        <v>471</v>
      </c>
      <c r="K434">
        <v>471</v>
      </c>
      <c r="L434">
        <v>36920</v>
      </c>
      <c r="M434">
        <v>17429</v>
      </c>
      <c r="N434">
        <v>264</v>
      </c>
      <c r="O434">
        <v>264</v>
      </c>
      <c r="P434" t="s">
        <v>11</v>
      </c>
      <c r="Q434" t="s">
        <v>11</v>
      </c>
      <c r="R434">
        <v>40</v>
      </c>
      <c r="S434" t="s">
        <v>11</v>
      </c>
      <c r="T434" s="34">
        <v>63980</v>
      </c>
      <c r="U434" s="34">
        <v>18006</v>
      </c>
      <c r="V434" s="34">
        <v>4937</v>
      </c>
      <c r="W434">
        <v>824</v>
      </c>
      <c r="X434">
        <v>3472</v>
      </c>
      <c r="Y434">
        <v>580</v>
      </c>
      <c r="Z434">
        <v>4764</v>
      </c>
      <c r="AA434">
        <v>1390</v>
      </c>
      <c r="AB434">
        <v>39570</v>
      </c>
      <c r="AC434">
        <v>26605</v>
      </c>
      <c r="AD434">
        <v>2244</v>
      </c>
      <c r="AE434">
        <v>1326</v>
      </c>
      <c r="AF434">
        <v>5482</v>
      </c>
      <c r="AG434">
        <v>3243</v>
      </c>
      <c r="AH434">
        <f t="shared" si="72"/>
        <v>2244</v>
      </c>
      <c r="AI434">
        <f t="shared" si="73"/>
        <v>1326</v>
      </c>
      <c r="AJ434">
        <v>13405</v>
      </c>
      <c r="AK434">
        <v>6030</v>
      </c>
      <c r="AL434">
        <v>30448</v>
      </c>
      <c r="AM434">
        <v>18980</v>
      </c>
      <c r="AN434">
        <v>259</v>
      </c>
      <c r="AO434">
        <v>254</v>
      </c>
      <c r="AP434">
        <v>631</v>
      </c>
      <c r="AQ434">
        <v>370</v>
      </c>
      <c r="AR434">
        <v>62</v>
      </c>
      <c r="AS434" t="s">
        <v>11</v>
      </c>
      <c r="AT434">
        <f t="shared" si="76"/>
        <v>631</v>
      </c>
      <c r="AU434">
        <f t="shared" si="77"/>
        <v>370</v>
      </c>
      <c r="AV434">
        <v>0</v>
      </c>
      <c r="AW434">
        <v>0</v>
      </c>
      <c r="AX434">
        <v>4</v>
      </c>
      <c r="AY434">
        <v>2</v>
      </c>
      <c r="AZ434">
        <f t="shared" si="78"/>
        <v>631</v>
      </c>
      <c r="BA434">
        <f t="shared" si="79"/>
        <v>370</v>
      </c>
      <c r="BB434">
        <f t="shared" si="74"/>
        <v>259</v>
      </c>
      <c r="BC434">
        <f t="shared" si="75"/>
        <v>254</v>
      </c>
      <c r="BD434">
        <v>162</v>
      </c>
      <c r="BE434">
        <v>105</v>
      </c>
      <c r="BF434" t="s">
        <v>11</v>
      </c>
      <c r="BG434" t="s">
        <v>11</v>
      </c>
      <c r="BH434">
        <v>23</v>
      </c>
      <c r="BI434" t="s">
        <v>11</v>
      </c>
      <c r="BJ434">
        <v>32</v>
      </c>
      <c r="BK434" t="s">
        <v>11</v>
      </c>
      <c r="BL434">
        <v>62</v>
      </c>
      <c r="BM434" t="s">
        <v>11</v>
      </c>
      <c r="BN434">
        <v>25</v>
      </c>
      <c r="BO434" t="s">
        <v>11</v>
      </c>
      <c r="BP434" t="str">
        <f t="shared" si="70"/>
        <v>NoData</v>
      </c>
      <c r="BQ434" t="str">
        <f t="shared" si="71"/>
        <v>NoData</v>
      </c>
      <c r="BR434">
        <v>83</v>
      </c>
      <c r="BS434" t="s">
        <v>11</v>
      </c>
      <c r="BT434">
        <v>39</v>
      </c>
      <c r="BU434" t="s">
        <v>11</v>
      </c>
    </row>
    <row r="435" spans="1:73" x14ac:dyDescent="0.25">
      <c r="A435" s="5">
        <v>39022</v>
      </c>
      <c r="B435">
        <v>1946</v>
      </c>
      <c r="C435">
        <v>1063</v>
      </c>
      <c r="D435">
        <v>18</v>
      </c>
      <c r="E435">
        <v>10</v>
      </c>
      <c r="F435">
        <v>1721</v>
      </c>
      <c r="G435">
        <v>1134</v>
      </c>
      <c r="H435">
        <v>460</v>
      </c>
      <c r="I435">
        <v>249</v>
      </c>
      <c r="J435">
        <v>266</v>
      </c>
      <c r="K435">
        <v>266</v>
      </c>
      <c r="L435">
        <v>26510</v>
      </c>
      <c r="M435">
        <v>10150</v>
      </c>
      <c r="N435">
        <v>193</v>
      </c>
      <c r="O435">
        <v>193</v>
      </c>
      <c r="P435" t="s">
        <v>11</v>
      </c>
      <c r="Q435" t="s">
        <v>11</v>
      </c>
      <c r="R435">
        <v>30</v>
      </c>
      <c r="S435" t="s">
        <v>11</v>
      </c>
      <c r="T435" s="34">
        <v>45530</v>
      </c>
      <c r="U435" s="34">
        <v>6855</v>
      </c>
      <c r="V435" s="34">
        <v>3964</v>
      </c>
      <c r="W435">
        <v>662</v>
      </c>
      <c r="X435">
        <v>3703</v>
      </c>
      <c r="Y435">
        <v>618</v>
      </c>
      <c r="Z435">
        <v>3450</v>
      </c>
      <c r="AA435">
        <v>831</v>
      </c>
      <c r="AB435">
        <v>30040</v>
      </c>
      <c r="AC435">
        <v>16966</v>
      </c>
      <c r="AD435">
        <v>1795</v>
      </c>
      <c r="AE435">
        <v>905</v>
      </c>
      <c r="AF435">
        <v>4691</v>
      </c>
      <c r="AG435">
        <v>2485</v>
      </c>
      <c r="AH435">
        <f t="shared" si="72"/>
        <v>1795</v>
      </c>
      <c r="AI435">
        <f t="shared" si="73"/>
        <v>905</v>
      </c>
      <c r="AJ435">
        <v>10994</v>
      </c>
      <c r="AK435">
        <v>40961</v>
      </c>
      <c r="AL435">
        <v>22831</v>
      </c>
      <c r="AM435">
        <v>10477</v>
      </c>
      <c r="AN435">
        <v>183</v>
      </c>
      <c r="AO435">
        <v>180</v>
      </c>
      <c r="AP435">
        <v>426</v>
      </c>
      <c r="AQ435">
        <v>219</v>
      </c>
      <c r="AR435">
        <v>44</v>
      </c>
      <c r="AS435" t="s">
        <v>11</v>
      </c>
      <c r="AT435">
        <f t="shared" si="76"/>
        <v>426</v>
      </c>
      <c r="AU435">
        <f t="shared" si="77"/>
        <v>219</v>
      </c>
      <c r="AV435">
        <v>0</v>
      </c>
      <c r="AW435">
        <v>0</v>
      </c>
      <c r="AX435">
        <v>4</v>
      </c>
      <c r="AY435">
        <v>2</v>
      </c>
      <c r="AZ435">
        <f t="shared" si="78"/>
        <v>426</v>
      </c>
      <c r="BA435">
        <f t="shared" si="79"/>
        <v>219</v>
      </c>
      <c r="BB435">
        <f t="shared" si="74"/>
        <v>183</v>
      </c>
      <c r="BC435">
        <f t="shared" si="75"/>
        <v>180</v>
      </c>
      <c r="BD435">
        <v>100</v>
      </c>
      <c r="BE435">
        <v>65</v>
      </c>
      <c r="BF435" t="s">
        <v>11</v>
      </c>
      <c r="BG435" t="s">
        <v>11</v>
      </c>
      <c r="BH435">
        <v>16</v>
      </c>
      <c r="BI435" t="s">
        <v>11</v>
      </c>
      <c r="BJ435">
        <v>23</v>
      </c>
      <c r="BK435" t="s">
        <v>11</v>
      </c>
      <c r="BL435">
        <v>44</v>
      </c>
      <c r="BM435" t="s">
        <v>11</v>
      </c>
      <c r="BN435">
        <v>18</v>
      </c>
      <c r="BO435" t="s">
        <v>11</v>
      </c>
      <c r="BP435" t="str">
        <f t="shared" si="70"/>
        <v>NoData</v>
      </c>
      <c r="BQ435" t="str">
        <f t="shared" si="71"/>
        <v>NoData</v>
      </c>
      <c r="BR435">
        <v>59</v>
      </c>
      <c r="BS435" t="s">
        <v>11</v>
      </c>
      <c r="BT435">
        <v>28</v>
      </c>
      <c r="BU435" t="s">
        <v>11</v>
      </c>
    </row>
    <row r="436" spans="1:73" x14ac:dyDescent="0.25">
      <c r="A436" s="5">
        <v>39052</v>
      </c>
      <c r="B436">
        <v>1554</v>
      </c>
      <c r="C436">
        <v>851</v>
      </c>
      <c r="D436">
        <v>17</v>
      </c>
      <c r="E436">
        <v>9</v>
      </c>
      <c r="F436">
        <v>1350</v>
      </c>
      <c r="G436">
        <v>776</v>
      </c>
      <c r="H436">
        <v>90</v>
      </c>
      <c r="I436">
        <v>49</v>
      </c>
      <c r="J436">
        <v>333</v>
      </c>
      <c r="K436">
        <v>333</v>
      </c>
      <c r="L436">
        <v>32280</v>
      </c>
      <c r="M436">
        <v>14855</v>
      </c>
      <c r="N436">
        <v>178</v>
      </c>
      <c r="O436">
        <v>178</v>
      </c>
      <c r="P436" t="s">
        <v>11</v>
      </c>
      <c r="Q436" t="s">
        <v>11</v>
      </c>
      <c r="R436">
        <v>41</v>
      </c>
      <c r="S436" t="s">
        <v>11</v>
      </c>
      <c r="T436" s="34">
        <v>44150</v>
      </c>
      <c r="U436" s="34">
        <v>4286</v>
      </c>
      <c r="V436" s="34">
        <v>3172</v>
      </c>
      <c r="W436">
        <v>530</v>
      </c>
      <c r="X436">
        <v>2063</v>
      </c>
      <c r="Y436">
        <v>345</v>
      </c>
      <c r="Z436">
        <v>2440</v>
      </c>
      <c r="AA436">
        <v>381</v>
      </c>
      <c r="AB436">
        <v>20532</v>
      </c>
      <c r="AC436">
        <v>9531</v>
      </c>
      <c r="AD436">
        <v>1147</v>
      </c>
      <c r="AE436">
        <v>371</v>
      </c>
      <c r="AF436">
        <v>3825</v>
      </c>
      <c r="AG436">
        <v>2170</v>
      </c>
      <c r="AH436">
        <f t="shared" si="72"/>
        <v>1147</v>
      </c>
      <c r="AI436">
        <f t="shared" si="73"/>
        <v>371</v>
      </c>
      <c r="AJ436">
        <v>8746</v>
      </c>
      <c r="AK436">
        <v>2845</v>
      </c>
      <c r="AL436">
        <v>23959</v>
      </c>
      <c r="AM436">
        <v>12932</v>
      </c>
      <c r="AN436">
        <v>27</v>
      </c>
      <c r="AO436">
        <v>26</v>
      </c>
      <c r="AP436">
        <v>279</v>
      </c>
      <c r="AQ436">
        <v>163</v>
      </c>
      <c r="AR436">
        <v>43</v>
      </c>
      <c r="AS436" t="s">
        <v>11</v>
      </c>
      <c r="AT436">
        <f t="shared" si="76"/>
        <v>279</v>
      </c>
      <c r="AU436">
        <f t="shared" si="77"/>
        <v>163</v>
      </c>
      <c r="AV436">
        <v>0</v>
      </c>
      <c r="AW436">
        <v>0</v>
      </c>
      <c r="AX436">
        <v>4</v>
      </c>
      <c r="AY436">
        <v>2</v>
      </c>
      <c r="AZ436">
        <f t="shared" si="78"/>
        <v>279</v>
      </c>
      <c r="BA436">
        <f t="shared" si="79"/>
        <v>163</v>
      </c>
      <c r="BB436">
        <f t="shared" si="74"/>
        <v>27</v>
      </c>
      <c r="BC436">
        <f t="shared" si="75"/>
        <v>26</v>
      </c>
      <c r="BD436">
        <v>63</v>
      </c>
      <c r="BE436">
        <v>41</v>
      </c>
      <c r="BF436" t="s">
        <v>11</v>
      </c>
      <c r="BG436" t="s">
        <v>11</v>
      </c>
      <c r="BH436">
        <v>16</v>
      </c>
      <c r="BI436" t="s">
        <v>11</v>
      </c>
      <c r="BJ436">
        <v>23</v>
      </c>
      <c r="BK436" t="s">
        <v>11</v>
      </c>
      <c r="BL436">
        <v>43</v>
      </c>
      <c r="BM436" t="s">
        <v>11</v>
      </c>
      <c r="BN436">
        <v>18</v>
      </c>
      <c r="BO436" t="s">
        <v>11</v>
      </c>
      <c r="BP436" t="str">
        <f t="shared" si="70"/>
        <v>NoData</v>
      </c>
      <c r="BQ436" t="str">
        <f t="shared" si="71"/>
        <v>NoData</v>
      </c>
      <c r="BR436">
        <v>58</v>
      </c>
      <c r="BS436" t="s">
        <v>11</v>
      </c>
      <c r="BT436">
        <v>27</v>
      </c>
      <c r="BU436" t="s">
        <v>11</v>
      </c>
    </row>
    <row r="437" spans="1:73" x14ac:dyDescent="0.25">
      <c r="A437" s="5">
        <v>39083</v>
      </c>
      <c r="B437">
        <v>1297</v>
      </c>
      <c r="C437">
        <v>700</v>
      </c>
      <c r="D437">
        <v>15</v>
      </c>
      <c r="E437">
        <v>8</v>
      </c>
      <c r="F437">
        <v>3200</v>
      </c>
      <c r="G437">
        <v>1730</v>
      </c>
      <c r="H437">
        <v>577</v>
      </c>
      <c r="I437">
        <v>313</v>
      </c>
      <c r="J437">
        <v>270</v>
      </c>
      <c r="K437">
        <v>270</v>
      </c>
      <c r="L437">
        <v>26410</v>
      </c>
      <c r="M437">
        <v>11437</v>
      </c>
      <c r="N437">
        <v>180</v>
      </c>
      <c r="O437">
        <v>138</v>
      </c>
      <c r="P437" t="s">
        <v>11</v>
      </c>
      <c r="Q437" t="s">
        <v>11</v>
      </c>
      <c r="R437">
        <v>34</v>
      </c>
      <c r="S437" t="s">
        <v>11</v>
      </c>
      <c r="T437" s="34">
        <v>36710</v>
      </c>
      <c r="U437" s="34">
        <v>3046</v>
      </c>
      <c r="V437" s="34">
        <v>2901</v>
      </c>
      <c r="W437">
        <v>500</v>
      </c>
      <c r="X437">
        <v>2467</v>
      </c>
      <c r="Y437">
        <v>412</v>
      </c>
      <c r="Z437">
        <v>2785</v>
      </c>
      <c r="AA437">
        <v>731</v>
      </c>
      <c r="AB437">
        <v>21076</v>
      </c>
      <c r="AC437">
        <v>11953</v>
      </c>
      <c r="AD437">
        <v>1740</v>
      </c>
      <c r="AE437">
        <v>543</v>
      </c>
      <c r="AF437">
        <v>3839</v>
      </c>
      <c r="AG437">
        <v>2059</v>
      </c>
      <c r="AH437">
        <f t="shared" si="72"/>
        <v>1740</v>
      </c>
      <c r="AI437">
        <f t="shared" si="73"/>
        <v>543</v>
      </c>
      <c r="AJ437">
        <v>11217</v>
      </c>
      <c r="AK437">
        <v>2521</v>
      </c>
      <c r="AL437">
        <v>22030</v>
      </c>
      <c r="AM437">
        <v>10377</v>
      </c>
      <c r="AN437">
        <v>87</v>
      </c>
      <c r="AO437">
        <v>86</v>
      </c>
      <c r="AP437">
        <v>573</v>
      </c>
      <c r="AQ437">
        <v>321</v>
      </c>
      <c r="AR437">
        <v>33</v>
      </c>
      <c r="AS437" t="s">
        <v>11</v>
      </c>
      <c r="AT437">
        <f t="shared" si="76"/>
        <v>573</v>
      </c>
      <c r="AU437">
        <f t="shared" si="77"/>
        <v>321</v>
      </c>
      <c r="AV437">
        <v>0</v>
      </c>
      <c r="AW437">
        <v>0</v>
      </c>
      <c r="AX437">
        <v>4</v>
      </c>
      <c r="AY437">
        <v>2</v>
      </c>
      <c r="AZ437">
        <f t="shared" si="78"/>
        <v>573</v>
      </c>
      <c r="BA437">
        <f t="shared" si="79"/>
        <v>321</v>
      </c>
      <c r="BB437">
        <f t="shared" si="74"/>
        <v>87</v>
      </c>
      <c r="BC437">
        <f t="shared" si="75"/>
        <v>86</v>
      </c>
      <c r="BD437">
        <v>40</v>
      </c>
      <c r="BE437">
        <v>40</v>
      </c>
      <c r="BF437" t="s">
        <v>11</v>
      </c>
      <c r="BG437" t="s">
        <v>11</v>
      </c>
      <c r="BH437">
        <v>12</v>
      </c>
      <c r="BI437" t="s">
        <v>11</v>
      </c>
      <c r="BJ437">
        <v>92</v>
      </c>
      <c r="BK437" t="s">
        <v>11</v>
      </c>
      <c r="BL437">
        <v>80</v>
      </c>
      <c r="BM437" t="s">
        <v>11</v>
      </c>
      <c r="BN437">
        <v>13</v>
      </c>
      <c r="BO437" t="s">
        <v>11</v>
      </c>
      <c r="BP437" t="str">
        <f t="shared" si="70"/>
        <v>NoData</v>
      </c>
      <c r="BQ437" t="str">
        <f t="shared" si="71"/>
        <v>NoData</v>
      </c>
      <c r="BR437">
        <v>44</v>
      </c>
      <c r="BS437" t="s">
        <v>11</v>
      </c>
      <c r="BT437">
        <v>38</v>
      </c>
      <c r="BU437" t="s">
        <v>11</v>
      </c>
    </row>
    <row r="438" spans="1:73" x14ac:dyDescent="0.25">
      <c r="A438" s="5">
        <v>39114</v>
      </c>
      <c r="B438">
        <v>2290</v>
      </c>
      <c r="C438">
        <v>1237</v>
      </c>
      <c r="D438">
        <v>11</v>
      </c>
      <c r="E438">
        <v>6</v>
      </c>
      <c r="F438">
        <v>3797</v>
      </c>
      <c r="G438">
        <v>2127</v>
      </c>
      <c r="H438">
        <v>1378</v>
      </c>
      <c r="I438">
        <v>742</v>
      </c>
      <c r="J438">
        <v>1200</v>
      </c>
      <c r="K438">
        <v>1200</v>
      </c>
      <c r="L438">
        <v>32290</v>
      </c>
      <c r="M438">
        <v>17275</v>
      </c>
      <c r="N438">
        <v>227</v>
      </c>
      <c r="O438">
        <v>167</v>
      </c>
      <c r="P438" t="s">
        <v>11</v>
      </c>
      <c r="Q438" t="s">
        <v>11</v>
      </c>
      <c r="R438">
        <v>34</v>
      </c>
      <c r="S438" t="s">
        <v>11</v>
      </c>
      <c r="T438" s="34">
        <v>52060</v>
      </c>
      <c r="U438" s="34">
        <v>17860</v>
      </c>
      <c r="V438" s="34">
        <v>2917</v>
      </c>
      <c r="W438">
        <v>506</v>
      </c>
      <c r="X438">
        <v>1978</v>
      </c>
      <c r="Y438">
        <v>330</v>
      </c>
      <c r="Z438">
        <v>2591</v>
      </c>
      <c r="AA438">
        <v>874</v>
      </c>
      <c r="AB438">
        <v>22724</v>
      </c>
      <c r="AC438">
        <v>14189</v>
      </c>
      <c r="AD438">
        <v>1581</v>
      </c>
      <c r="AE438">
        <v>202</v>
      </c>
      <c r="AF438">
        <v>4464</v>
      </c>
      <c r="AG438">
        <v>2381</v>
      </c>
      <c r="AH438">
        <f t="shared" si="72"/>
        <v>1581</v>
      </c>
      <c r="AI438">
        <f t="shared" si="73"/>
        <v>202</v>
      </c>
      <c r="AJ438">
        <v>10143</v>
      </c>
      <c r="AK438">
        <v>609</v>
      </c>
      <c r="AL438">
        <v>26201</v>
      </c>
      <c r="AM438">
        <v>15372</v>
      </c>
      <c r="AN438">
        <v>71</v>
      </c>
      <c r="AO438">
        <v>70</v>
      </c>
      <c r="AP438">
        <v>587</v>
      </c>
      <c r="AQ438">
        <v>332</v>
      </c>
      <c r="AR438">
        <v>41</v>
      </c>
      <c r="AS438" t="s">
        <v>11</v>
      </c>
      <c r="AT438">
        <f t="shared" si="76"/>
        <v>587</v>
      </c>
      <c r="AU438">
        <f t="shared" si="77"/>
        <v>332</v>
      </c>
      <c r="AV438">
        <v>0</v>
      </c>
      <c r="AW438">
        <v>0</v>
      </c>
      <c r="AX438">
        <v>4</v>
      </c>
      <c r="AY438">
        <v>2</v>
      </c>
      <c r="AZ438">
        <f t="shared" si="78"/>
        <v>587</v>
      </c>
      <c r="BA438">
        <f t="shared" si="79"/>
        <v>332</v>
      </c>
      <c r="BB438">
        <f t="shared" si="74"/>
        <v>71</v>
      </c>
      <c r="BC438">
        <f t="shared" si="75"/>
        <v>70</v>
      </c>
      <c r="BD438">
        <v>31</v>
      </c>
      <c r="BE438">
        <v>31</v>
      </c>
      <c r="BF438" t="s">
        <v>11</v>
      </c>
      <c r="BG438" t="s">
        <v>11</v>
      </c>
      <c r="BH438">
        <v>15</v>
      </c>
      <c r="BI438" t="s">
        <v>11</v>
      </c>
      <c r="BJ438">
        <v>33</v>
      </c>
      <c r="BK438" t="s">
        <v>11</v>
      </c>
      <c r="BL438">
        <v>161</v>
      </c>
      <c r="BM438" t="s">
        <v>11</v>
      </c>
      <c r="BN438">
        <v>17</v>
      </c>
      <c r="BO438" t="s">
        <v>11</v>
      </c>
      <c r="BP438" t="str">
        <f t="shared" si="70"/>
        <v>NoData</v>
      </c>
      <c r="BQ438" t="str">
        <f t="shared" si="71"/>
        <v>NoData</v>
      </c>
      <c r="BR438">
        <v>55</v>
      </c>
      <c r="BS438" t="s">
        <v>11</v>
      </c>
      <c r="BT438">
        <v>38</v>
      </c>
      <c r="BU438" t="s">
        <v>11</v>
      </c>
    </row>
    <row r="439" spans="1:73" x14ac:dyDescent="0.25">
      <c r="A439" s="5">
        <v>39142</v>
      </c>
      <c r="B439">
        <v>2.7240000000000002</v>
      </c>
      <c r="C439">
        <v>1471</v>
      </c>
      <c r="D439">
        <v>30</v>
      </c>
      <c r="E439">
        <v>16</v>
      </c>
      <c r="F439">
        <v>5059</v>
      </c>
      <c r="G439">
        <v>2874</v>
      </c>
      <c r="H439">
        <v>1919</v>
      </c>
      <c r="I439">
        <v>1033</v>
      </c>
      <c r="J439">
        <v>2142</v>
      </c>
      <c r="K439">
        <v>2142</v>
      </c>
      <c r="L439">
        <v>42280</v>
      </c>
      <c r="M439">
        <v>24087</v>
      </c>
      <c r="N439">
        <v>309</v>
      </c>
      <c r="O439">
        <v>229</v>
      </c>
      <c r="P439" t="s">
        <v>11</v>
      </c>
      <c r="Q439" t="s">
        <v>11</v>
      </c>
      <c r="R439">
        <v>24</v>
      </c>
      <c r="S439" t="s">
        <v>11</v>
      </c>
      <c r="T439" s="34">
        <v>67870</v>
      </c>
      <c r="U439" s="34">
        <v>25871</v>
      </c>
      <c r="V439" s="34">
        <v>5450</v>
      </c>
      <c r="W439">
        <v>936</v>
      </c>
      <c r="X439">
        <v>4122</v>
      </c>
      <c r="Y439">
        <v>688</v>
      </c>
      <c r="Z439">
        <v>4607</v>
      </c>
      <c r="AA439">
        <v>1477</v>
      </c>
      <c r="AB439">
        <v>37520</v>
      </c>
      <c r="AC439">
        <v>28224</v>
      </c>
      <c r="AD439">
        <v>1847</v>
      </c>
      <c r="AE439">
        <v>318</v>
      </c>
      <c r="AF439">
        <v>7225</v>
      </c>
      <c r="AG439">
        <v>3529</v>
      </c>
      <c r="AH439">
        <f t="shared" si="72"/>
        <v>1847</v>
      </c>
      <c r="AI439">
        <f t="shared" si="73"/>
        <v>318</v>
      </c>
      <c r="AJ439">
        <v>15204</v>
      </c>
      <c r="AK439">
        <v>3414</v>
      </c>
      <c r="AL439">
        <v>45292</v>
      </c>
      <c r="AM439">
        <v>30158</v>
      </c>
      <c r="AN439">
        <v>136</v>
      </c>
      <c r="AO439">
        <v>133</v>
      </c>
      <c r="AP439">
        <v>1168</v>
      </c>
      <c r="AQ439">
        <v>607</v>
      </c>
      <c r="AR439">
        <v>56</v>
      </c>
      <c r="AS439" t="s">
        <v>11</v>
      </c>
      <c r="AT439">
        <f t="shared" si="76"/>
        <v>1168</v>
      </c>
      <c r="AU439">
        <f t="shared" si="77"/>
        <v>607</v>
      </c>
      <c r="AV439">
        <v>0</v>
      </c>
      <c r="AW439">
        <v>0</v>
      </c>
      <c r="AX439">
        <v>4</v>
      </c>
      <c r="AY439">
        <v>2</v>
      </c>
      <c r="AZ439">
        <f t="shared" si="78"/>
        <v>1168</v>
      </c>
      <c r="BA439">
        <f t="shared" si="79"/>
        <v>607</v>
      </c>
      <c r="BB439">
        <f t="shared" si="74"/>
        <v>136</v>
      </c>
      <c r="BC439">
        <f t="shared" si="75"/>
        <v>133</v>
      </c>
      <c r="BD439">
        <v>44</v>
      </c>
      <c r="BE439">
        <v>44</v>
      </c>
      <c r="BF439" t="s">
        <v>11</v>
      </c>
      <c r="BG439" t="s">
        <v>11</v>
      </c>
      <c r="BH439">
        <v>20</v>
      </c>
      <c r="BI439" t="s">
        <v>11</v>
      </c>
      <c r="BJ439">
        <v>20</v>
      </c>
      <c r="BK439" t="s">
        <v>11</v>
      </c>
      <c r="BL439">
        <v>39</v>
      </c>
      <c r="BM439" t="s">
        <v>11</v>
      </c>
      <c r="BN439">
        <v>23</v>
      </c>
      <c r="BO439" t="s">
        <v>11</v>
      </c>
      <c r="BP439" t="str">
        <f t="shared" si="70"/>
        <v>NoData</v>
      </c>
      <c r="BQ439" t="str">
        <f t="shared" si="71"/>
        <v>NoData</v>
      </c>
      <c r="BR439">
        <v>75</v>
      </c>
      <c r="BS439" t="s">
        <v>11</v>
      </c>
      <c r="BT439">
        <v>38</v>
      </c>
      <c r="BU439" t="s">
        <v>11</v>
      </c>
    </row>
    <row r="440" spans="1:73" x14ac:dyDescent="0.25">
      <c r="A440" s="5">
        <v>39173</v>
      </c>
      <c r="B440">
        <v>4056</v>
      </c>
      <c r="C440">
        <v>2190</v>
      </c>
      <c r="D440">
        <v>17</v>
      </c>
      <c r="E440">
        <v>9</v>
      </c>
      <c r="F440">
        <v>5121</v>
      </c>
      <c r="G440">
        <v>3000</v>
      </c>
      <c r="H440">
        <v>2135</v>
      </c>
      <c r="I440">
        <v>1150</v>
      </c>
      <c r="J440">
        <v>1253</v>
      </c>
      <c r="K440">
        <v>1253</v>
      </c>
      <c r="L440">
        <v>64540</v>
      </c>
      <c r="M440">
        <v>42472</v>
      </c>
      <c r="N440">
        <v>334</v>
      </c>
      <c r="O440">
        <v>249</v>
      </c>
      <c r="P440" t="s">
        <v>11</v>
      </c>
      <c r="Q440" t="s">
        <v>11</v>
      </c>
      <c r="R440">
        <v>13</v>
      </c>
      <c r="S440" t="s">
        <v>11</v>
      </c>
      <c r="T440" s="34">
        <v>77590</v>
      </c>
      <c r="U440" s="34">
        <v>35907</v>
      </c>
      <c r="V440" s="34">
        <v>6197</v>
      </c>
      <c r="W440">
        <v>1064</v>
      </c>
      <c r="X440">
        <v>5291</v>
      </c>
      <c r="Y440">
        <v>884</v>
      </c>
      <c r="Z440">
        <v>4836</v>
      </c>
      <c r="AA440">
        <v>1603</v>
      </c>
      <c r="AB440">
        <v>43083</v>
      </c>
      <c r="AC440">
        <v>33953</v>
      </c>
      <c r="AD440">
        <v>2329</v>
      </c>
      <c r="AE440">
        <v>1064</v>
      </c>
      <c r="AF440">
        <v>7277</v>
      </c>
      <c r="AG440">
        <v>3937</v>
      </c>
      <c r="AH440">
        <f t="shared" si="72"/>
        <v>2329</v>
      </c>
      <c r="AI440">
        <f t="shared" si="73"/>
        <v>1064</v>
      </c>
      <c r="AJ440">
        <v>18951</v>
      </c>
      <c r="AK440">
        <v>8235</v>
      </c>
      <c r="AL440">
        <v>44165</v>
      </c>
      <c r="AM440">
        <v>30961</v>
      </c>
      <c r="AN440">
        <v>133</v>
      </c>
      <c r="AO440">
        <v>131</v>
      </c>
      <c r="AP440">
        <v>1205</v>
      </c>
      <c r="AQ440">
        <v>675</v>
      </c>
      <c r="AR440">
        <v>60</v>
      </c>
      <c r="AS440" t="s">
        <v>11</v>
      </c>
      <c r="AT440">
        <f t="shared" si="76"/>
        <v>1205</v>
      </c>
      <c r="AU440">
        <f t="shared" si="77"/>
        <v>675</v>
      </c>
      <c r="AV440">
        <v>0</v>
      </c>
      <c r="AW440">
        <v>0</v>
      </c>
      <c r="AX440">
        <v>4</v>
      </c>
      <c r="AY440">
        <v>2</v>
      </c>
      <c r="AZ440">
        <f t="shared" si="78"/>
        <v>1205</v>
      </c>
      <c r="BA440">
        <f t="shared" si="79"/>
        <v>675</v>
      </c>
      <c r="BB440">
        <f t="shared" si="74"/>
        <v>133</v>
      </c>
      <c r="BC440">
        <f t="shared" si="75"/>
        <v>131</v>
      </c>
      <c r="BD440">
        <v>71</v>
      </c>
      <c r="BE440">
        <v>71</v>
      </c>
      <c r="BF440" t="s">
        <v>11</v>
      </c>
      <c r="BG440" t="s">
        <v>11</v>
      </c>
      <c r="BH440">
        <v>22</v>
      </c>
      <c r="BI440" t="s">
        <v>11</v>
      </c>
      <c r="BJ440">
        <v>33</v>
      </c>
      <c r="BK440" t="s">
        <v>11</v>
      </c>
      <c r="BL440">
        <v>25</v>
      </c>
      <c r="BM440" t="s">
        <v>11</v>
      </c>
      <c r="BN440">
        <v>25</v>
      </c>
      <c r="BO440" t="s">
        <v>11</v>
      </c>
      <c r="BP440" t="str">
        <f t="shared" si="70"/>
        <v>NoData</v>
      </c>
      <c r="BQ440" t="str">
        <f t="shared" si="71"/>
        <v>NoData</v>
      </c>
      <c r="BR440">
        <v>81</v>
      </c>
      <c r="BS440" t="s">
        <v>11</v>
      </c>
      <c r="BT440">
        <v>76</v>
      </c>
      <c r="BU440" t="s">
        <v>11</v>
      </c>
    </row>
    <row r="441" spans="1:73" x14ac:dyDescent="0.25">
      <c r="A441" s="5">
        <v>39203</v>
      </c>
      <c r="B441">
        <v>3472</v>
      </c>
      <c r="C441">
        <v>1875</v>
      </c>
      <c r="D441">
        <v>23</v>
      </c>
      <c r="E441">
        <v>12</v>
      </c>
      <c r="F441">
        <v>9689</v>
      </c>
      <c r="G441">
        <v>5600</v>
      </c>
      <c r="H441">
        <v>1864</v>
      </c>
      <c r="I441">
        <v>1006</v>
      </c>
      <c r="J441">
        <v>2059</v>
      </c>
      <c r="K441">
        <v>2059</v>
      </c>
      <c r="L441">
        <v>69880</v>
      </c>
      <c r="M441">
        <v>45615</v>
      </c>
      <c r="N441">
        <v>409</v>
      </c>
      <c r="O441">
        <v>308</v>
      </c>
      <c r="P441" t="s">
        <v>11</v>
      </c>
      <c r="Q441" t="s">
        <v>11</v>
      </c>
      <c r="R441">
        <v>11</v>
      </c>
      <c r="S441" t="s">
        <v>11</v>
      </c>
      <c r="T441" s="34">
        <v>107900</v>
      </c>
      <c r="U441" s="34">
        <v>59726</v>
      </c>
      <c r="V441" s="34">
        <v>6738</v>
      </c>
      <c r="W441">
        <v>1159</v>
      </c>
      <c r="X441">
        <v>5192</v>
      </c>
      <c r="Y441">
        <v>867</v>
      </c>
      <c r="Z441">
        <v>5734</v>
      </c>
      <c r="AA441">
        <v>1900</v>
      </c>
      <c r="AB441">
        <v>39540</v>
      </c>
      <c r="AC441">
        <v>30571</v>
      </c>
      <c r="AD441">
        <v>3091</v>
      </c>
      <c r="AE441">
        <v>1737</v>
      </c>
      <c r="AF441">
        <v>7638</v>
      </c>
      <c r="AG441">
        <v>3976</v>
      </c>
      <c r="AH441">
        <f t="shared" si="72"/>
        <v>3091</v>
      </c>
      <c r="AI441">
        <f t="shared" si="73"/>
        <v>1737</v>
      </c>
      <c r="AJ441">
        <v>24236</v>
      </c>
      <c r="AK441">
        <v>11996</v>
      </c>
      <c r="AL441">
        <v>49741</v>
      </c>
      <c r="AM441">
        <v>35819</v>
      </c>
      <c r="AN441">
        <v>397</v>
      </c>
      <c r="AO441">
        <v>395</v>
      </c>
      <c r="AP441">
        <v>957</v>
      </c>
      <c r="AQ441">
        <v>527</v>
      </c>
      <c r="AR441">
        <v>74</v>
      </c>
      <c r="AS441" t="s">
        <v>11</v>
      </c>
      <c r="AT441">
        <f t="shared" si="76"/>
        <v>957</v>
      </c>
      <c r="AU441">
        <f t="shared" si="77"/>
        <v>527</v>
      </c>
      <c r="AV441">
        <v>0</v>
      </c>
      <c r="AW441">
        <v>0</v>
      </c>
      <c r="AX441">
        <v>4</v>
      </c>
      <c r="AY441">
        <v>2</v>
      </c>
      <c r="AZ441">
        <f t="shared" si="78"/>
        <v>957</v>
      </c>
      <c r="BA441">
        <f t="shared" si="79"/>
        <v>527</v>
      </c>
      <c r="BB441">
        <f t="shared" si="74"/>
        <v>397</v>
      </c>
      <c r="BC441">
        <f t="shared" si="75"/>
        <v>395</v>
      </c>
      <c r="BD441">
        <v>117</v>
      </c>
      <c r="BE441">
        <v>117</v>
      </c>
      <c r="BF441" t="s">
        <v>11</v>
      </c>
      <c r="BG441" t="s">
        <v>11</v>
      </c>
      <c r="BH441">
        <v>27</v>
      </c>
      <c r="BI441" t="s">
        <v>11</v>
      </c>
      <c r="BJ441">
        <v>23</v>
      </c>
      <c r="BK441" t="s">
        <v>11</v>
      </c>
      <c r="BL441">
        <v>67</v>
      </c>
      <c r="BM441" t="s">
        <v>11</v>
      </c>
      <c r="BN441">
        <v>30</v>
      </c>
      <c r="BO441" t="s">
        <v>11</v>
      </c>
      <c r="BP441" t="str">
        <f t="shared" si="70"/>
        <v>NoData</v>
      </c>
      <c r="BQ441" t="str">
        <f t="shared" si="71"/>
        <v>NoData</v>
      </c>
      <c r="BR441">
        <v>99</v>
      </c>
      <c r="BS441" t="s">
        <v>11</v>
      </c>
      <c r="BT441">
        <v>38</v>
      </c>
      <c r="BU441" t="s">
        <v>11</v>
      </c>
    </row>
    <row r="442" spans="1:73" x14ac:dyDescent="0.25">
      <c r="A442" s="5">
        <v>39234</v>
      </c>
      <c r="B442">
        <v>3678</v>
      </c>
      <c r="C442">
        <v>1986</v>
      </c>
      <c r="D442">
        <v>25</v>
      </c>
      <c r="E442">
        <v>13</v>
      </c>
      <c r="F442">
        <v>10219</v>
      </c>
      <c r="G442">
        <v>5843</v>
      </c>
      <c r="H442">
        <v>3019</v>
      </c>
      <c r="I442">
        <v>1627</v>
      </c>
      <c r="J442">
        <v>2907</v>
      </c>
      <c r="K442">
        <v>2907</v>
      </c>
      <c r="L442">
        <v>69920</v>
      </c>
      <c r="M442">
        <v>48869</v>
      </c>
      <c r="N442">
        <v>496</v>
      </c>
      <c r="O442">
        <v>366</v>
      </c>
      <c r="P442" t="s">
        <v>11</v>
      </c>
      <c r="Q442" t="s">
        <v>11</v>
      </c>
      <c r="R442">
        <v>51</v>
      </c>
      <c r="S442" t="s">
        <v>11</v>
      </c>
      <c r="T442" s="34">
        <v>107300</v>
      </c>
      <c r="U442" s="34">
        <v>55836</v>
      </c>
      <c r="V442" s="34">
        <v>2403</v>
      </c>
      <c r="W442">
        <v>442</v>
      </c>
      <c r="X442">
        <v>5042</v>
      </c>
      <c r="Y442">
        <v>842</v>
      </c>
      <c r="Z442">
        <v>4919</v>
      </c>
      <c r="AA442">
        <v>1623</v>
      </c>
      <c r="AB442">
        <v>26221</v>
      </c>
      <c r="AC442">
        <v>18277</v>
      </c>
      <c r="AD442">
        <v>3477</v>
      </c>
      <c r="AE442">
        <v>2008</v>
      </c>
      <c r="AF442">
        <v>6200</v>
      </c>
      <c r="AG442">
        <v>3128</v>
      </c>
      <c r="AH442">
        <f t="shared" si="72"/>
        <v>3477</v>
      </c>
      <c r="AI442">
        <f t="shared" si="73"/>
        <v>2008</v>
      </c>
      <c r="AJ442">
        <v>24863</v>
      </c>
      <c r="AK442">
        <v>12019</v>
      </c>
      <c r="AL442">
        <v>48672</v>
      </c>
      <c r="AM442">
        <v>35702</v>
      </c>
      <c r="AN442">
        <v>115</v>
      </c>
      <c r="AO442">
        <v>113</v>
      </c>
      <c r="AP442">
        <v>1053</v>
      </c>
      <c r="AQ442">
        <v>578</v>
      </c>
      <c r="AR442">
        <v>90</v>
      </c>
      <c r="AS442" t="s">
        <v>11</v>
      </c>
      <c r="AT442">
        <f t="shared" si="76"/>
        <v>1053</v>
      </c>
      <c r="AU442">
        <f t="shared" si="77"/>
        <v>578</v>
      </c>
      <c r="AV442">
        <v>0</v>
      </c>
      <c r="AW442">
        <v>0</v>
      </c>
      <c r="AX442">
        <v>4</v>
      </c>
      <c r="AY442">
        <v>2</v>
      </c>
      <c r="AZ442">
        <f t="shared" si="78"/>
        <v>1053</v>
      </c>
      <c r="BA442">
        <f t="shared" si="79"/>
        <v>578</v>
      </c>
      <c r="BB442">
        <f t="shared" si="74"/>
        <v>115</v>
      </c>
      <c r="BC442">
        <f t="shared" si="75"/>
        <v>113</v>
      </c>
      <c r="BD442">
        <v>73</v>
      </c>
      <c r="BE442">
        <v>73</v>
      </c>
      <c r="BF442" t="s">
        <v>11</v>
      </c>
      <c r="BG442" t="s">
        <v>11</v>
      </c>
      <c r="BH442">
        <v>33</v>
      </c>
      <c r="BI442" t="s">
        <v>11</v>
      </c>
      <c r="BJ442">
        <v>12</v>
      </c>
      <c r="BK442" t="s">
        <v>11</v>
      </c>
      <c r="BL442">
        <v>50</v>
      </c>
      <c r="BM442" t="s">
        <v>11</v>
      </c>
      <c r="BN442">
        <v>36</v>
      </c>
      <c r="BO442" t="s">
        <v>11</v>
      </c>
      <c r="BP442" t="str">
        <f t="shared" si="70"/>
        <v>NoData</v>
      </c>
      <c r="BQ442" t="str">
        <f t="shared" si="71"/>
        <v>NoData</v>
      </c>
      <c r="BR442">
        <v>120</v>
      </c>
      <c r="BS442" t="s">
        <v>11</v>
      </c>
      <c r="BT442">
        <v>38</v>
      </c>
      <c r="BU442" t="s">
        <v>11</v>
      </c>
    </row>
    <row r="443" spans="1:73" x14ac:dyDescent="0.25">
      <c r="A443" s="5">
        <v>39264</v>
      </c>
      <c r="B443">
        <v>3693</v>
      </c>
      <c r="C443">
        <v>1994</v>
      </c>
      <c r="D443">
        <v>29</v>
      </c>
      <c r="E443">
        <v>16</v>
      </c>
      <c r="F443">
        <v>8943</v>
      </c>
      <c r="G443">
        <v>4.9400000000000004</v>
      </c>
      <c r="H443">
        <v>2816</v>
      </c>
      <c r="I443">
        <v>1517</v>
      </c>
      <c r="J443">
        <v>3197</v>
      </c>
      <c r="K443">
        <v>3197</v>
      </c>
      <c r="L443">
        <v>73230</v>
      </c>
      <c r="M443">
        <v>51153</v>
      </c>
      <c r="N443">
        <v>541</v>
      </c>
      <c r="O443">
        <v>403</v>
      </c>
      <c r="P443" t="s">
        <v>11</v>
      </c>
      <c r="Q443" t="s">
        <v>11</v>
      </c>
      <c r="R443">
        <v>26</v>
      </c>
      <c r="S443" t="s">
        <v>11</v>
      </c>
      <c r="T443" s="34">
        <v>113000</v>
      </c>
      <c r="U443" s="34">
        <v>56020</v>
      </c>
      <c r="V443" s="34">
        <v>2295</v>
      </c>
      <c r="W443">
        <v>428</v>
      </c>
      <c r="X443">
        <v>2668</v>
      </c>
      <c r="Y443">
        <v>446</v>
      </c>
      <c r="Z443">
        <v>4687</v>
      </c>
      <c r="AA443">
        <v>1310</v>
      </c>
      <c r="AB443">
        <v>24185</v>
      </c>
      <c r="AC443">
        <v>17661</v>
      </c>
      <c r="AD443">
        <v>3823</v>
      </c>
      <c r="AE443">
        <v>1907</v>
      </c>
      <c r="AF443">
        <v>5218</v>
      </c>
      <c r="AG443">
        <v>2787</v>
      </c>
      <c r="AH443">
        <f t="shared" si="72"/>
        <v>3823</v>
      </c>
      <c r="AI443">
        <f t="shared" si="73"/>
        <v>1907</v>
      </c>
      <c r="AJ443">
        <v>28700</v>
      </c>
      <c r="AK443">
        <v>12622</v>
      </c>
      <c r="AL443">
        <v>43839</v>
      </c>
      <c r="AM443">
        <v>31363</v>
      </c>
      <c r="AN443">
        <v>121</v>
      </c>
      <c r="AO443">
        <v>120</v>
      </c>
      <c r="AP443">
        <v>706</v>
      </c>
      <c r="AQ443">
        <v>396</v>
      </c>
      <c r="AR443">
        <v>98</v>
      </c>
      <c r="AS443" t="s">
        <v>11</v>
      </c>
      <c r="AT443">
        <f t="shared" si="76"/>
        <v>706</v>
      </c>
      <c r="AU443">
        <f t="shared" si="77"/>
        <v>396</v>
      </c>
      <c r="AV443">
        <v>0</v>
      </c>
      <c r="AW443">
        <v>0</v>
      </c>
      <c r="AX443">
        <v>4</v>
      </c>
      <c r="AY443">
        <v>2</v>
      </c>
      <c r="AZ443">
        <f t="shared" si="78"/>
        <v>706</v>
      </c>
      <c r="BA443">
        <f t="shared" si="79"/>
        <v>396</v>
      </c>
      <c r="BB443">
        <f t="shared" si="74"/>
        <v>121</v>
      </c>
      <c r="BC443">
        <f t="shared" si="75"/>
        <v>120</v>
      </c>
      <c r="BD443">
        <v>159</v>
      </c>
      <c r="BE443">
        <v>159</v>
      </c>
      <c r="BF443" t="s">
        <v>11</v>
      </c>
      <c r="BG443" t="s">
        <v>11</v>
      </c>
      <c r="BH443">
        <v>36</v>
      </c>
      <c r="BI443" t="s">
        <v>11</v>
      </c>
      <c r="BJ443">
        <v>18</v>
      </c>
      <c r="BK443" t="s">
        <v>11</v>
      </c>
      <c r="BL443">
        <v>63</v>
      </c>
      <c r="BM443" t="s">
        <v>11</v>
      </c>
      <c r="BN443">
        <v>40</v>
      </c>
      <c r="BO443" t="s">
        <v>11</v>
      </c>
      <c r="BP443" t="str">
        <f t="shared" si="70"/>
        <v>NoData</v>
      </c>
      <c r="BQ443" t="str">
        <f t="shared" si="71"/>
        <v>NoData</v>
      </c>
      <c r="BR443">
        <v>131</v>
      </c>
      <c r="BS443" t="s">
        <v>11</v>
      </c>
      <c r="BT443">
        <v>0</v>
      </c>
      <c r="BU443" t="s">
        <v>11</v>
      </c>
    </row>
    <row r="444" spans="1:73" x14ac:dyDescent="0.25">
      <c r="A444" s="5">
        <v>39295</v>
      </c>
      <c r="B444">
        <v>3932</v>
      </c>
      <c r="C444">
        <v>2123</v>
      </c>
      <c r="D444">
        <v>26</v>
      </c>
      <c r="E444">
        <v>14</v>
      </c>
      <c r="F444">
        <v>7756</v>
      </c>
      <c r="G444">
        <v>4276</v>
      </c>
      <c r="H444">
        <v>2598</v>
      </c>
      <c r="I444">
        <v>1399</v>
      </c>
      <c r="J444">
        <v>2485</v>
      </c>
      <c r="K444">
        <v>2485</v>
      </c>
      <c r="L444">
        <v>70960</v>
      </c>
      <c r="M444">
        <v>48512</v>
      </c>
      <c r="N444">
        <v>520</v>
      </c>
      <c r="O444">
        <v>393</v>
      </c>
      <c r="P444" t="s">
        <v>11</v>
      </c>
      <c r="Q444" t="s">
        <v>11</v>
      </c>
      <c r="R444">
        <v>0</v>
      </c>
      <c r="S444" t="s">
        <v>11</v>
      </c>
      <c r="T444" s="34">
        <v>110000</v>
      </c>
      <c r="U444" s="34">
        <v>56327</v>
      </c>
      <c r="V444" s="34">
        <v>2420</v>
      </c>
      <c r="W444">
        <v>447</v>
      </c>
      <c r="X444">
        <v>3241</v>
      </c>
      <c r="Y444">
        <v>541</v>
      </c>
      <c r="Z444">
        <v>3289</v>
      </c>
      <c r="AA444">
        <v>736</v>
      </c>
      <c r="AB444">
        <v>18805</v>
      </c>
      <c r="AC444">
        <v>12719</v>
      </c>
      <c r="AD444">
        <v>3654</v>
      </c>
      <c r="AE444">
        <v>1889</v>
      </c>
      <c r="AF444">
        <v>5210</v>
      </c>
      <c r="AG444">
        <v>2616</v>
      </c>
      <c r="AH444">
        <f t="shared" si="72"/>
        <v>3654</v>
      </c>
      <c r="AI444">
        <f t="shared" si="73"/>
        <v>1889</v>
      </c>
      <c r="AJ444">
        <v>25408</v>
      </c>
      <c r="AK444">
        <v>10867</v>
      </c>
      <c r="AL444">
        <v>37292</v>
      </c>
      <c r="AM444">
        <v>25592</v>
      </c>
      <c r="AN444">
        <v>467</v>
      </c>
      <c r="AO444">
        <v>459</v>
      </c>
      <c r="AP444">
        <v>709</v>
      </c>
      <c r="AQ444">
        <v>392</v>
      </c>
      <c r="AR444">
        <v>94</v>
      </c>
      <c r="AS444" t="s">
        <v>11</v>
      </c>
      <c r="AT444">
        <f t="shared" si="76"/>
        <v>709</v>
      </c>
      <c r="AU444">
        <f t="shared" si="77"/>
        <v>392</v>
      </c>
      <c r="AV444">
        <v>0</v>
      </c>
      <c r="AW444">
        <v>0</v>
      </c>
      <c r="AX444">
        <v>4</v>
      </c>
      <c r="AY444">
        <v>2</v>
      </c>
      <c r="AZ444">
        <f t="shared" si="78"/>
        <v>709</v>
      </c>
      <c r="BA444">
        <f t="shared" si="79"/>
        <v>392</v>
      </c>
      <c r="BB444">
        <f t="shared" si="74"/>
        <v>467</v>
      </c>
      <c r="BC444">
        <f t="shared" si="75"/>
        <v>459</v>
      </c>
      <c r="BD444">
        <v>67</v>
      </c>
      <c r="BE444">
        <v>67</v>
      </c>
      <c r="BF444" t="s">
        <v>11</v>
      </c>
      <c r="BG444" t="s">
        <v>11</v>
      </c>
      <c r="BH444">
        <v>34</v>
      </c>
      <c r="BI444" t="s">
        <v>11</v>
      </c>
      <c r="BJ444">
        <v>66</v>
      </c>
      <c r="BK444" t="s">
        <v>11</v>
      </c>
      <c r="BL444">
        <v>56</v>
      </c>
      <c r="BM444" t="s">
        <v>11</v>
      </c>
      <c r="BN444">
        <v>38</v>
      </c>
      <c r="BO444" t="s">
        <v>11</v>
      </c>
      <c r="BP444" t="str">
        <f t="shared" si="70"/>
        <v>NoData</v>
      </c>
      <c r="BQ444" t="str">
        <f t="shared" si="71"/>
        <v>NoData</v>
      </c>
      <c r="BR444">
        <v>126</v>
      </c>
      <c r="BS444" t="s">
        <v>11</v>
      </c>
      <c r="BT444">
        <v>38</v>
      </c>
      <c r="BU444" t="s">
        <v>11</v>
      </c>
    </row>
    <row r="445" spans="1:73" x14ac:dyDescent="0.25">
      <c r="A445" s="5">
        <v>39326</v>
      </c>
      <c r="B445">
        <v>4527</v>
      </c>
      <c r="C445">
        <v>2445</v>
      </c>
      <c r="D445">
        <v>22</v>
      </c>
      <c r="E445">
        <v>12</v>
      </c>
      <c r="F445">
        <v>6.5880000000000001</v>
      </c>
      <c r="G445">
        <v>3886</v>
      </c>
      <c r="H445">
        <v>1932</v>
      </c>
      <c r="I445">
        <v>1042</v>
      </c>
      <c r="J445">
        <v>2106</v>
      </c>
      <c r="K445">
        <v>2106</v>
      </c>
      <c r="L445">
        <v>57050</v>
      </c>
      <c r="M445">
        <v>35233</v>
      </c>
      <c r="N445">
        <v>409</v>
      </c>
      <c r="O445">
        <v>318</v>
      </c>
      <c r="P445" t="s">
        <v>11</v>
      </c>
      <c r="Q445" t="s">
        <v>11</v>
      </c>
      <c r="R445">
        <v>28</v>
      </c>
      <c r="S445" t="s">
        <v>11</v>
      </c>
      <c r="T445" s="34">
        <v>96320</v>
      </c>
      <c r="U445" s="34">
        <v>42589</v>
      </c>
      <c r="V445" s="34">
        <v>1938</v>
      </c>
      <c r="W445">
        <v>359</v>
      </c>
      <c r="X445">
        <v>3779</v>
      </c>
      <c r="Y445">
        <v>631</v>
      </c>
      <c r="Z445">
        <v>3550</v>
      </c>
      <c r="AA445">
        <v>949</v>
      </c>
      <c r="AB445">
        <v>27322</v>
      </c>
      <c r="AC445">
        <v>18678</v>
      </c>
      <c r="AD445">
        <v>2579</v>
      </c>
      <c r="AE445">
        <v>1277</v>
      </c>
      <c r="AF445">
        <v>4804</v>
      </c>
      <c r="AG445">
        <v>2807</v>
      </c>
      <c r="AH445">
        <f t="shared" si="72"/>
        <v>2579</v>
      </c>
      <c r="AI445">
        <f t="shared" si="73"/>
        <v>1277</v>
      </c>
      <c r="AJ445">
        <v>16297</v>
      </c>
      <c r="AK445">
        <v>6261</v>
      </c>
      <c r="AL445">
        <v>38313</v>
      </c>
      <c r="AM445">
        <v>28039</v>
      </c>
      <c r="AN445">
        <v>312</v>
      </c>
      <c r="AO445">
        <v>305</v>
      </c>
      <c r="AP445">
        <v>686</v>
      </c>
      <c r="AQ445">
        <v>412</v>
      </c>
      <c r="AR445">
        <v>74</v>
      </c>
      <c r="AS445" t="s">
        <v>11</v>
      </c>
      <c r="AT445">
        <f t="shared" si="76"/>
        <v>686</v>
      </c>
      <c r="AU445">
        <f t="shared" si="77"/>
        <v>412</v>
      </c>
      <c r="AV445">
        <v>0</v>
      </c>
      <c r="AW445">
        <v>0</v>
      </c>
      <c r="AX445">
        <v>4</v>
      </c>
      <c r="AY445">
        <v>2</v>
      </c>
      <c r="AZ445">
        <f t="shared" si="78"/>
        <v>686</v>
      </c>
      <c r="BA445">
        <f t="shared" si="79"/>
        <v>412</v>
      </c>
      <c r="BB445">
        <f t="shared" si="74"/>
        <v>312</v>
      </c>
      <c r="BC445">
        <f t="shared" si="75"/>
        <v>305</v>
      </c>
      <c r="BD445">
        <v>68</v>
      </c>
      <c r="BE445">
        <v>68</v>
      </c>
      <c r="BF445" t="s">
        <v>11</v>
      </c>
      <c r="BG445" t="s">
        <v>11</v>
      </c>
      <c r="BH445">
        <v>27</v>
      </c>
      <c r="BI445" t="s">
        <v>11</v>
      </c>
      <c r="BJ445">
        <v>86</v>
      </c>
      <c r="BK445" t="s">
        <v>11</v>
      </c>
      <c r="BL445">
        <v>0</v>
      </c>
      <c r="BM445" t="s">
        <v>11</v>
      </c>
      <c r="BN445">
        <v>30</v>
      </c>
      <c r="BO445" t="s">
        <v>11</v>
      </c>
      <c r="BP445" t="str">
        <f t="shared" si="70"/>
        <v>NoData</v>
      </c>
      <c r="BQ445" t="str">
        <f t="shared" si="71"/>
        <v>NoData</v>
      </c>
      <c r="BR445">
        <v>99</v>
      </c>
      <c r="BS445" t="s">
        <v>11</v>
      </c>
      <c r="BT445">
        <v>38</v>
      </c>
      <c r="BU445" t="s">
        <v>11</v>
      </c>
    </row>
    <row r="446" spans="1:73" x14ac:dyDescent="0.25">
      <c r="A446" s="5">
        <v>39356</v>
      </c>
      <c r="B446">
        <v>2251</v>
      </c>
      <c r="C446">
        <v>1216</v>
      </c>
      <c r="D446">
        <v>61</v>
      </c>
      <c r="E446">
        <v>33</v>
      </c>
      <c r="F446">
        <v>5387</v>
      </c>
      <c r="G446">
        <v>3224</v>
      </c>
      <c r="H446">
        <v>1472</v>
      </c>
      <c r="I446">
        <v>795</v>
      </c>
      <c r="J446">
        <v>979</v>
      </c>
      <c r="K446">
        <v>979</v>
      </c>
      <c r="L446">
        <v>40880</v>
      </c>
      <c r="M446">
        <v>19864</v>
      </c>
      <c r="N446">
        <v>343</v>
      </c>
      <c r="O446">
        <v>259</v>
      </c>
      <c r="P446" t="s">
        <v>11</v>
      </c>
      <c r="Q446" t="s">
        <v>11</v>
      </c>
      <c r="R446">
        <v>33</v>
      </c>
      <c r="S446" t="s">
        <v>11</v>
      </c>
      <c r="T446" s="34">
        <v>62710</v>
      </c>
      <c r="U446" s="34">
        <v>16986</v>
      </c>
      <c r="V446" s="34">
        <v>4567</v>
      </c>
      <c r="W446">
        <v>790</v>
      </c>
      <c r="X446">
        <v>4544</v>
      </c>
      <c r="Y446">
        <v>759</v>
      </c>
      <c r="Z446">
        <v>4965</v>
      </c>
      <c r="AA446">
        <v>1318</v>
      </c>
      <c r="AB446">
        <v>39947</v>
      </c>
      <c r="AC446">
        <v>28584</v>
      </c>
      <c r="AD446">
        <v>2490</v>
      </c>
      <c r="AE446">
        <v>1014</v>
      </c>
      <c r="AF446">
        <v>6388</v>
      </c>
      <c r="AG446">
        <v>3450</v>
      </c>
      <c r="AH446">
        <f t="shared" si="72"/>
        <v>2490</v>
      </c>
      <c r="AI446">
        <f t="shared" si="73"/>
        <v>1014</v>
      </c>
      <c r="AJ446">
        <v>13992</v>
      </c>
      <c r="AK446">
        <v>3397</v>
      </c>
      <c r="AL446">
        <v>35458</v>
      </c>
      <c r="AM446">
        <v>23779</v>
      </c>
      <c r="AN446">
        <v>789</v>
      </c>
      <c r="AO446">
        <v>765</v>
      </c>
      <c r="AP446">
        <v>1014</v>
      </c>
      <c r="AQ446">
        <v>584</v>
      </c>
      <c r="AR446">
        <v>62</v>
      </c>
      <c r="AS446" t="s">
        <v>11</v>
      </c>
      <c r="AT446">
        <f t="shared" si="76"/>
        <v>1014</v>
      </c>
      <c r="AU446">
        <f t="shared" si="77"/>
        <v>584</v>
      </c>
      <c r="AV446">
        <v>0</v>
      </c>
      <c r="AW446">
        <v>0</v>
      </c>
      <c r="AX446">
        <v>4</v>
      </c>
      <c r="AY446">
        <v>2</v>
      </c>
      <c r="AZ446">
        <f t="shared" si="78"/>
        <v>1014</v>
      </c>
      <c r="BA446">
        <f t="shared" si="79"/>
        <v>584</v>
      </c>
      <c r="BB446">
        <f t="shared" si="74"/>
        <v>789</v>
      </c>
      <c r="BC446">
        <f t="shared" si="75"/>
        <v>765</v>
      </c>
      <c r="BD446">
        <v>52</v>
      </c>
      <c r="BE446">
        <v>52</v>
      </c>
      <c r="BF446" t="s">
        <v>11</v>
      </c>
      <c r="BG446" t="s">
        <v>11</v>
      </c>
      <c r="BH446">
        <v>23</v>
      </c>
      <c r="BI446" t="s">
        <v>11</v>
      </c>
      <c r="BJ446">
        <v>69</v>
      </c>
      <c r="BK446" t="s">
        <v>11</v>
      </c>
      <c r="BL446">
        <v>61</v>
      </c>
      <c r="BM446" t="s">
        <v>11</v>
      </c>
      <c r="BN446">
        <v>25</v>
      </c>
      <c r="BO446" t="s">
        <v>11</v>
      </c>
      <c r="BP446" t="str">
        <f t="shared" si="70"/>
        <v>NoData</v>
      </c>
      <c r="BQ446" t="str">
        <f t="shared" si="71"/>
        <v>NoData</v>
      </c>
      <c r="BR446">
        <v>83</v>
      </c>
      <c r="BS446" t="s">
        <v>11</v>
      </c>
      <c r="BT446">
        <v>38</v>
      </c>
      <c r="BU446" t="s">
        <v>11</v>
      </c>
    </row>
    <row r="447" spans="1:73" x14ac:dyDescent="0.25">
      <c r="A447" s="5">
        <v>39387</v>
      </c>
      <c r="B447">
        <v>1964</v>
      </c>
      <c r="C447">
        <v>1061</v>
      </c>
      <c r="D447">
        <v>18</v>
      </c>
      <c r="E447">
        <v>10</v>
      </c>
      <c r="F447">
        <v>3313</v>
      </c>
      <c r="G447">
        <v>1867</v>
      </c>
      <c r="H447">
        <v>939</v>
      </c>
      <c r="I447">
        <v>510</v>
      </c>
      <c r="J447">
        <v>438</v>
      </c>
      <c r="K447">
        <v>438</v>
      </c>
      <c r="L447">
        <v>28160</v>
      </c>
      <c r="M447">
        <v>10004</v>
      </c>
      <c r="N447">
        <v>243</v>
      </c>
      <c r="O447">
        <v>181</v>
      </c>
      <c r="P447" t="s">
        <v>11</v>
      </c>
      <c r="Q447" t="s">
        <v>11</v>
      </c>
      <c r="R447">
        <v>26</v>
      </c>
      <c r="S447" t="s">
        <v>11</v>
      </c>
      <c r="T447" s="34">
        <v>48280</v>
      </c>
      <c r="U447" s="34">
        <v>7756</v>
      </c>
      <c r="V447" s="34">
        <v>4347</v>
      </c>
      <c r="W447">
        <v>747</v>
      </c>
      <c r="X447">
        <v>3369</v>
      </c>
      <c r="Y447">
        <v>563</v>
      </c>
      <c r="Z447">
        <v>3344</v>
      </c>
      <c r="AA447">
        <v>741</v>
      </c>
      <c r="AB447">
        <v>29902</v>
      </c>
      <c r="AC447">
        <v>18536</v>
      </c>
      <c r="AD447">
        <v>1996</v>
      </c>
      <c r="AE447">
        <v>868</v>
      </c>
      <c r="AF447">
        <v>4369</v>
      </c>
      <c r="AG447">
        <v>2493</v>
      </c>
      <c r="AH447">
        <f t="shared" si="72"/>
        <v>1996</v>
      </c>
      <c r="AI447">
        <f t="shared" si="73"/>
        <v>868</v>
      </c>
      <c r="AJ447">
        <v>11745</v>
      </c>
      <c r="AK447">
        <v>3462</v>
      </c>
      <c r="AL447">
        <v>20587</v>
      </c>
      <c r="AM447">
        <v>9864</v>
      </c>
      <c r="AN447">
        <v>441</v>
      </c>
      <c r="AO447">
        <v>424</v>
      </c>
      <c r="AP447">
        <v>554</v>
      </c>
      <c r="AQ447">
        <v>334</v>
      </c>
      <c r="AR447">
        <v>44</v>
      </c>
      <c r="AS447" t="s">
        <v>11</v>
      </c>
      <c r="AT447">
        <f t="shared" si="76"/>
        <v>554</v>
      </c>
      <c r="AU447">
        <f t="shared" si="77"/>
        <v>334</v>
      </c>
      <c r="AV447">
        <v>0</v>
      </c>
      <c r="AW447">
        <v>0</v>
      </c>
      <c r="AX447">
        <v>4</v>
      </c>
      <c r="AY447">
        <v>2</v>
      </c>
      <c r="AZ447">
        <f t="shared" si="78"/>
        <v>554</v>
      </c>
      <c r="BA447">
        <f t="shared" si="79"/>
        <v>334</v>
      </c>
      <c r="BB447">
        <f t="shared" si="74"/>
        <v>441</v>
      </c>
      <c r="BC447">
        <f t="shared" si="75"/>
        <v>424</v>
      </c>
      <c r="BD447">
        <v>76</v>
      </c>
      <c r="BE447">
        <v>76</v>
      </c>
      <c r="BF447" t="s">
        <v>11</v>
      </c>
      <c r="BG447" t="s">
        <v>11</v>
      </c>
      <c r="BH447">
        <v>16</v>
      </c>
      <c r="BI447" t="s">
        <v>11</v>
      </c>
      <c r="BJ447">
        <v>0</v>
      </c>
      <c r="BK447" t="s">
        <v>11</v>
      </c>
      <c r="BL447">
        <v>102</v>
      </c>
      <c r="BM447" t="s">
        <v>11</v>
      </c>
      <c r="BN447">
        <v>18</v>
      </c>
      <c r="BO447" t="s">
        <v>11</v>
      </c>
      <c r="BP447" t="str">
        <f t="shared" si="70"/>
        <v>NoData</v>
      </c>
      <c r="BQ447" t="str">
        <f t="shared" si="71"/>
        <v>NoData</v>
      </c>
      <c r="BR447">
        <v>59</v>
      </c>
      <c r="BS447" t="s">
        <v>11</v>
      </c>
      <c r="BT447">
        <v>38</v>
      </c>
      <c r="BU447" t="s">
        <v>11</v>
      </c>
    </row>
    <row r="448" spans="1:73" x14ac:dyDescent="0.25">
      <c r="A448" s="5">
        <v>39417</v>
      </c>
      <c r="B448">
        <v>1586</v>
      </c>
      <c r="C448">
        <v>856</v>
      </c>
      <c r="D448">
        <v>17</v>
      </c>
      <c r="E448">
        <v>9</v>
      </c>
      <c r="F448">
        <v>843</v>
      </c>
      <c r="G448">
        <v>456</v>
      </c>
      <c r="H448">
        <v>626</v>
      </c>
      <c r="I448">
        <v>337</v>
      </c>
      <c r="J448">
        <v>312</v>
      </c>
      <c r="K448">
        <v>312</v>
      </c>
      <c r="L448">
        <v>25290</v>
      </c>
      <c r="M448">
        <v>8380</v>
      </c>
      <c r="N448">
        <v>239</v>
      </c>
      <c r="O448">
        <v>162</v>
      </c>
      <c r="P448" t="s">
        <v>11</v>
      </c>
      <c r="Q448" t="s">
        <v>11</v>
      </c>
      <c r="R448">
        <v>19</v>
      </c>
      <c r="S448" t="s">
        <v>11</v>
      </c>
      <c r="T448" s="34">
        <v>37350</v>
      </c>
      <c r="U448" s="34">
        <v>-2577</v>
      </c>
      <c r="V448" s="34">
        <v>2323</v>
      </c>
      <c r="W448">
        <v>408</v>
      </c>
      <c r="X448">
        <v>1761</v>
      </c>
      <c r="Y448">
        <v>294</v>
      </c>
      <c r="Z448">
        <v>2221</v>
      </c>
      <c r="AA448">
        <v>148</v>
      </c>
      <c r="AB448">
        <v>16949</v>
      </c>
      <c r="AC448">
        <v>8508</v>
      </c>
      <c r="AD448">
        <v>831</v>
      </c>
      <c r="AE448">
        <v>-202</v>
      </c>
      <c r="AF448">
        <v>3177</v>
      </c>
      <c r="AG448">
        <v>1696</v>
      </c>
      <c r="AH448">
        <f t="shared" si="72"/>
        <v>831</v>
      </c>
      <c r="AI448">
        <f t="shared" si="73"/>
        <v>-202</v>
      </c>
      <c r="AJ448">
        <v>5713</v>
      </c>
      <c r="AK448">
        <v>-1092</v>
      </c>
      <c r="AL448">
        <v>8570</v>
      </c>
      <c r="AM448">
        <v>-4208</v>
      </c>
      <c r="AN448">
        <v>376</v>
      </c>
      <c r="AO448">
        <v>369</v>
      </c>
      <c r="AP448">
        <v>243</v>
      </c>
      <c r="AQ448">
        <v>145</v>
      </c>
      <c r="AR448">
        <v>43</v>
      </c>
      <c r="AS448" t="s">
        <v>11</v>
      </c>
      <c r="AT448">
        <f t="shared" si="76"/>
        <v>243</v>
      </c>
      <c r="AU448">
        <f t="shared" si="77"/>
        <v>145</v>
      </c>
      <c r="AV448">
        <v>0</v>
      </c>
      <c r="AW448">
        <v>0</v>
      </c>
      <c r="AX448">
        <v>4</v>
      </c>
      <c r="AY448">
        <v>2</v>
      </c>
      <c r="AZ448">
        <f t="shared" si="78"/>
        <v>243</v>
      </c>
      <c r="BA448">
        <f t="shared" si="79"/>
        <v>145</v>
      </c>
      <c r="BB448">
        <f t="shared" si="74"/>
        <v>376</v>
      </c>
      <c r="BC448">
        <f t="shared" si="75"/>
        <v>369</v>
      </c>
      <c r="BD448">
        <v>23</v>
      </c>
      <c r="BE448">
        <v>23</v>
      </c>
      <c r="BF448" t="s">
        <v>11</v>
      </c>
      <c r="BG448" t="s">
        <v>11</v>
      </c>
      <c r="BH448">
        <v>16</v>
      </c>
      <c r="BI448" t="s">
        <v>11</v>
      </c>
      <c r="BJ448">
        <v>0</v>
      </c>
      <c r="BK448" t="s">
        <v>11</v>
      </c>
      <c r="BL448">
        <v>79</v>
      </c>
      <c r="BM448" t="s">
        <v>11</v>
      </c>
      <c r="BN448">
        <v>18</v>
      </c>
      <c r="BO448" t="s">
        <v>11</v>
      </c>
      <c r="BP448" t="str">
        <f t="shared" si="70"/>
        <v>NoData</v>
      </c>
      <c r="BQ448" t="str">
        <f t="shared" si="71"/>
        <v>NoData</v>
      </c>
      <c r="BR448">
        <v>58</v>
      </c>
      <c r="BS448" t="s">
        <v>11</v>
      </c>
      <c r="BT448">
        <v>38</v>
      </c>
      <c r="BU448" t="s">
        <v>11</v>
      </c>
    </row>
    <row r="449" spans="1:73" x14ac:dyDescent="0.25">
      <c r="A449" s="5">
        <v>39448</v>
      </c>
      <c r="B449">
        <v>966</v>
      </c>
      <c r="C449">
        <v>522</v>
      </c>
      <c r="D449">
        <v>16</v>
      </c>
      <c r="E449">
        <v>9</v>
      </c>
      <c r="F449">
        <v>1268</v>
      </c>
      <c r="G449">
        <v>685</v>
      </c>
      <c r="H449">
        <v>295</v>
      </c>
      <c r="I449">
        <v>160</v>
      </c>
      <c r="J449">
        <v>795</v>
      </c>
      <c r="K449">
        <v>795</v>
      </c>
      <c r="L449">
        <v>18180</v>
      </c>
      <c r="M449">
        <v>4347</v>
      </c>
      <c r="N449">
        <v>181</v>
      </c>
      <c r="O449">
        <v>129</v>
      </c>
      <c r="P449" t="s">
        <v>11</v>
      </c>
      <c r="Q449" t="s">
        <v>11</v>
      </c>
      <c r="R449">
        <v>30</v>
      </c>
      <c r="S449" t="s">
        <v>11</v>
      </c>
      <c r="T449" s="34">
        <v>31530</v>
      </c>
      <c r="U449" s="34">
        <v>1675</v>
      </c>
      <c r="V449" s="34">
        <v>2463</v>
      </c>
      <c r="W449">
        <v>427</v>
      </c>
      <c r="X449">
        <v>1966</v>
      </c>
      <c r="Y449">
        <v>328</v>
      </c>
      <c r="Z449">
        <v>2595</v>
      </c>
      <c r="AA449">
        <v>368</v>
      </c>
      <c r="AB449">
        <v>19080</v>
      </c>
      <c r="AC449">
        <v>12082</v>
      </c>
      <c r="AD449">
        <v>1276</v>
      </c>
      <c r="AE449">
        <v>-47</v>
      </c>
      <c r="AF449">
        <v>3319</v>
      </c>
      <c r="AG449">
        <v>1810</v>
      </c>
      <c r="AH449">
        <f t="shared" si="72"/>
        <v>1276</v>
      </c>
      <c r="AI449">
        <f t="shared" si="73"/>
        <v>-47</v>
      </c>
      <c r="AJ449">
        <v>8290</v>
      </c>
      <c r="AK449">
        <v>-580</v>
      </c>
      <c r="AL449">
        <v>21908</v>
      </c>
      <c r="AM449">
        <v>9688</v>
      </c>
      <c r="AN449" s="22">
        <v>30</v>
      </c>
      <c r="AO449">
        <v>109</v>
      </c>
      <c r="AP449">
        <v>516</v>
      </c>
      <c r="AQ449">
        <v>300</v>
      </c>
      <c r="AR449">
        <v>32</v>
      </c>
      <c r="AS449" t="s">
        <v>11</v>
      </c>
      <c r="AT449">
        <f t="shared" si="76"/>
        <v>516</v>
      </c>
      <c r="AU449">
        <f t="shared" si="77"/>
        <v>300</v>
      </c>
      <c r="AV449">
        <v>0</v>
      </c>
      <c r="AW449">
        <v>0</v>
      </c>
      <c r="AX449">
        <v>4</v>
      </c>
      <c r="AY449">
        <v>2</v>
      </c>
      <c r="AZ449">
        <f t="shared" si="78"/>
        <v>516</v>
      </c>
      <c r="BA449">
        <f t="shared" si="79"/>
        <v>300</v>
      </c>
      <c r="BB449">
        <f t="shared" si="74"/>
        <v>30</v>
      </c>
      <c r="BC449">
        <f t="shared" si="75"/>
        <v>109</v>
      </c>
      <c r="BD449">
        <v>39</v>
      </c>
      <c r="BE449">
        <v>39</v>
      </c>
      <c r="BF449" t="s">
        <v>11</v>
      </c>
      <c r="BG449" t="s">
        <v>11</v>
      </c>
      <c r="BH449">
        <v>12</v>
      </c>
      <c r="BI449" t="s">
        <v>11</v>
      </c>
      <c r="BJ449">
        <v>13</v>
      </c>
      <c r="BK449" t="s">
        <v>11</v>
      </c>
      <c r="BL449">
        <v>40</v>
      </c>
      <c r="BM449" t="s">
        <v>11</v>
      </c>
      <c r="BN449">
        <v>0</v>
      </c>
      <c r="BO449" t="s">
        <v>11</v>
      </c>
      <c r="BP449" t="str">
        <f t="shared" si="70"/>
        <v>NoData</v>
      </c>
      <c r="BQ449" t="str">
        <f t="shared" si="71"/>
        <v>NoData</v>
      </c>
      <c r="BR449">
        <v>42</v>
      </c>
      <c r="BS449" t="s">
        <v>11</v>
      </c>
      <c r="BT449">
        <v>34</v>
      </c>
      <c r="BU449" t="s">
        <v>11</v>
      </c>
    </row>
    <row r="450" spans="1:73" x14ac:dyDescent="0.25">
      <c r="A450" s="5">
        <v>39479</v>
      </c>
      <c r="B450">
        <v>2381</v>
      </c>
      <c r="C450">
        <v>1286</v>
      </c>
      <c r="D450">
        <v>19</v>
      </c>
      <c r="E450">
        <v>10</v>
      </c>
      <c r="F450">
        <v>4799</v>
      </c>
      <c r="G450">
        <v>2638</v>
      </c>
      <c r="H450">
        <v>917</v>
      </c>
      <c r="I450">
        <v>495</v>
      </c>
      <c r="J450">
        <v>1073</v>
      </c>
      <c r="K450">
        <v>1073</v>
      </c>
      <c r="L450">
        <v>38010</v>
      </c>
      <c r="M450">
        <v>23009</v>
      </c>
      <c r="N450">
        <v>225</v>
      </c>
      <c r="O450">
        <v>156</v>
      </c>
      <c r="P450" t="s">
        <v>11</v>
      </c>
      <c r="Q450" t="s">
        <v>11</v>
      </c>
      <c r="R450">
        <v>36</v>
      </c>
      <c r="S450" t="s">
        <v>11</v>
      </c>
      <c r="T450" s="34">
        <v>54740</v>
      </c>
      <c r="U450" s="34">
        <v>20914</v>
      </c>
      <c r="V450" s="34">
        <v>2967</v>
      </c>
      <c r="W450">
        <v>665</v>
      </c>
      <c r="X450">
        <v>2441</v>
      </c>
      <c r="Y450">
        <v>408</v>
      </c>
      <c r="Z450">
        <v>3091</v>
      </c>
      <c r="AA450">
        <v>748</v>
      </c>
      <c r="AB450">
        <v>24757</v>
      </c>
      <c r="AC450">
        <v>17550</v>
      </c>
      <c r="AD450">
        <v>1374</v>
      </c>
      <c r="AE450">
        <v>-55</v>
      </c>
      <c r="AF450">
        <v>4919</v>
      </c>
      <c r="AG450">
        <v>2596</v>
      </c>
      <c r="AH450">
        <f t="shared" si="72"/>
        <v>1374</v>
      </c>
      <c r="AI450">
        <f t="shared" si="73"/>
        <v>-55</v>
      </c>
      <c r="AJ450">
        <v>10643</v>
      </c>
      <c r="AK450">
        <v>596</v>
      </c>
      <c r="AL450">
        <v>22706</v>
      </c>
      <c r="AM450">
        <v>11108</v>
      </c>
      <c r="AN450" s="22">
        <v>186</v>
      </c>
      <c r="AO450">
        <v>284</v>
      </c>
      <c r="AP450">
        <v>449</v>
      </c>
      <c r="AQ450">
        <v>244</v>
      </c>
      <c r="AR450">
        <v>39</v>
      </c>
      <c r="AS450" t="s">
        <v>11</v>
      </c>
      <c r="AT450">
        <f t="shared" si="76"/>
        <v>449</v>
      </c>
      <c r="AU450">
        <f t="shared" si="77"/>
        <v>244</v>
      </c>
      <c r="AV450">
        <v>0</v>
      </c>
      <c r="AW450">
        <v>0</v>
      </c>
      <c r="AX450">
        <v>4</v>
      </c>
      <c r="AY450">
        <v>2</v>
      </c>
      <c r="AZ450">
        <f t="shared" si="78"/>
        <v>449</v>
      </c>
      <c r="BA450">
        <f t="shared" si="79"/>
        <v>244</v>
      </c>
      <c r="BB450">
        <f t="shared" si="74"/>
        <v>186</v>
      </c>
      <c r="BC450">
        <f t="shared" si="75"/>
        <v>284</v>
      </c>
      <c r="BD450">
        <v>65</v>
      </c>
      <c r="BE450">
        <v>65</v>
      </c>
      <c r="BF450" t="s">
        <v>11</v>
      </c>
      <c r="BG450" t="s">
        <v>11</v>
      </c>
      <c r="BH450">
        <v>14</v>
      </c>
      <c r="BI450" t="s">
        <v>11</v>
      </c>
      <c r="BJ450">
        <v>16</v>
      </c>
      <c r="BK450" t="s">
        <v>11</v>
      </c>
      <c r="BL450">
        <v>45</v>
      </c>
      <c r="BM450" t="s">
        <v>11</v>
      </c>
      <c r="BN450">
        <v>1</v>
      </c>
      <c r="BO450" t="s">
        <v>11</v>
      </c>
      <c r="BP450" t="str">
        <f t="shared" si="70"/>
        <v>NoData</v>
      </c>
      <c r="BQ450" t="str">
        <f t="shared" si="71"/>
        <v>NoData</v>
      </c>
      <c r="BR450">
        <v>53</v>
      </c>
      <c r="BS450" t="s">
        <v>11</v>
      </c>
      <c r="BT450">
        <v>34</v>
      </c>
      <c r="BU450" t="s">
        <v>11</v>
      </c>
    </row>
    <row r="451" spans="1:73" x14ac:dyDescent="0.25">
      <c r="A451" s="5">
        <v>39508</v>
      </c>
      <c r="B451">
        <v>4020</v>
      </c>
      <c r="C451">
        <v>2171</v>
      </c>
      <c r="D451">
        <v>27</v>
      </c>
      <c r="E451">
        <v>15</v>
      </c>
      <c r="F451">
        <v>5024</v>
      </c>
      <c r="G451">
        <v>2918</v>
      </c>
      <c r="H451">
        <v>1617</v>
      </c>
      <c r="I451">
        <v>871</v>
      </c>
      <c r="J451">
        <v>1645</v>
      </c>
      <c r="K451">
        <v>1645</v>
      </c>
      <c r="L451">
        <v>61190</v>
      </c>
      <c r="M451">
        <v>42266</v>
      </c>
      <c r="N451">
        <v>308</v>
      </c>
      <c r="O451">
        <v>212</v>
      </c>
      <c r="P451" t="s">
        <v>11</v>
      </c>
      <c r="Q451" t="s">
        <v>11</v>
      </c>
      <c r="R451">
        <v>24</v>
      </c>
      <c r="S451" t="s">
        <v>11</v>
      </c>
      <c r="T451" s="34">
        <v>76260</v>
      </c>
      <c r="U451" s="34">
        <v>35940</v>
      </c>
      <c r="V451" s="34">
        <v>6710</v>
      </c>
      <c r="W451">
        <v>1146</v>
      </c>
      <c r="X451">
        <v>4913</v>
      </c>
      <c r="Y451">
        <v>820</v>
      </c>
      <c r="Z451">
        <v>5314</v>
      </c>
      <c r="AA451">
        <v>1891</v>
      </c>
      <c r="AB451">
        <v>41047</v>
      </c>
      <c r="AC451">
        <v>33642</v>
      </c>
      <c r="AD451">
        <v>1913</v>
      </c>
      <c r="AE451">
        <v>739</v>
      </c>
      <c r="AF451">
        <v>7166</v>
      </c>
      <c r="AG451">
        <v>5100</v>
      </c>
      <c r="AH451">
        <f t="shared" si="72"/>
        <v>1913</v>
      </c>
      <c r="AI451">
        <f t="shared" si="73"/>
        <v>739</v>
      </c>
      <c r="AJ451">
        <v>14346</v>
      </c>
      <c r="AK451">
        <v>5181</v>
      </c>
      <c r="AL451">
        <v>43708</v>
      </c>
      <c r="AM451">
        <v>31791</v>
      </c>
      <c r="AN451" s="22">
        <v>281</v>
      </c>
      <c r="AO451">
        <v>416</v>
      </c>
      <c r="AP451">
        <v>977</v>
      </c>
      <c r="AQ451">
        <v>553</v>
      </c>
      <c r="AR451">
        <v>54</v>
      </c>
      <c r="AS451" t="s">
        <v>11</v>
      </c>
      <c r="AT451">
        <f t="shared" si="76"/>
        <v>977</v>
      </c>
      <c r="AU451">
        <f t="shared" si="77"/>
        <v>553</v>
      </c>
      <c r="AV451">
        <v>0</v>
      </c>
      <c r="AW451">
        <v>0</v>
      </c>
      <c r="AX451">
        <v>4</v>
      </c>
      <c r="AY451">
        <v>2</v>
      </c>
      <c r="AZ451">
        <f t="shared" si="78"/>
        <v>977</v>
      </c>
      <c r="BA451">
        <f t="shared" si="79"/>
        <v>553</v>
      </c>
      <c r="BB451">
        <f t="shared" si="74"/>
        <v>281</v>
      </c>
      <c r="BC451">
        <f t="shared" si="75"/>
        <v>416</v>
      </c>
      <c r="BD451">
        <v>97</v>
      </c>
      <c r="BE451">
        <v>97</v>
      </c>
      <c r="BF451" t="s">
        <v>11</v>
      </c>
      <c r="BG451" t="s">
        <v>11</v>
      </c>
      <c r="BH451">
        <v>20</v>
      </c>
      <c r="BI451" t="s">
        <v>11</v>
      </c>
      <c r="BJ451">
        <v>22</v>
      </c>
      <c r="BK451" t="s">
        <v>11</v>
      </c>
      <c r="BL451">
        <v>42</v>
      </c>
      <c r="BM451" t="s">
        <v>11</v>
      </c>
      <c r="BN451">
        <v>2</v>
      </c>
      <c r="BO451" t="s">
        <v>11</v>
      </c>
      <c r="BP451" t="str">
        <f t="shared" si="70"/>
        <v>NoData</v>
      </c>
      <c r="BQ451" t="str">
        <f t="shared" si="71"/>
        <v>NoData</v>
      </c>
      <c r="BR451">
        <v>72</v>
      </c>
      <c r="BS451" t="s">
        <v>11</v>
      </c>
      <c r="BT451">
        <v>68</v>
      </c>
      <c r="BU451" t="s">
        <v>11</v>
      </c>
    </row>
    <row r="452" spans="1:73" x14ac:dyDescent="0.25">
      <c r="A452" s="5">
        <v>39539</v>
      </c>
      <c r="B452">
        <v>4399</v>
      </c>
      <c r="C452">
        <v>2375</v>
      </c>
      <c r="D452">
        <v>29</v>
      </c>
      <c r="E452">
        <v>16</v>
      </c>
      <c r="F452">
        <v>4999</v>
      </c>
      <c r="G452">
        <v>3244</v>
      </c>
      <c r="H452">
        <v>2158</v>
      </c>
      <c r="I452">
        <v>1163</v>
      </c>
      <c r="J452">
        <v>1552</v>
      </c>
      <c r="K452">
        <v>1552</v>
      </c>
      <c r="L452">
        <v>68410</v>
      </c>
      <c r="M452">
        <v>46952</v>
      </c>
      <c r="N452">
        <v>332</v>
      </c>
      <c r="O452">
        <v>231</v>
      </c>
      <c r="P452" t="s">
        <v>11</v>
      </c>
      <c r="Q452" t="s">
        <v>11</v>
      </c>
      <c r="R452">
        <v>10</v>
      </c>
      <c r="S452" t="s">
        <v>11</v>
      </c>
      <c r="T452" s="34">
        <v>88090</v>
      </c>
      <c r="U452" s="34">
        <v>42729</v>
      </c>
      <c r="V452" s="34">
        <v>8758</v>
      </c>
      <c r="W452">
        <v>1491</v>
      </c>
      <c r="X452">
        <v>6068</v>
      </c>
      <c r="Y452">
        <v>1013</v>
      </c>
      <c r="Z452">
        <v>6052</v>
      </c>
      <c r="AA452">
        <v>2318</v>
      </c>
      <c r="AB452">
        <v>50114</v>
      </c>
      <c r="AC452">
        <v>42200</v>
      </c>
      <c r="AD452">
        <v>2505</v>
      </c>
      <c r="AE452">
        <v>1892</v>
      </c>
      <c r="AF452">
        <v>8631</v>
      </c>
      <c r="AG452">
        <v>5321</v>
      </c>
      <c r="AH452">
        <f t="shared" si="72"/>
        <v>2505</v>
      </c>
      <c r="AI452">
        <f t="shared" si="73"/>
        <v>1892</v>
      </c>
      <c r="AJ452">
        <v>17545</v>
      </c>
      <c r="AK452">
        <v>11169</v>
      </c>
      <c r="AL452">
        <v>47435</v>
      </c>
      <c r="AM452">
        <v>36441</v>
      </c>
      <c r="AN452" s="22">
        <v>159</v>
      </c>
      <c r="AO452">
        <v>303</v>
      </c>
      <c r="AP452">
        <v>1009</v>
      </c>
      <c r="AQ452">
        <v>601</v>
      </c>
      <c r="AR452">
        <v>58</v>
      </c>
      <c r="AS452" t="s">
        <v>11</v>
      </c>
      <c r="AT452">
        <f t="shared" si="76"/>
        <v>1009</v>
      </c>
      <c r="AU452">
        <f t="shared" si="77"/>
        <v>601</v>
      </c>
      <c r="AV452">
        <v>0</v>
      </c>
      <c r="AW452">
        <v>0</v>
      </c>
      <c r="AX452">
        <v>4</v>
      </c>
      <c r="AY452">
        <v>2</v>
      </c>
      <c r="AZ452">
        <f t="shared" si="78"/>
        <v>1009</v>
      </c>
      <c r="BA452">
        <f t="shared" si="79"/>
        <v>601</v>
      </c>
      <c r="BB452">
        <f t="shared" si="74"/>
        <v>159</v>
      </c>
      <c r="BC452">
        <f t="shared" si="75"/>
        <v>303</v>
      </c>
      <c r="BD452">
        <v>104</v>
      </c>
      <c r="BE452">
        <v>104</v>
      </c>
      <c r="BF452" t="s">
        <v>11</v>
      </c>
      <c r="BG452" t="s">
        <v>11</v>
      </c>
      <c r="BH452">
        <v>21</v>
      </c>
      <c r="BI452" t="s">
        <v>11</v>
      </c>
      <c r="BJ452">
        <v>23</v>
      </c>
      <c r="BK452" t="s">
        <v>11</v>
      </c>
      <c r="BL452">
        <v>37</v>
      </c>
      <c r="BM452" t="s">
        <v>11</v>
      </c>
      <c r="BN452">
        <v>3</v>
      </c>
      <c r="BO452" t="s">
        <v>11</v>
      </c>
      <c r="BP452" t="str">
        <f t="shared" si="70"/>
        <v>NoData</v>
      </c>
      <c r="BQ452" t="str">
        <f t="shared" si="71"/>
        <v>NoData</v>
      </c>
      <c r="BR452">
        <v>78</v>
      </c>
      <c r="BS452" t="s">
        <v>11</v>
      </c>
      <c r="BT452">
        <v>68</v>
      </c>
      <c r="BU452" t="s">
        <v>11</v>
      </c>
    </row>
    <row r="453" spans="1:73" x14ac:dyDescent="0.25">
      <c r="A453" s="5">
        <v>39569</v>
      </c>
      <c r="B453">
        <v>4136</v>
      </c>
      <c r="C453">
        <v>2233</v>
      </c>
      <c r="D453">
        <v>35</v>
      </c>
      <c r="E453">
        <v>19</v>
      </c>
      <c r="F453">
        <v>7528</v>
      </c>
      <c r="G453">
        <v>4591</v>
      </c>
      <c r="H453">
        <v>1993</v>
      </c>
      <c r="I453">
        <v>1075</v>
      </c>
      <c r="J453">
        <v>2254</v>
      </c>
      <c r="K453">
        <v>2254</v>
      </c>
      <c r="L453">
        <v>63600</v>
      </c>
      <c r="M453">
        <v>41431</v>
      </c>
      <c r="N453">
        <v>407</v>
      </c>
      <c r="O453">
        <v>280</v>
      </c>
      <c r="P453" t="s">
        <v>11</v>
      </c>
      <c r="Q453" t="s">
        <v>11</v>
      </c>
      <c r="R453">
        <v>15</v>
      </c>
      <c r="S453" t="s">
        <v>11</v>
      </c>
      <c r="T453" s="34">
        <v>93760</v>
      </c>
      <c r="U453" s="34">
        <v>46145</v>
      </c>
      <c r="V453" s="34">
        <v>6083</v>
      </c>
      <c r="W453">
        <v>1050</v>
      </c>
      <c r="X453">
        <v>5796</v>
      </c>
      <c r="Y453">
        <v>968</v>
      </c>
      <c r="Z453">
        <v>5602</v>
      </c>
      <c r="AA453">
        <v>2158</v>
      </c>
      <c r="AB453">
        <v>41115</v>
      </c>
      <c r="AC453">
        <v>33086</v>
      </c>
      <c r="AD453">
        <v>2605</v>
      </c>
      <c r="AE453">
        <v>1189</v>
      </c>
      <c r="AF453">
        <v>7957</v>
      </c>
      <c r="AG453">
        <v>4833</v>
      </c>
      <c r="AH453">
        <f t="shared" si="72"/>
        <v>2605</v>
      </c>
      <c r="AI453">
        <f t="shared" si="73"/>
        <v>1189</v>
      </c>
      <c r="AJ453">
        <v>20390</v>
      </c>
      <c r="AK453">
        <v>8958</v>
      </c>
      <c r="AL453">
        <v>45249</v>
      </c>
      <c r="AM453">
        <v>34302</v>
      </c>
      <c r="AN453" s="22">
        <v>208</v>
      </c>
      <c r="AO453">
        <v>387</v>
      </c>
      <c r="AP453">
        <v>851</v>
      </c>
      <c r="AQ453">
        <v>508</v>
      </c>
      <c r="AR453">
        <v>71</v>
      </c>
      <c r="AS453" t="s">
        <v>11</v>
      </c>
      <c r="AT453">
        <f t="shared" si="76"/>
        <v>851</v>
      </c>
      <c r="AU453">
        <f t="shared" si="77"/>
        <v>508</v>
      </c>
      <c r="AV453">
        <v>0</v>
      </c>
      <c r="AW453">
        <v>0</v>
      </c>
      <c r="AX453">
        <v>4</v>
      </c>
      <c r="AY453">
        <v>2</v>
      </c>
      <c r="AZ453">
        <f t="shared" si="78"/>
        <v>851</v>
      </c>
      <c r="BA453">
        <f t="shared" si="79"/>
        <v>508</v>
      </c>
      <c r="BB453">
        <f t="shared" si="74"/>
        <v>208</v>
      </c>
      <c r="BC453">
        <f t="shared" si="75"/>
        <v>387</v>
      </c>
      <c r="BD453">
        <v>61</v>
      </c>
      <c r="BE453">
        <v>61</v>
      </c>
      <c r="BF453" t="s">
        <v>11</v>
      </c>
      <c r="BG453" t="s">
        <v>11</v>
      </c>
      <c r="BH453">
        <v>26</v>
      </c>
      <c r="BI453" t="s">
        <v>11</v>
      </c>
      <c r="BJ453">
        <v>29</v>
      </c>
      <c r="BK453" t="s">
        <v>11</v>
      </c>
      <c r="BL453">
        <v>69</v>
      </c>
      <c r="BM453" t="s">
        <v>11</v>
      </c>
      <c r="BN453">
        <v>4</v>
      </c>
      <c r="BO453" t="s">
        <v>11</v>
      </c>
      <c r="BP453" t="str">
        <f t="shared" ref="BP453:BP510" si="80">BF453</f>
        <v>NoData</v>
      </c>
      <c r="BQ453" t="str">
        <f t="shared" ref="BQ453:BQ496" si="81">BG453</f>
        <v>NoData</v>
      </c>
      <c r="BR453">
        <v>95</v>
      </c>
      <c r="BS453" t="s">
        <v>11</v>
      </c>
      <c r="BT453">
        <v>34</v>
      </c>
      <c r="BU453" t="s">
        <v>11</v>
      </c>
    </row>
    <row r="454" spans="1:73" x14ac:dyDescent="0.25">
      <c r="A454" s="5">
        <v>39600</v>
      </c>
      <c r="B454">
        <v>5014</v>
      </c>
      <c r="C454">
        <v>2708</v>
      </c>
      <c r="D454">
        <v>43</v>
      </c>
      <c r="E454">
        <v>23</v>
      </c>
      <c r="F454">
        <v>11299</v>
      </c>
      <c r="G454">
        <v>6426</v>
      </c>
      <c r="H454">
        <v>1093</v>
      </c>
      <c r="I454">
        <v>592</v>
      </c>
      <c r="J454">
        <v>2074</v>
      </c>
      <c r="K454">
        <v>2074</v>
      </c>
      <c r="L454">
        <v>71840</v>
      </c>
      <c r="M454">
        <v>50882</v>
      </c>
      <c r="N454">
        <v>493</v>
      </c>
      <c r="O454">
        <v>338</v>
      </c>
      <c r="P454" t="s">
        <v>11</v>
      </c>
      <c r="Q454" t="s">
        <v>11</v>
      </c>
      <c r="R454">
        <v>44</v>
      </c>
      <c r="S454" t="s">
        <v>11</v>
      </c>
      <c r="T454" s="34">
        <v>103600</v>
      </c>
      <c r="U454" s="34">
        <v>55129</v>
      </c>
      <c r="V454" s="34">
        <v>1956</v>
      </c>
      <c r="W454">
        <v>368</v>
      </c>
      <c r="X454">
        <v>3529</v>
      </c>
      <c r="Y454">
        <v>589</v>
      </c>
      <c r="Z454">
        <v>4042</v>
      </c>
      <c r="AA454">
        <v>1409</v>
      </c>
      <c r="AB454">
        <v>20999</v>
      </c>
      <c r="AC454">
        <v>15542</v>
      </c>
      <c r="AD454">
        <v>2841</v>
      </c>
      <c r="AE454">
        <v>1109</v>
      </c>
      <c r="AF454">
        <v>6244</v>
      </c>
      <c r="AG454">
        <v>3513</v>
      </c>
      <c r="AH454">
        <f t="shared" ref="AH454:AH517" si="82">AD454</f>
        <v>2841</v>
      </c>
      <c r="AI454">
        <f t="shared" ref="AI454:AI517" si="83">AE454</f>
        <v>1109</v>
      </c>
      <c r="AJ454">
        <v>23750</v>
      </c>
      <c r="AK454">
        <v>9762</v>
      </c>
      <c r="AL454">
        <v>39717</v>
      </c>
      <c r="AM454">
        <v>28504</v>
      </c>
      <c r="AN454" s="22">
        <v>213</v>
      </c>
      <c r="AO454">
        <v>429</v>
      </c>
      <c r="AP454">
        <v>376</v>
      </c>
      <c r="AQ454">
        <v>217</v>
      </c>
      <c r="AR454">
        <v>86</v>
      </c>
      <c r="AS454" t="s">
        <v>11</v>
      </c>
      <c r="AT454">
        <f t="shared" si="76"/>
        <v>376</v>
      </c>
      <c r="AU454">
        <f t="shared" si="77"/>
        <v>217</v>
      </c>
      <c r="AV454">
        <v>0</v>
      </c>
      <c r="AW454">
        <v>0</v>
      </c>
      <c r="AX454">
        <v>4</v>
      </c>
      <c r="AY454">
        <v>2</v>
      </c>
      <c r="AZ454">
        <f t="shared" si="78"/>
        <v>376</v>
      </c>
      <c r="BA454">
        <f t="shared" si="79"/>
        <v>217</v>
      </c>
      <c r="BB454">
        <f t="shared" ref="BB454:BB517" si="84">AN454</f>
        <v>213</v>
      </c>
      <c r="BC454">
        <f t="shared" ref="BC454:BC517" si="85">AO454</f>
        <v>429</v>
      </c>
      <c r="BD454">
        <v>32</v>
      </c>
      <c r="BE454">
        <v>32</v>
      </c>
      <c r="BF454" t="s">
        <v>11</v>
      </c>
      <c r="BG454" t="s">
        <v>11</v>
      </c>
      <c r="BH454">
        <v>32</v>
      </c>
      <c r="BI454" t="s">
        <v>11</v>
      </c>
      <c r="BJ454">
        <v>35</v>
      </c>
      <c r="BK454" t="s">
        <v>11</v>
      </c>
      <c r="BL454">
        <v>72</v>
      </c>
      <c r="BM454" t="s">
        <v>11</v>
      </c>
      <c r="BN454">
        <v>5</v>
      </c>
      <c r="BO454" t="s">
        <v>11</v>
      </c>
      <c r="BP454" t="str">
        <f t="shared" si="80"/>
        <v>NoData</v>
      </c>
      <c r="BQ454" t="str">
        <f t="shared" si="81"/>
        <v>NoData</v>
      </c>
      <c r="BR454">
        <v>115</v>
      </c>
      <c r="BS454" t="s">
        <v>11</v>
      </c>
      <c r="BT454">
        <v>34</v>
      </c>
      <c r="BU454" t="s">
        <v>11</v>
      </c>
    </row>
    <row r="455" spans="1:73" x14ac:dyDescent="0.25">
      <c r="A455" s="5">
        <v>39630</v>
      </c>
      <c r="B455">
        <v>3531</v>
      </c>
      <c r="C455">
        <v>1907</v>
      </c>
      <c r="D455">
        <v>46</v>
      </c>
      <c r="E455">
        <v>25</v>
      </c>
      <c r="F455">
        <v>11350</v>
      </c>
      <c r="G455">
        <v>6307</v>
      </c>
      <c r="H455">
        <v>2025</v>
      </c>
      <c r="I455">
        <v>1091</v>
      </c>
      <c r="J455">
        <v>2480</v>
      </c>
      <c r="K455">
        <v>2480</v>
      </c>
      <c r="L455">
        <v>80370</v>
      </c>
      <c r="M455">
        <v>58601</v>
      </c>
      <c r="N455">
        <v>538</v>
      </c>
      <c r="O455">
        <v>367</v>
      </c>
      <c r="P455" t="s">
        <v>11</v>
      </c>
      <c r="Q455" t="s">
        <v>11</v>
      </c>
      <c r="R455">
        <v>26</v>
      </c>
      <c r="S455" t="s">
        <v>11</v>
      </c>
      <c r="T455" s="34">
        <v>106000</v>
      </c>
      <c r="U455" s="34">
        <v>55639</v>
      </c>
      <c r="V455" s="34">
        <v>2700</v>
      </c>
      <c r="W455">
        <v>496</v>
      </c>
      <c r="X455">
        <v>3373</v>
      </c>
      <c r="Y455">
        <v>563</v>
      </c>
      <c r="Z455">
        <v>4291</v>
      </c>
      <c r="AA455">
        <v>1506</v>
      </c>
      <c r="AB455">
        <v>26584</v>
      </c>
      <c r="AC455">
        <v>20792</v>
      </c>
      <c r="AD455">
        <v>3668</v>
      </c>
      <c r="AE455">
        <v>1891</v>
      </c>
      <c r="AF455">
        <v>6759</v>
      </c>
      <c r="AG455">
        <v>3972</v>
      </c>
      <c r="AH455">
        <f t="shared" si="82"/>
        <v>3668</v>
      </c>
      <c r="AI455">
        <f t="shared" si="83"/>
        <v>1891</v>
      </c>
      <c r="AJ455">
        <v>26191</v>
      </c>
      <c r="AK455">
        <v>11646</v>
      </c>
      <c r="AL455">
        <v>41740</v>
      </c>
      <c r="AM455">
        <v>30381</v>
      </c>
      <c r="AN455" s="22">
        <v>536</v>
      </c>
      <c r="AO455">
        <v>767</v>
      </c>
      <c r="AP455">
        <v>429</v>
      </c>
      <c r="AQ455">
        <v>246</v>
      </c>
      <c r="AR455">
        <v>94</v>
      </c>
      <c r="AS455" t="s">
        <v>11</v>
      </c>
      <c r="AT455">
        <f t="shared" si="76"/>
        <v>429</v>
      </c>
      <c r="AU455">
        <f t="shared" si="77"/>
        <v>246</v>
      </c>
      <c r="AV455">
        <v>0</v>
      </c>
      <c r="AW455">
        <v>0</v>
      </c>
      <c r="AX455">
        <v>4</v>
      </c>
      <c r="AY455">
        <v>2</v>
      </c>
      <c r="AZ455">
        <f t="shared" si="78"/>
        <v>429</v>
      </c>
      <c r="BA455">
        <f t="shared" si="79"/>
        <v>246</v>
      </c>
      <c r="BB455">
        <f t="shared" si="84"/>
        <v>536</v>
      </c>
      <c r="BC455">
        <f t="shared" si="85"/>
        <v>767</v>
      </c>
      <c r="BD455">
        <v>13</v>
      </c>
      <c r="BE455">
        <v>13</v>
      </c>
      <c r="BF455" t="s">
        <v>11</v>
      </c>
      <c r="BG455" t="s">
        <v>11</v>
      </c>
      <c r="BH455">
        <v>34</v>
      </c>
      <c r="BI455" t="s">
        <v>11</v>
      </c>
      <c r="BJ455">
        <v>38</v>
      </c>
      <c r="BK455" t="s">
        <v>11</v>
      </c>
      <c r="BL455">
        <v>54</v>
      </c>
      <c r="BM455" t="s">
        <v>11</v>
      </c>
      <c r="BN455">
        <v>6</v>
      </c>
      <c r="BO455" t="s">
        <v>11</v>
      </c>
      <c r="BP455" t="str">
        <f t="shared" si="80"/>
        <v>NoData</v>
      </c>
      <c r="BQ455" t="str">
        <f t="shared" si="81"/>
        <v>NoData</v>
      </c>
      <c r="BR455">
        <v>126</v>
      </c>
      <c r="BS455" t="s">
        <v>11</v>
      </c>
      <c r="BT455">
        <v>0</v>
      </c>
      <c r="BU455" t="s">
        <v>11</v>
      </c>
    </row>
    <row r="456" spans="1:73" x14ac:dyDescent="0.25">
      <c r="A456" s="5">
        <v>39661</v>
      </c>
      <c r="B456">
        <v>3160</v>
      </c>
      <c r="C456">
        <v>1706</v>
      </c>
      <c r="D456">
        <v>45</v>
      </c>
      <c r="E456">
        <v>24</v>
      </c>
      <c r="F456">
        <v>8479</v>
      </c>
      <c r="G456">
        <v>4775</v>
      </c>
      <c r="H456">
        <v>1163</v>
      </c>
      <c r="I456">
        <v>629</v>
      </c>
      <c r="J456">
        <v>2155</v>
      </c>
      <c r="K456">
        <v>2155</v>
      </c>
      <c r="L456">
        <v>75410</v>
      </c>
      <c r="M456">
        <v>52246</v>
      </c>
      <c r="N456">
        <v>518</v>
      </c>
      <c r="O456">
        <v>361</v>
      </c>
      <c r="P456" t="s">
        <v>11</v>
      </c>
      <c r="Q456" t="s">
        <v>11</v>
      </c>
      <c r="R456">
        <v>38</v>
      </c>
      <c r="S456" t="s">
        <v>11</v>
      </c>
      <c r="T456" s="34">
        <v>99350</v>
      </c>
      <c r="U456" s="34">
        <v>50993</v>
      </c>
      <c r="V456" s="34">
        <v>3000</v>
      </c>
      <c r="W456">
        <v>544</v>
      </c>
      <c r="X456">
        <v>3299</v>
      </c>
      <c r="Y456">
        <v>551</v>
      </c>
      <c r="Z456">
        <v>3242</v>
      </c>
      <c r="AA456">
        <v>834</v>
      </c>
      <c r="AB456">
        <v>21031</v>
      </c>
      <c r="AC456">
        <v>15479</v>
      </c>
      <c r="AD456">
        <v>3139</v>
      </c>
      <c r="AE456">
        <v>1460</v>
      </c>
      <c r="AF456">
        <v>5515</v>
      </c>
      <c r="AG456">
        <v>2869</v>
      </c>
      <c r="AH456">
        <f t="shared" si="82"/>
        <v>3139</v>
      </c>
      <c r="AI456">
        <f t="shared" si="83"/>
        <v>1460</v>
      </c>
      <c r="AJ456">
        <v>22624</v>
      </c>
      <c r="AK456">
        <v>9029</v>
      </c>
      <c r="AL456">
        <v>40540</v>
      </c>
      <c r="AM456">
        <v>27004</v>
      </c>
      <c r="AN456" s="22">
        <v>97</v>
      </c>
      <c r="AO456">
        <v>323</v>
      </c>
      <c r="AP456">
        <v>466</v>
      </c>
      <c r="AQ456">
        <v>249</v>
      </c>
      <c r="AR456">
        <v>90</v>
      </c>
      <c r="AS456" t="s">
        <v>11</v>
      </c>
      <c r="AT456">
        <f t="shared" si="76"/>
        <v>466</v>
      </c>
      <c r="AU456">
        <f t="shared" si="77"/>
        <v>249</v>
      </c>
      <c r="AV456">
        <v>0</v>
      </c>
      <c r="AW456">
        <v>0</v>
      </c>
      <c r="AX456">
        <v>4</v>
      </c>
      <c r="AY456">
        <v>2</v>
      </c>
      <c r="AZ456">
        <f t="shared" si="78"/>
        <v>466</v>
      </c>
      <c r="BA456">
        <f t="shared" si="79"/>
        <v>249</v>
      </c>
      <c r="BB456">
        <f t="shared" si="84"/>
        <v>97</v>
      </c>
      <c r="BC456">
        <f t="shared" si="85"/>
        <v>323</v>
      </c>
      <c r="BD456">
        <v>8</v>
      </c>
      <c r="BE456">
        <v>8</v>
      </c>
      <c r="BF456" t="s">
        <v>11</v>
      </c>
      <c r="BG456" t="s">
        <v>11</v>
      </c>
      <c r="BH456">
        <v>33</v>
      </c>
      <c r="BI456" t="s">
        <v>11</v>
      </c>
      <c r="BJ456">
        <v>37</v>
      </c>
      <c r="BK456" t="s">
        <v>11</v>
      </c>
      <c r="BL456">
        <v>0</v>
      </c>
      <c r="BM456" t="s">
        <v>11</v>
      </c>
      <c r="BN456">
        <v>7</v>
      </c>
      <c r="BO456" t="s">
        <v>11</v>
      </c>
      <c r="BP456" t="str">
        <f t="shared" si="80"/>
        <v>NoData</v>
      </c>
      <c r="BQ456" t="str">
        <f t="shared" si="81"/>
        <v>NoData</v>
      </c>
      <c r="BR456">
        <v>121</v>
      </c>
      <c r="BS456" t="s">
        <v>11</v>
      </c>
      <c r="BT456">
        <v>0</v>
      </c>
      <c r="BU456" t="s">
        <v>11</v>
      </c>
    </row>
    <row r="457" spans="1:73" x14ac:dyDescent="0.25">
      <c r="A457" s="5">
        <v>39692</v>
      </c>
      <c r="B457">
        <v>4217</v>
      </c>
      <c r="C457">
        <v>2277</v>
      </c>
      <c r="D457">
        <v>35</v>
      </c>
      <c r="E457">
        <v>19</v>
      </c>
      <c r="F457">
        <v>4932</v>
      </c>
      <c r="G457">
        <v>2832</v>
      </c>
      <c r="H457">
        <v>1320</v>
      </c>
      <c r="I457">
        <v>713</v>
      </c>
      <c r="J457">
        <v>1837</v>
      </c>
      <c r="K457">
        <v>1837</v>
      </c>
      <c r="L457">
        <v>60040</v>
      </c>
      <c r="M457">
        <v>37779</v>
      </c>
      <c r="N457">
        <v>407</v>
      </c>
      <c r="O457">
        <v>279</v>
      </c>
      <c r="P457" t="s">
        <v>11</v>
      </c>
      <c r="Q457" t="s">
        <v>11</v>
      </c>
      <c r="R457">
        <v>23</v>
      </c>
      <c r="S457" t="s">
        <v>11</v>
      </c>
      <c r="T457" s="34">
        <v>83030</v>
      </c>
      <c r="U457" s="34">
        <v>35113</v>
      </c>
      <c r="V457" s="34">
        <v>1633</v>
      </c>
      <c r="W457">
        <v>307</v>
      </c>
      <c r="X457">
        <v>3663</v>
      </c>
      <c r="Y457">
        <v>612</v>
      </c>
      <c r="Z457">
        <v>3802</v>
      </c>
      <c r="AA457">
        <v>1083</v>
      </c>
      <c r="AB457">
        <v>22355</v>
      </c>
      <c r="AC457">
        <v>15343</v>
      </c>
      <c r="AD457">
        <v>2429</v>
      </c>
      <c r="AE457">
        <v>1205</v>
      </c>
      <c r="AF457">
        <v>5789</v>
      </c>
      <c r="AG457">
        <v>3385</v>
      </c>
      <c r="AH457">
        <f t="shared" si="82"/>
        <v>2429</v>
      </c>
      <c r="AI457">
        <f t="shared" si="83"/>
        <v>1205</v>
      </c>
      <c r="AJ457">
        <v>18258</v>
      </c>
      <c r="AK457">
        <v>8139</v>
      </c>
      <c r="AL457">
        <v>36057</v>
      </c>
      <c r="AM457">
        <v>24132</v>
      </c>
      <c r="AN457" s="22">
        <v>0</v>
      </c>
      <c r="AO457">
        <v>180</v>
      </c>
      <c r="AP457">
        <v>562</v>
      </c>
      <c r="AQ457">
        <v>319</v>
      </c>
      <c r="AR457">
        <v>71</v>
      </c>
      <c r="AS457" t="s">
        <v>11</v>
      </c>
      <c r="AT457">
        <f t="shared" si="76"/>
        <v>562</v>
      </c>
      <c r="AU457">
        <f t="shared" si="77"/>
        <v>319</v>
      </c>
      <c r="AV457">
        <v>0</v>
      </c>
      <c r="AW457">
        <v>0</v>
      </c>
      <c r="AX457">
        <v>4</v>
      </c>
      <c r="AY457">
        <v>2</v>
      </c>
      <c r="AZ457">
        <f t="shared" si="78"/>
        <v>562</v>
      </c>
      <c r="BA457">
        <f t="shared" si="79"/>
        <v>319</v>
      </c>
      <c r="BB457">
        <f t="shared" si="84"/>
        <v>0</v>
      </c>
      <c r="BC457">
        <f t="shared" si="85"/>
        <v>180</v>
      </c>
      <c r="BD457">
        <v>8</v>
      </c>
      <c r="BE457">
        <v>8</v>
      </c>
      <c r="BF457" t="s">
        <v>11</v>
      </c>
      <c r="BG457" t="s">
        <v>11</v>
      </c>
      <c r="BH457">
        <v>26</v>
      </c>
      <c r="BI457" t="s">
        <v>11</v>
      </c>
      <c r="BJ457">
        <v>29</v>
      </c>
      <c r="BK457" t="s">
        <v>11</v>
      </c>
      <c r="BL457">
        <v>43</v>
      </c>
      <c r="BM457" t="s">
        <v>11</v>
      </c>
      <c r="BN457">
        <v>8</v>
      </c>
      <c r="BO457" t="s">
        <v>11</v>
      </c>
      <c r="BP457" t="str">
        <f t="shared" si="80"/>
        <v>NoData</v>
      </c>
      <c r="BQ457" t="str">
        <f t="shared" si="81"/>
        <v>NoData</v>
      </c>
      <c r="BR457">
        <v>95</v>
      </c>
      <c r="BS457" t="s">
        <v>11</v>
      </c>
      <c r="BT457">
        <v>0</v>
      </c>
      <c r="BU457" t="s">
        <v>11</v>
      </c>
    </row>
    <row r="458" spans="1:73" x14ac:dyDescent="0.25">
      <c r="A458" s="5">
        <v>39722</v>
      </c>
      <c r="B458">
        <v>2081</v>
      </c>
      <c r="C458">
        <v>1124</v>
      </c>
      <c r="D458">
        <v>29</v>
      </c>
      <c r="E458">
        <v>16</v>
      </c>
      <c r="F458">
        <v>4064</v>
      </c>
      <c r="G458">
        <v>2200</v>
      </c>
      <c r="H458">
        <v>750</v>
      </c>
      <c r="I458">
        <v>404</v>
      </c>
      <c r="J458">
        <v>1396</v>
      </c>
      <c r="K458">
        <v>1396</v>
      </c>
      <c r="L458">
        <v>43770</v>
      </c>
      <c r="M458">
        <v>22442</v>
      </c>
      <c r="N458">
        <v>341</v>
      </c>
      <c r="O458">
        <v>236</v>
      </c>
      <c r="P458" t="s">
        <v>11</v>
      </c>
      <c r="Q458" t="s">
        <v>11</v>
      </c>
      <c r="R458">
        <v>21</v>
      </c>
      <c r="S458" t="s">
        <v>11</v>
      </c>
      <c r="T458" s="34">
        <v>64800</v>
      </c>
      <c r="U458" s="34">
        <v>21730</v>
      </c>
      <c r="V458" s="34">
        <v>3829</v>
      </c>
      <c r="W458">
        <v>668</v>
      </c>
      <c r="X458">
        <v>5120</v>
      </c>
      <c r="Y458">
        <v>855</v>
      </c>
      <c r="Z458">
        <v>4918</v>
      </c>
      <c r="AA458">
        <v>1264</v>
      </c>
      <c r="AB458">
        <v>39878</v>
      </c>
      <c r="AC458">
        <v>27838</v>
      </c>
      <c r="AD458">
        <v>2172</v>
      </c>
      <c r="AE458">
        <v>608</v>
      </c>
      <c r="AF458">
        <v>6464</v>
      </c>
      <c r="AG458">
        <v>3852</v>
      </c>
      <c r="AH458">
        <f t="shared" si="82"/>
        <v>2172</v>
      </c>
      <c r="AI458">
        <f t="shared" si="83"/>
        <v>608</v>
      </c>
      <c r="AJ458">
        <v>14893</v>
      </c>
      <c r="AK458">
        <v>3568</v>
      </c>
      <c r="AL458">
        <v>33597</v>
      </c>
      <c r="AM458">
        <v>22449</v>
      </c>
      <c r="AN458" s="22">
        <v>141</v>
      </c>
      <c r="AO458">
        <v>286</v>
      </c>
      <c r="AP458">
        <v>921</v>
      </c>
      <c r="AQ458">
        <v>547</v>
      </c>
      <c r="AR458">
        <v>59</v>
      </c>
      <c r="AS458" t="s">
        <v>11</v>
      </c>
      <c r="AT458">
        <f t="shared" si="76"/>
        <v>921</v>
      </c>
      <c r="AU458">
        <f t="shared" si="77"/>
        <v>547</v>
      </c>
      <c r="AV458">
        <v>0</v>
      </c>
      <c r="AW458">
        <v>0</v>
      </c>
      <c r="AX458">
        <v>4</v>
      </c>
      <c r="AY458">
        <v>2</v>
      </c>
      <c r="AZ458">
        <f t="shared" si="78"/>
        <v>921</v>
      </c>
      <c r="BA458">
        <f t="shared" si="79"/>
        <v>547</v>
      </c>
      <c r="BB458">
        <f t="shared" si="84"/>
        <v>141</v>
      </c>
      <c r="BC458">
        <f t="shared" si="85"/>
        <v>286</v>
      </c>
      <c r="BD458">
        <v>8</v>
      </c>
      <c r="BE458">
        <v>8</v>
      </c>
      <c r="BF458" t="s">
        <v>11</v>
      </c>
      <c r="BG458" t="s">
        <v>11</v>
      </c>
      <c r="BH458">
        <v>22</v>
      </c>
      <c r="BI458" t="s">
        <v>11</v>
      </c>
      <c r="BJ458">
        <v>24</v>
      </c>
      <c r="BK458" t="s">
        <v>11</v>
      </c>
      <c r="BL458">
        <v>67</v>
      </c>
      <c r="BM458" t="s">
        <v>11</v>
      </c>
      <c r="BN458">
        <v>9</v>
      </c>
      <c r="BO458" t="s">
        <v>11</v>
      </c>
      <c r="BP458" t="str">
        <f t="shared" si="80"/>
        <v>NoData</v>
      </c>
      <c r="BQ458" t="str">
        <f t="shared" si="81"/>
        <v>NoData</v>
      </c>
      <c r="BR458">
        <v>80</v>
      </c>
      <c r="BS458" t="s">
        <v>11</v>
      </c>
      <c r="BT458">
        <v>68</v>
      </c>
      <c r="BU458" t="s">
        <v>11</v>
      </c>
    </row>
    <row r="459" spans="1:73" x14ac:dyDescent="0.25">
      <c r="A459" s="5">
        <v>39753</v>
      </c>
      <c r="B459">
        <v>1868</v>
      </c>
      <c r="C459">
        <v>1009</v>
      </c>
      <c r="D459">
        <v>21</v>
      </c>
      <c r="E459">
        <v>11</v>
      </c>
      <c r="F459">
        <v>2731</v>
      </c>
      <c r="G459">
        <v>1475</v>
      </c>
      <c r="H459">
        <v>891</v>
      </c>
      <c r="I459">
        <v>481</v>
      </c>
      <c r="J459">
        <v>806</v>
      </c>
      <c r="K459">
        <v>806</v>
      </c>
      <c r="L459">
        <v>30200</v>
      </c>
      <c r="M459">
        <v>11675</v>
      </c>
      <c r="N459">
        <v>242</v>
      </c>
      <c r="O459">
        <v>170</v>
      </c>
      <c r="P459" t="s">
        <v>11</v>
      </c>
      <c r="Q459" t="s">
        <v>11</v>
      </c>
      <c r="R459">
        <v>12</v>
      </c>
      <c r="S459" t="s">
        <v>11</v>
      </c>
      <c r="T459" s="34">
        <v>46220</v>
      </c>
      <c r="U459" s="34">
        <v>8168</v>
      </c>
      <c r="V459" s="34">
        <v>2897</v>
      </c>
      <c r="W459">
        <v>504</v>
      </c>
      <c r="X459">
        <v>3295</v>
      </c>
      <c r="Y459">
        <v>550</v>
      </c>
      <c r="Z459">
        <v>3667</v>
      </c>
      <c r="AA459">
        <v>579</v>
      </c>
      <c r="AB459">
        <v>27712</v>
      </c>
      <c r="AC459">
        <v>15692</v>
      </c>
      <c r="AD459">
        <v>1623</v>
      </c>
      <c r="AE459">
        <v>162</v>
      </c>
      <c r="AF459">
        <v>4711</v>
      </c>
      <c r="AG459">
        <v>2525</v>
      </c>
      <c r="AH459">
        <f t="shared" si="82"/>
        <v>1623</v>
      </c>
      <c r="AI459">
        <f t="shared" si="83"/>
        <v>162</v>
      </c>
      <c r="AJ459">
        <v>9507</v>
      </c>
      <c r="AK459">
        <v>-311</v>
      </c>
      <c r="AL459">
        <v>20839</v>
      </c>
      <c r="AM459">
        <v>8675</v>
      </c>
      <c r="AN459" s="22">
        <v>73</v>
      </c>
      <c r="AO459">
        <v>178</v>
      </c>
      <c r="AP459">
        <v>606</v>
      </c>
      <c r="AQ459">
        <v>341</v>
      </c>
      <c r="AR459">
        <v>42</v>
      </c>
      <c r="AS459" t="s">
        <v>11</v>
      </c>
      <c r="AT459">
        <f t="shared" si="76"/>
        <v>606</v>
      </c>
      <c r="AU459">
        <f t="shared" si="77"/>
        <v>341</v>
      </c>
      <c r="AV459">
        <v>0</v>
      </c>
      <c r="AW459">
        <v>0</v>
      </c>
      <c r="AX459">
        <v>4</v>
      </c>
      <c r="AY459">
        <v>2</v>
      </c>
      <c r="AZ459">
        <f t="shared" si="78"/>
        <v>606</v>
      </c>
      <c r="BA459">
        <f t="shared" si="79"/>
        <v>341</v>
      </c>
      <c r="BB459">
        <f t="shared" si="84"/>
        <v>73</v>
      </c>
      <c r="BC459">
        <f t="shared" si="85"/>
        <v>178</v>
      </c>
      <c r="BD459">
        <v>4</v>
      </c>
      <c r="BE459">
        <v>4</v>
      </c>
      <c r="BF459" t="s">
        <v>11</v>
      </c>
      <c r="BG459" t="s">
        <v>11</v>
      </c>
      <c r="BH459">
        <v>15</v>
      </c>
      <c r="BI459" t="s">
        <v>11</v>
      </c>
      <c r="BJ459">
        <v>17</v>
      </c>
      <c r="BK459" t="s">
        <v>11</v>
      </c>
      <c r="BL459">
        <v>40</v>
      </c>
      <c r="BM459" t="s">
        <v>11</v>
      </c>
      <c r="BN459">
        <v>10</v>
      </c>
      <c r="BO459" t="s">
        <v>11</v>
      </c>
      <c r="BP459" t="str">
        <f t="shared" si="80"/>
        <v>NoData</v>
      </c>
      <c r="BQ459" t="str">
        <f t="shared" si="81"/>
        <v>NoData</v>
      </c>
      <c r="BR459">
        <v>57</v>
      </c>
      <c r="BS459" t="s">
        <v>11</v>
      </c>
      <c r="BT459">
        <v>68</v>
      </c>
      <c r="BU459" t="s">
        <v>11</v>
      </c>
    </row>
    <row r="460" spans="1:73" x14ac:dyDescent="0.25">
      <c r="A460" s="5">
        <v>39783</v>
      </c>
      <c r="B460">
        <v>1315</v>
      </c>
      <c r="C460">
        <v>710</v>
      </c>
      <c r="D460">
        <v>20</v>
      </c>
      <c r="E460">
        <v>11</v>
      </c>
      <c r="F460">
        <v>791</v>
      </c>
      <c r="G460">
        <v>427</v>
      </c>
      <c r="H460">
        <v>646</v>
      </c>
      <c r="I460">
        <v>349</v>
      </c>
      <c r="J460">
        <v>852</v>
      </c>
      <c r="K460">
        <v>852</v>
      </c>
      <c r="L460">
        <v>20550</v>
      </c>
      <c r="M460">
        <v>5294</v>
      </c>
      <c r="N460">
        <v>238</v>
      </c>
      <c r="O460">
        <v>159</v>
      </c>
      <c r="P460" t="s">
        <v>11</v>
      </c>
      <c r="Q460" t="s">
        <v>11</v>
      </c>
      <c r="R460">
        <v>20</v>
      </c>
      <c r="S460" t="s">
        <v>11</v>
      </c>
      <c r="T460" s="34">
        <v>33840</v>
      </c>
      <c r="U460" s="34">
        <v>820</v>
      </c>
      <c r="V460" s="34">
        <v>1353</v>
      </c>
      <c r="W460">
        <v>246</v>
      </c>
      <c r="X460">
        <v>1105</v>
      </c>
      <c r="Y460">
        <v>185</v>
      </c>
      <c r="Z460">
        <v>1301</v>
      </c>
      <c r="AA460">
        <v>-181</v>
      </c>
      <c r="AB460">
        <v>11048</v>
      </c>
      <c r="AC460">
        <v>471</v>
      </c>
      <c r="AD460">
        <v>1262</v>
      </c>
      <c r="AE460">
        <v>-123</v>
      </c>
      <c r="AF460">
        <v>1839</v>
      </c>
      <c r="AG460">
        <v>551</v>
      </c>
      <c r="AH460">
        <f t="shared" si="82"/>
        <v>1262</v>
      </c>
      <c r="AI460">
        <f t="shared" si="83"/>
        <v>-123</v>
      </c>
      <c r="AJ460">
        <v>5054</v>
      </c>
      <c r="AK460">
        <v>-3023</v>
      </c>
      <c r="AL460">
        <v>8480</v>
      </c>
      <c r="AM460">
        <v>-5658</v>
      </c>
      <c r="AN460" s="22">
        <v>113</v>
      </c>
      <c r="AO460">
        <v>212</v>
      </c>
      <c r="AP460">
        <v>90</v>
      </c>
      <c r="AQ460">
        <v>32</v>
      </c>
      <c r="AR460">
        <v>42</v>
      </c>
      <c r="AS460" t="s">
        <v>11</v>
      </c>
      <c r="AT460">
        <f t="shared" si="76"/>
        <v>90</v>
      </c>
      <c r="AU460">
        <f t="shared" si="77"/>
        <v>32</v>
      </c>
      <c r="AV460">
        <v>0</v>
      </c>
      <c r="AW460">
        <v>0</v>
      </c>
      <c r="AX460">
        <v>4</v>
      </c>
      <c r="AY460">
        <v>2</v>
      </c>
      <c r="AZ460">
        <f t="shared" si="78"/>
        <v>90</v>
      </c>
      <c r="BA460">
        <f t="shared" si="79"/>
        <v>32</v>
      </c>
      <c r="BB460">
        <f t="shared" si="84"/>
        <v>113</v>
      </c>
      <c r="BC460">
        <f t="shared" si="85"/>
        <v>212</v>
      </c>
      <c r="BD460">
        <v>1</v>
      </c>
      <c r="BE460">
        <v>1</v>
      </c>
      <c r="BF460" t="s">
        <v>11</v>
      </c>
      <c r="BG460" t="s">
        <v>11</v>
      </c>
      <c r="BH460">
        <v>15</v>
      </c>
      <c r="BI460" t="s">
        <v>11</v>
      </c>
      <c r="BJ460">
        <v>17</v>
      </c>
      <c r="BK460" t="s">
        <v>11</v>
      </c>
      <c r="BL460">
        <v>0</v>
      </c>
      <c r="BM460" t="s">
        <v>11</v>
      </c>
      <c r="BN460">
        <v>11</v>
      </c>
      <c r="BO460" t="s">
        <v>11</v>
      </c>
      <c r="BP460" t="str">
        <f t="shared" si="80"/>
        <v>NoData</v>
      </c>
      <c r="BQ460" t="str">
        <f t="shared" si="81"/>
        <v>NoData</v>
      </c>
      <c r="BR460">
        <v>56</v>
      </c>
      <c r="BS460" t="s">
        <v>11</v>
      </c>
      <c r="BT460">
        <v>68</v>
      </c>
      <c r="BU460" t="s">
        <v>11</v>
      </c>
    </row>
    <row r="461" spans="1:73" x14ac:dyDescent="0.25">
      <c r="A461" s="5">
        <v>39814</v>
      </c>
      <c r="B461">
        <v>888</v>
      </c>
      <c r="C461">
        <v>480</v>
      </c>
      <c r="D461">
        <v>16</v>
      </c>
      <c r="E461">
        <v>9</v>
      </c>
      <c r="F461">
        <v>1811</v>
      </c>
      <c r="G461">
        <v>1099</v>
      </c>
      <c r="H461">
        <v>1446</v>
      </c>
      <c r="I461">
        <v>781</v>
      </c>
      <c r="J461">
        <v>575</v>
      </c>
      <c r="K461">
        <v>411</v>
      </c>
      <c r="L461">
        <v>37190</v>
      </c>
      <c r="M461">
        <v>21119</v>
      </c>
      <c r="N461">
        <v>181</v>
      </c>
      <c r="O461">
        <v>127</v>
      </c>
      <c r="P461" t="s">
        <v>11</v>
      </c>
      <c r="Q461" t="s">
        <v>11</v>
      </c>
      <c r="R461">
        <v>26</v>
      </c>
      <c r="S461" t="s">
        <v>11</v>
      </c>
      <c r="T461" s="34">
        <v>33230</v>
      </c>
      <c r="U461" s="34">
        <v>2120</v>
      </c>
      <c r="V461" s="34">
        <v>2344</v>
      </c>
      <c r="W461">
        <v>391</v>
      </c>
      <c r="X461">
        <v>2948</v>
      </c>
      <c r="Y461">
        <v>492</v>
      </c>
      <c r="Z461">
        <v>2632</v>
      </c>
      <c r="AA461">
        <v>454</v>
      </c>
      <c r="AB461">
        <v>21579</v>
      </c>
      <c r="AC461">
        <v>11932</v>
      </c>
      <c r="AD461">
        <v>1868</v>
      </c>
      <c r="AE461">
        <v>617</v>
      </c>
      <c r="AF461">
        <v>4105</v>
      </c>
      <c r="AG461">
        <v>2035</v>
      </c>
      <c r="AH461">
        <f t="shared" si="82"/>
        <v>1868</v>
      </c>
      <c r="AI461">
        <f t="shared" si="83"/>
        <v>617</v>
      </c>
      <c r="AJ461">
        <v>9740</v>
      </c>
      <c r="AK461">
        <v>1189</v>
      </c>
      <c r="AL461">
        <v>21710</v>
      </c>
      <c r="AM461">
        <v>9254</v>
      </c>
      <c r="AN461" s="22">
        <v>316</v>
      </c>
      <c r="AO461">
        <v>383</v>
      </c>
      <c r="AP461">
        <v>589</v>
      </c>
      <c r="AQ461">
        <v>317</v>
      </c>
      <c r="AR461">
        <v>32</v>
      </c>
      <c r="AS461" t="s">
        <v>11</v>
      </c>
      <c r="AT461">
        <f t="shared" si="76"/>
        <v>589</v>
      </c>
      <c r="AU461">
        <f t="shared" si="77"/>
        <v>317</v>
      </c>
      <c r="AV461">
        <v>0</v>
      </c>
      <c r="AW461">
        <v>0</v>
      </c>
      <c r="AX461">
        <v>4</v>
      </c>
      <c r="AY461">
        <v>2</v>
      </c>
      <c r="AZ461">
        <f t="shared" si="78"/>
        <v>589</v>
      </c>
      <c r="BA461">
        <f t="shared" si="79"/>
        <v>317</v>
      </c>
      <c r="BB461">
        <f t="shared" si="84"/>
        <v>316</v>
      </c>
      <c r="BC461">
        <f t="shared" si="85"/>
        <v>383</v>
      </c>
      <c r="BD461">
        <v>26</v>
      </c>
      <c r="BE461">
        <v>19</v>
      </c>
      <c r="BF461" t="s">
        <v>11</v>
      </c>
      <c r="BG461" t="s">
        <v>11</v>
      </c>
      <c r="BH461">
        <v>12</v>
      </c>
      <c r="BI461" t="s">
        <v>11</v>
      </c>
      <c r="BJ461">
        <v>38</v>
      </c>
      <c r="BK461" t="s">
        <v>11</v>
      </c>
      <c r="BL461">
        <v>19</v>
      </c>
      <c r="BM461" t="s">
        <v>11</v>
      </c>
      <c r="BN461">
        <v>15</v>
      </c>
      <c r="BO461" t="s">
        <v>11</v>
      </c>
      <c r="BP461" t="str">
        <f t="shared" si="80"/>
        <v>NoData</v>
      </c>
      <c r="BQ461" t="str">
        <f t="shared" si="81"/>
        <v>NoData</v>
      </c>
      <c r="BR461">
        <v>42</v>
      </c>
      <c r="BS461" t="s">
        <v>11</v>
      </c>
      <c r="BT461">
        <v>85</v>
      </c>
      <c r="BU461" t="s">
        <v>11</v>
      </c>
    </row>
    <row r="462" spans="1:73" x14ac:dyDescent="0.25">
      <c r="A462" s="5">
        <v>39845</v>
      </c>
      <c r="B462">
        <v>1553</v>
      </c>
      <c r="C462">
        <v>839</v>
      </c>
      <c r="D462">
        <v>19</v>
      </c>
      <c r="E462">
        <v>10</v>
      </c>
      <c r="F462">
        <v>3399</v>
      </c>
      <c r="G462">
        <v>1969</v>
      </c>
      <c r="H462">
        <v>654</v>
      </c>
      <c r="I462">
        <v>353</v>
      </c>
      <c r="J462">
        <v>1975</v>
      </c>
      <c r="K462">
        <v>1412</v>
      </c>
      <c r="L462">
        <v>30290</v>
      </c>
      <c r="M462">
        <v>15066</v>
      </c>
      <c r="N462">
        <v>225</v>
      </c>
      <c r="O462">
        <v>150</v>
      </c>
      <c r="P462" t="s">
        <v>11</v>
      </c>
      <c r="Q462" t="s">
        <v>11</v>
      </c>
      <c r="R462">
        <v>29</v>
      </c>
      <c r="S462" t="s">
        <v>11</v>
      </c>
      <c r="T462" s="34">
        <v>39130</v>
      </c>
      <c r="U462" s="34">
        <v>8334</v>
      </c>
      <c r="V462" s="34">
        <v>2625</v>
      </c>
      <c r="W462">
        <v>438</v>
      </c>
      <c r="X462">
        <v>2051</v>
      </c>
      <c r="Y462">
        <v>343</v>
      </c>
      <c r="Z462">
        <v>2573</v>
      </c>
      <c r="AA462">
        <v>633</v>
      </c>
      <c r="AB462">
        <v>22329</v>
      </c>
      <c r="AC462">
        <v>14545</v>
      </c>
      <c r="AD462">
        <v>1111</v>
      </c>
      <c r="AE462">
        <v>-40</v>
      </c>
      <c r="AF462">
        <v>4307</v>
      </c>
      <c r="AG462">
        <v>2146</v>
      </c>
      <c r="AH462">
        <f t="shared" si="82"/>
        <v>1111</v>
      </c>
      <c r="AI462">
        <f t="shared" si="83"/>
        <v>-40</v>
      </c>
      <c r="AJ462">
        <v>8080</v>
      </c>
      <c r="AK462">
        <v>62</v>
      </c>
      <c r="AL462">
        <v>18752</v>
      </c>
      <c r="AM462">
        <v>7948</v>
      </c>
      <c r="AN462" s="22">
        <v>284</v>
      </c>
      <c r="AO462">
        <v>379</v>
      </c>
      <c r="AP462">
        <v>431</v>
      </c>
      <c r="AQ462">
        <v>232</v>
      </c>
      <c r="AR462">
        <v>39</v>
      </c>
      <c r="AS462" t="s">
        <v>11</v>
      </c>
      <c r="AT462">
        <f t="shared" si="76"/>
        <v>431</v>
      </c>
      <c r="AU462">
        <f t="shared" si="77"/>
        <v>232</v>
      </c>
      <c r="AV462">
        <v>0</v>
      </c>
      <c r="AW462">
        <v>0</v>
      </c>
      <c r="AX462">
        <v>4</v>
      </c>
      <c r="AY462">
        <v>2</v>
      </c>
      <c r="AZ462">
        <f t="shared" si="78"/>
        <v>431</v>
      </c>
      <c r="BA462">
        <f t="shared" si="79"/>
        <v>232</v>
      </c>
      <c r="BB462">
        <f t="shared" si="84"/>
        <v>284</v>
      </c>
      <c r="BC462">
        <f t="shared" si="85"/>
        <v>379</v>
      </c>
      <c r="BD462">
        <v>33</v>
      </c>
      <c r="BE462">
        <v>23</v>
      </c>
      <c r="BF462" t="s">
        <v>11</v>
      </c>
      <c r="BG462" t="s">
        <v>11</v>
      </c>
      <c r="BH462">
        <v>14</v>
      </c>
      <c r="BI462" t="s">
        <v>11</v>
      </c>
      <c r="BJ462">
        <v>37</v>
      </c>
      <c r="BK462" t="s">
        <v>11</v>
      </c>
      <c r="BL462">
        <v>27</v>
      </c>
      <c r="BM462" t="s">
        <v>11</v>
      </c>
      <c r="BN462">
        <v>19</v>
      </c>
      <c r="BO462" t="s">
        <v>11</v>
      </c>
      <c r="BP462" t="str">
        <f t="shared" si="80"/>
        <v>NoData</v>
      </c>
      <c r="BQ462" t="str">
        <f t="shared" si="81"/>
        <v>NoData</v>
      </c>
      <c r="BR462">
        <v>53</v>
      </c>
      <c r="BS462" t="s">
        <v>11</v>
      </c>
      <c r="BT462">
        <v>47</v>
      </c>
      <c r="BU462" t="s">
        <v>11</v>
      </c>
    </row>
    <row r="463" spans="1:73" x14ac:dyDescent="0.25">
      <c r="A463" s="5">
        <v>39873</v>
      </c>
      <c r="B463">
        <v>1872</v>
      </c>
      <c r="C463">
        <v>1011</v>
      </c>
      <c r="D463">
        <v>27</v>
      </c>
      <c r="E463">
        <v>15</v>
      </c>
      <c r="F463">
        <v>6171</v>
      </c>
      <c r="G463">
        <v>3445</v>
      </c>
      <c r="H463">
        <v>2632</v>
      </c>
      <c r="I463">
        <v>1417</v>
      </c>
      <c r="J463">
        <v>2451</v>
      </c>
      <c r="K463">
        <v>1752</v>
      </c>
      <c r="L463">
        <v>62150</v>
      </c>
      <c r="M463">
        <v>42670</v>
      </c>
      <c r="N463">
        <v>308</v>
      </c>
      <c r="O463">
        <v>206</v>
      </c>
      <c r="P463" t="s">
        <v>11</v>
      </c>
      <c r="Q463" t="s">
        <v>11</v>
      </c>
      <c r="R463">
        <v>31</v>
      </c>
      <c r="S463" t="s">
        <v>11</v>
      </c>
      <c r="T463" s="34">
        <v>65160</v>
      </c>
      <c r="U463" s="34">
        <v>28773</v>
      </c>
      <c r="V463" s="34">
        <v>4773</v>
      </c>
      <c r="W463">
        <v>797</v>
      </c>
      <c r="X463">
        <v>5123</v>
      </c>
      <c r="Y463">
        <v>856</v>
      </c>
      <c r="Z463">
        <v>4596</v>
      </c>
      <c r="AA463">
        <v>1552</v>
      </c>
      <c r="AB463">
        <v>37037</v>
      </c>
      <c r="AC463">
        <v>27109</v>
      </c>
      <c r="AD463">
        <v>1954</v>
      </c>
      <c r="AE463">
        <v>571</v>
      </c>
      <c r="AF463">
        <v>7014</v>
      </c>
      <c r="AG463">
        <v>3646</v>
      </c>
      <c r="AH463">
        <f t="shared" si="82"/>
        <v>1954</v>
      </c>
      <c r="AI463">
        <f t="shared" si="83"/>
        <v>571</v>
      </c>
      <c r="AJ463">
        <v>1530</v>
      </c>
      <c r="AK463">
        <v>4657</v>
      </c>
      <c r="AL463">
        <v>38059</v>
      </c>
      <c r="AM463">
        <v>25592</v>
      </c>
      <c r="AN463" s="22">
        <v>540</v>
      </c>
      <c r="AO463">
        <v>664</v>
      </c>
      <c r="AP463">
        <v>949</v>
      </c>
      <c r="AQ463">
        <v>530</v>
      </c>
      <c r="AR463">
        <v>54</v>
      </c>
      <c r="AS463" t="s">
        <v>11</v>
      </c>
      <c r="AT463">
        <f t="shared" si="76"/>
        <v>949</v>
      </c>
      <c r="AU463">
        <f t="shared" si="77"/>
        <v>530</v>
      </c>
      <c r="AV463">
        <v>0</v>
      </c>
      <c r="AW463">
        <v>0</v>
      </c>
      <c r="AX463">
        <v>4</v>
      </c>
      <c r="AY463">
        <v>2</v>
      </c>
      <c r="AZ463">
        <f t="shared" si="78"/>
        <v>949</v>
      </c>
      <c r="BA463">
        <f t="shared" si="79"/>
        <v>530</v>
      </c>
      <c r="BB463">
        <f t="shared" si="84"/>
        <v>540</v>
      </c>
      <c r="BC463">
        <f t="shared" si="85"/>
        <v>664</v>
      </c>
      <c r="BD463">
        <v>45</v>
      </c>
      <c r="BE463">
        <v>31</v>
      </c>
      <c r="BF463" t="s">
        <v>11</v>
      </c>
      <c r="BG463" t="s">
        <v>11</v>
      </c>
      <c r="BH463">
        <v>20</v>
      </c>
      <c r="BI463" t="s">
        <v>11</v>
      </c>
      <c r="BJ463">
        <v>47</v>
      </c>
      <c r="BK463" t="s">
        <v>11</v>
      </c>
      <c r="BL463">
        <v>102</v>
      </c>
      <c r="BM463" t="s">
        <v>11</v>
      </c>
      <c r="BN463">
        <v>26</v>
      </c>
      <c r="BO463" t="s">
        <v>11</v>
      </c>
      <c r="BP463" t="str">
        <f t="shared" si="80"/>
        <v>NoData</v>
      </c>
      <c r="BQ463" t="str">
        <f t="shared" si="81"/>
        <v>NoData</v>
      </c>
      <c r="BR463">
        <v>72</v>
      </c>
      <c r="BS463" t="s">
        <v>11</v>
      </c>
      <c r="BT463">
        <v>47</v>
      </c>
      <c r="BU463" t="s">
        <v>11</v>
      </c>
    </row>
    <row r="464" spans="1:73" x14ac:dyDescent="0.25">
      <c r="A464" s="5">
        <v>39904</v>
      </c>
      <c r="B464">
        <v>2596</v>
      </c>
      <c r="C464">
        <v>1402</v>
      </c>
      <c r="D464">
        <v>29</v>
      </c>
      <c r="E464">
        <v>16</v>
      </c>
      <c r="F464">
        <v>4862</v>
      </c>
      <c r="G464">
        <v>2689</v>
      </c>
      <c r="H464">
        <v>3086</v>
      </c>
      <c r="I464">
        <v>1662</v>
      </c>
      <c r="J464">
        <v>1897</v>
      </c>
      <c r="K464">
        <v>1356</v>
      </c>
      <c r="L464">
        <v>69020</v>
      </c>
      <c r="M464">
        <v>47602</v>
      </c>
      <c r="N464">
        <v>332</v>
      </c>
      <c r="O464">
        <v>226</v>
      </c>
      <c r="P464" t="s">
        <v>11</v>
      </c>
      <c r="Q464" t="s">
        <v>11</v>
      </c>
      <c r="R464">
        <v>18</v>
      </c>
      <c r="S464" t="s">
        <v>11</v>
      </c>
      <c r="T464" s="34">
        <v>74900</v>
      </c>
      <c r="U464" s="34">
        <v>35463</v>
      </c>
      <c r="V464" s="34">
        <v>6461</v>
      </c>
      <c r="W464">
        <v>1079</v>
      </c>
      <c r="X464">
        <v>6461</v>
      </c>
      <c r="Y464">
        <v>1079</v>
      </c>
      <c r="Z464">
        <v>5218</v>
      </c>
      <c r="AA464">
        <v>2025</v>
      </c>
      <c r="AB464">
        <v>44536</v>
      </c>
      <c r="AC464">
        <v>34453</v>
      </c>
      <c r="AD464">
        <v>2330</v>
      </c>
      <c r="AE464">
        <v>1173</v>
      </c>
      <c r="AF464">
        <v>8178</v>
      </c>
      <c r="AG464">
        <v>4971</v>
      </c>
      <c r="AH464">
        <f t="shared" si="82"/>
        <v>2330</v>
      </c>
      <c r="AI464">
        <f t="shared" si="83"/>
        <v>1173</v>
      </c>
      <c r="AJ464">
        <v>15835</v>
      </c>
      <c r="AK464">
        <v>6668</v>
      </c>
      <c r="AL464">
        <v>44087</v>
      </c>
      <c r="AM464">
        <v>33732</v>
      </c>
      <c r="AN464" s="22">
        <v>427</v>
      </c>
      <c r="AO464">
        <v>566</v>
      </c>
      <c r="AP464">
        <v>929</v>
      </c>
      <c r="AQ464">
        <v>557</v>
      </c>
      <c r="AR464">
        <v>58</v>
      </c>
      <c r="AS464" t="s">
        <v>11</v>
      </c>
      <c r="AT464">
        <f t="shared" si="76"/>
        <v>929</v>
      </c>
      <c r="AU464">
        <f t="shared" si="77"/>
        <v>557</v>
      </c>
      <c r="AV464">
        <v>0</v>
      </c>
      <c r="AW464">
        <v>0</v>
      </c>
      <c r="AX464">
        <v>4</v>
      </c>
      <c r="AY464">
        <v>2</v>
      </c>
      <c r="AZ464">
        <f t="shared" si="78"/>
        <v>929</v>
      </c>
      <c r="BA464">
        <f t="shared" si="79"/>
        <v>557</v>
      </c>
      <c r="BB464">
        <f t="shared" si="84"/>
        <v>427</v>
      </c>
      <c r="BC464">
        <f t="shared" si="85"/>
        <v>566</v>
      </c>
      <c r="BD464">
        <v>49</v>
      </c>
      <c r="BE464">
        <v>34</v>
      </c>
      <c r="BF464" t="s">
        <v>11</v>
      </c>
      <c r="BG464" t="s">
        <v>11</v>
      </c>
      <c r="BH464">
        <v>21</v>
      </c>
      <c r="BI464" t="s">
        <v>11</v>
      </c>
      <c r="BJ464">
        <v>35</v>
      </c>
      <c r="BK464" t="s">
        <v>11</v>
      </c>
      <c r="BL464">
        <v>43</v>
      </c>
      <c r="BM464" t="s">
        <v>11</v>
      </c>
      <c r="BN464">
        <v>28</v>
      </c>
      <c r="BO464" t="s">
        <v>11</v>
      </c>
      <c r="BP464" t="str">
        <f t="shared" si="80"/>
        <v>NoData</v>
      </c>
      <c r="BQ464" t="str">
        <f t="shared" si="81"/>
        <v>NoData</v>
      </c>
      <c r="BR464">
        <v>78</v>
      </c>
      <c r="BS464" t="s">
        <v>11</v>
      </c>
      <c r="BT464">
        <v>38</v>
      </c>
      <c r="BU464" t="s">
        <v>11</v>
      </c>
    </row>
    <row r="465" spans="1:73" x14ac:dyDescent="0.25">
      <c r="A465" s="5">
        <v>39934</v>
      </c>
      <c r="B465">
        <v>2902</v>
      </c>
      <c r="C465">
        <v>1567</v>
      </c>
      <c r="D465">
        <v>35</v>
      </c>
      <c r="E465">
        <v>19</v>
      </c>
      <c r="F465">
        <v>7526</v>
      </c>
      <c r="G465">
        <v>4198</v>
      </c>
      <c r="H465">
        <v>1920</v>
      </c>
      <c r="I465">
        <v>1034</v>
      </c>
      <c r="J465">
        <v>3705</v>
      </c>
      <c r="K465">
        <v>2649</v>
      </c>
      <c r="L465">
        <v>76020</v>
      </c>
      <c r="M465">
        <v>52687</v>
      </c>
      <c r="N465">
        <v>407</v>
      </c>
      <c r="O465">
        <v>281</v>
      </c>
      <c r="P465" t="s">
        <v>11</v>
      </c>
      <c r="Q465" t="s">
        <v>11</v>
      </c>
      <c r="R465">
        <v>21</v>
      </c>
      <c r="S465" t="s">
        <v>11</v>
      </c>
      <c r="T465" s="34">
        <v>66000</v>
      </c>
      <c r="U465" s="34">
        <v>45013</v>
      </c>
      <c r="V465" s="34">
        <v>4581</v>
      </c>
      <c r="W465">
        <v>765</v>
      </c>
      <c r="X465">
        <v>6006</v>
      </c>
      <c r="Y465">
        <v>1003</v>
      </c>
      <c r="Z465">
        <v>5198</v>
      </c>
      <c r="AA465">
        <v>1907</v>
      </c>
      <c r="AB465">
        <v>36992</v>
      </c>
      <c r="AC465">
        <v>27835</v>
      </c>
      <c r="AD465">
        <v>3018</v>
      </c>
      <c r="AE465">
        <v>1590</v>
      </c>
      <c r="AF465">
        <v>8295</v>
      </c>
      <c r="AG465">
        <v>4666</v>
      </c>
      <c r="AH465">
        <f t="shared" si="82"/>
        <v>3018</v>
      </c>
      <c r="AI465">
        <f t="shared" si="83"/>
        <v>1590</v>
      </c>
      <c r="AJ465">
        <v>18085</v>
      </c>
      <c r="AK465">
        <v>7036</v>
      </c>
      <c r="AL465">
        <v>45538</v>
      </c>
      <c r="AM465">
        <v>33531</v>
      </c>
      <c r="AN465" s="22">
        <v>206</v>
      </c>
      <c r="AO465">
        <v>382</v>
      </c>
      <c r="AP465">
        <v>1108</v>
      </c>
      <c r="AQ465">
        <v>636</v>
      </c>
      <c r="AR465">
        <v>71</v>
      </c>
      <c r="AS465" t="s">
        <v>11</v>
      </c>
      <c r="AT465">
        <f t="shared" si="76"/>
        <v>1108</v>
      </c>
      <c r="AU465">
        <f t="shared" si="77"/>
        <v>636</v>
      </c>
      <c r="AV465">
        <v>0</v>
      </c>
      <c r="AW465">
        <v>0</v>
      </c>
      <c r="AX465">
        <v>4</v>
      </c>
      <c r="AY465">
        <v>2</v>
      </c>
      <c r="AZ465">
        <f t="shared" si="78"/>
        <v>1108</v>
      </c>
      <c r="BA465">
        <f t="shared" si="79"/>
        <v>636</v>
      </c>
      <c r="BB465">
        <f t="shared" si="84"/>
        <v>206</v>
      </c>
      <c r="BC465">
        <f t="shared" si="85"/>
        <v>382</v>
      </c>
      <c r="BD465">
        <v>60</v>
      </c>
      <c r="BE465">
        <v>41</v>
      </c>
      <c r="BF465" t="s">
        <v>11</v>
      </c>
      <c r="BG465" t="s">
        <v>11</v>
      </c>
      <c r="BH465">
        <v>26</v>
      </c>
      <c r="BI465" t="s">
        <v>11</v>
      </c>
      <c r="BJ465">
        <v>40</v>
      </c>
      <c r="BK465" t="s">
        <v>11</v>
      </c>
      <c r="BL465">
        <v>148</v>
      </c>
      <c r="BM465" t="s">
        <v>11</v>
      </c>
      <c r="BN465">
        <v>35</v>
      </c>
      <c r="BO465" t="s">
        <v>11</v>
      </c>
      <c r="BP465" t="str">
        <f t="shared" si="80"/>
        <v>NoData</v>
      </c>
      <c r="BQ465" t="str">
        <f t="shared" si="81"/>
        <v>NoData</v>
      </c>
      <c r="BR465">
        <v>95</v>
      </c>
      <c r="BS465" t="s">
        <v>11</v>
      </c>
      <c r="BT465">
        <v>38</v>
      </c>
      <c r="BU465" t="s">
        <v>11</v>
      </c>
    </row>
    <row r="466" spans="1:73" x14ac:dyDescent="0.25">
      <c r="A466" s="5">
        <v>39965</v>
      </c>
      <c r="B466">
        <v>3344</v>
      </c>
      <c r="C466">
        <v>1806</v>
      </c>
      <c r="D466">
        <v>43</v>
      </c>
      <c r="E466">
        <v>23</v>
      </c>
      <c r="F466">
        <v>10196</v>
      </c>
      <c r="G466">
        <v>5600</v>
      </c>
      <c r="H466">
        <v>1286</v>
      </c>
      <c r="I466">
        <v>693</v>
      </c>
      <c r="J466">
        <v>2828</v>
      </c>
      <c r="K466">
        <v>2022</v>
      </c>
      <c r="L466">
        <v>68630</v>
      </c>
      <c r="M466">
        <v>47047</v>
      </c>
      <c r="N466">
        <v>493</v>
      </c>
      <c r="O466">
        <v>333</v>
      </c>
      <c r="P466" t="s">
        <v>11</v>
      </c>
      <c r="Q466" t="s">
        <v>11</v>
      </c>
      <c r="R466">
        <v>37</v>
      </c>
      <c r="S466" t="s">
        <v>11</v>
      </c>
      <c r="T466" s="34">
        <v>86140</v>
      </c>
      <c r="U466" s="34">
        <v>43745</v>
      </c>
      <c r="V466" s="34">
        <v>1337</v>
      </c>
      <c r="W466">
        <v>223</v>
      </c>
      <c r="X466">
        <v>2544</v>
      </c>
      <c r="Y466">
        <v>425</v>
      </c>
      <c r="Z466">
        <v>3929</v>
      </c>
      <c r="AA466">
        <v>1282</v>
      </c>
      <c r="AB466">
        <v>18597</v>
      </c>
      <c r="AC466">
        <v>12014</v>
      </c>
      <c r="AD466">
        <v>3279</v>
      </c>
      <c r="AE466">
        <v>1370</v>
      </c>
      <c r="AF466">
        <v>5326</v>
      </c>
      <c r="AG466">
        <v>2722</v>
      </c>
      <c r="AH466">
        <f t="shared" si="82"/>
        <v>3279</v>
      </c>
      <c r="AI466">
        <f t="shared" si="83"/>
        <v>1370</v>
      </c>
      <c r="AJ466">
        <v>21707</v>
      </c>
      <c r="AK466">
        <v>7090</v>
      </c>
      <c r="AL466">
        <v>40138</v>
      </c>
      <c r="AM466">
        <v>28540</v>
      </c>
      <c r="AN466" s="22">
        <v>444</v>
      </c>
      <c r="AO466">
        <v>651</v>
      </c>
      <c r="AP466">
        <v>703</v>
      </c>
      <c r="AQ466">
        <v>383</v>
      </c>
      <c r="AR466">
        <v>86</v>
      </c>
      <c r="AS466" t="s">
        <v>11</v>
      </c>
      <c r="AT466">
        <f t="shared" si="76"/>
        <v>703</v>
      </c>
      <c r="AU466">
        <f t="shared" si="77"/>
        <v>383</v>
      </c>
      <c r="AV466">
        <v>0</v>
      </c>
      <c r="AW466">
        <v>0</v>
      </c>
      <c r="AX466">
        <v>4</v>
      </c>
      <c r="AY466">
        <v>2</v>
      </c>
      <c r="AZ466">
        <f t="shared" si="78"/>
        <v>703</v>
      </c>
      <c r="BA466">
        <f t="shared" si="79"/>
        <v>383</v>
      </c>
      <c r="BB466">
        <f t="shared" si="84"/>
        <v>444</v>
      </c>
      <c r="BC466">
        <f t="shared" si="85"/>
        <v>651</v>
      </c>
      <c r="BD466">
        <v>72</v>
      </c>
      <c r="BE466">
        <v>49</v>
      </c>
      <c r="BF466" t="s">
        <v>11</v>
      </c>
      <c r="BG466" t="s">
        <v>11</v>
      </c>
      <c r="BH466">
        <v>32</v>
      </c>
      <c r="BI466" t="s">
        <v>11</v>
      </c>
      <c r="BJ466">
        <v>56</v>
      </c>
      <c r="BK466" t="s">
        <v>11</v>
      </c>
      <c r="BL466">
        <v>140</v>
      </c>
      <c r="BM466" t="s">
        <v>11</v>
      </c>
      <c r="BN466">
        <v>42</v>
      </c>
      <c r="BO466" t="s">
        <v>11</v>
      </c>
      <c r="BP466" t="str">
        <f t="shared" si="80"/>
        <v>NoData</v>
      </c>
      <c r="BQ466" t="str">
        <f t="shared" si="81"/>
        <v>NoData</v>
      </c>
      <c r="BR466">
        <v>115</v>
      </c>
      <c r="BS466" t="s">
        <v>11</v>
      </c>
      <c r="BT466">
        <v>38</v>
      </c>
      <c r="BU466" t="s">
        <v>11</v>
      </c>
    </row>
    <row r="467" spans="1:73" x14ac:dyDescent="0.25">
      <c r="A467" s="5">
        <v>39995</v>
      </c>
      <c r="B467">
        <v>4047</v>
      </c>
      <c r="C467">
        <v>2185</v>
      </c>
      <c r="D467">
        <v>46</v>
      </c>
      <c r="E467">
        <v>25</v>
      </c>
      <c r="F467">
        <v>11451</v>
      </c>
      <c r="G467">
        <v>6369</v>
      </c>
      <c r="H467">
        <v>1738</v>
      </c>
      <c r="I467">
        <v>938</v>
      </c>
      <c r="J467">
        <v>2912</v>
      </c>
      <c r="K467">
        <v>2082</v>
      </c>
      <c r="L467">
        <v>72680</v>
      </c>
      <c r="M467">
        <v>51381</v>
      </c>
      <c r="N467">
        <v>538</v>
      </c>
      <c r="O467">
        <v>362</v>
      </c>
      <c r="P467" t="s">
        <v>11</v>
      </c>
      <c r="Q467" t="s">
        <v>11</v>
      </c>
      <c r="R467">
        <v>32</v>
      </c>
      <c r="S467" t="s">
        <v>11</v>
      </c>
      <c r="T467" s="34">
        <v>89230</v>
      </c>
      <c r="U467" s="34">
        <v>45666</v>
      </c>
      <c r="V467" s="34">
        <v>1869</v>
      </c>
      <c r="W467">
        <v>312</v>
      </c>
      <c r="X467">
        <v>2674</v>
      </c>
      <c r="Y467">
        <v>447</v>
      </c>
      <c r="Z467">
        <v>4496</v>
      </c>
      <c r="AA467">
        <v>1529</v>
      </c>
      <c r="AB467">
        <v>27831</v>
      </c>
      <c r="AC467">
        <v>21020</v>
      </c>
      <c r="AD467">
        <v>3636</v>
      </c>
      <c r="AE467">
        <v>1671</v>
      </c>
      <c r="AF467">
        <v>5417</v>
      </c>
      <c r="AG467">
        <v>2934</v>
      </c>
      <c r="AH467">
        <f t="shared" si="82"/>
        <v>3636</v>
      </c>
      <c r="AI467">
        <f t="shared" si="83"/>
        <v>1671</v>
      </c>
      <c r="AJ467">
        <v>26248</v>
      </c>
      <c r="AK467">
        <v>10513</v>
      </c>
      <c r="AL467">
        <v>43258</v>
      </c>
      <c r="AM467">
        <v>31218</v>
      </c>
      <c r="AN467" s="22">
        <v>0</v>
      </c>
      <c r="AO467">
        <v>239</v>
      </c>
      <c r="AP467">
        <v>442</v>
      </c>
      <c r="AQ467">
        <v>252</v>
      </c>
      <c r="AR467">
        <v>94</v>
      </c>
      <c r="AS467" t="s">
        <v>11</v>
      </c>
      <c r="AT467">
        <f t="shared" si="76"/>
        <v>442</v>
      </c>
      <c r="AU467">
        <f t="shared" si="77"/>
        <v>252</v>
      </c>
      <c r="AV467">
        <v>0</v>
      </c>
      <c r="AW467">
        <v>0</v>
      </c>
      <c r="AX467">
        <v>4</v>
      </c>
      <c r="AY467">
        <v>2</v>
      </c>
      <c r="AZ467">
        <f t="shared" si="78"/>
        <v>442</v>
      </c>
      <c r="BA467">
        <f t="shared" si="79"/>
        <v>252</v>
      </c>
      <c r="BB467">
        <f t="shared" si="84"/>
        <v>0</v>
      </c>
      <c r="BC467">
        <f t="shared" si="85"/>
        <v>239</v>
      </c>
      <c r="BD467">
        <v>79</v>
      </c>
      <c r="BE467">
        <v>54</v>
      </c>
      <c r="BF467" t="s">
        <v>11</v>
      </c>
      <c r="BG467" t="s">
        <v>11</v>
      </c>
      <c r="BH467">
        <v>34</v>
      </c>
      <c r="BI467" t="s">
        <v>11</v>
      </c>
      <c r="BJ467">
        <v>96</v>
      </c>
      <c r="BK467" t="s">
        <v>11</v>
      </c>
      <c r="BL467">
        <v>180</v>
      </c>
      <c r="BM467" t="s">
        <v>11</v>
      </c>
      <c r="BN467">
        <v>46</v>
      </c>
      <c r="BO467" t="s">
        <v>11</v>
      </c>
      <c r="BP467" t="str">
        <f t="shared" si="80"/>
        <v>NoData</v>
      </c>
      <c r="BQ467" t="str">
        <f t="shared" si="81"/>
        <v>NoData</v>
      </c>
      <c r="BR467">
        <v>126</v>
      </c>
      <c r="BS467" t="s">
        <v>11</v>
      </c>
      <c r="BT467">
        <v>9</v>
      </c>
      <c r="BU467" t="s">
        <v>11</v>
      </c>
    </row>
    <row r="468" spans="1:73" x14ac:dyDescent="0.25">
      <c r="A468" s="5">
        <v>40026</v>
      </c>
      <c r="B468">
        <v>3794</v>
      </c>
      <c r="C468">
        <v>2049</v>
      </c>
      <c r="D468">
        <v>45</v>
      </c>
      <c r="E468">
        <v>24</v>
      </c>
      <c r="F468">
        <v>7855</v>
      </c>
      <c r="G468">
        <v>4429</v>
      </c>
      <c r="H468">
        <v>1155</v>
      </c>
      <c r="I468">
        <v>624</v>
      </c>
      <c r="J468">
        <v>3562</v>
      </c>
      <c r="K468">
        <v>2547</v>
      </c>
      <c r="L468">
        <v>72770</v>
      </c>
      <c r="M468">
        <v>50720</v>
      </c>
      <c r="N468">
        <v>518</v>
      </c>
      <c r="O468">
        <v>351</v>
      </c>
      <c r="P468" t="s">
        <v>11</v>
      </c>
      <c r="Q468" t="s">
        <v>11</v>
      </c>
      <c r="R468">
        <v>34</v>
      </c>
      <c r="S468" t="s">
        <v>11</v>
      </c>
      <c r="T468" s="34">
        <v>81760</v>
      </c>
      <c r="U468" s="34">
        <v>34831</v>
      </c>
      <c r="V468" s="34">
        <v>2525</v>
      </c>
      <c r="W468">
        <v>422</v>
      </c>
      <c r="X468">
        <v>2488</v>
      </c>
      <c r="Y468">
        <v>415</v>
      </c>
      <c r="Z468">
        <v>3058</v>
      </c>
      <c r="AA468">
        <v>786</v>
      </c>
      <c r="AB468">
        <v>18323</v>
      </c>
      <c r="AC468">
        <v>11242</v>
      </c>
      <c r="AD468">
        <v>3300</v>
      </c>
      <c r="AE468">
        <v>1453</v>
      </c>
      <c r="AF468">
        <v>5770</v>
      </c>
      <c r="AG468">
        <v>3054</v>
      </c>
      <c r="AH468">
        <f t="shared" si="82"/>
        <v>3300</v>
      </c>
      <c r="AI468">
        <f t="shared" si="83"/>
        <v>1453</v>
      </c>
      <c r="AJ468">
        <v>23923</v>
      </c>
      <c r="AK468">
        <v>9140</v>
      </c>
      <c r="AL468">
        <v>42153</v>
      </c>
      <c r="AM468">
        <v>32213</v>
      </c>
      <c r="AN468" s="22">
        <v>0</v>
      </c>
      <c r="AO468">
        <v>230</v>
      </c>
      <c r="AP468">
        <v>543</v>
      </c>
      <c r="AQ468">
        <v>301</v>
      </c>
      <c r="AR468">
        <v>90</v>
      </c>
      <c r="AS468" t="s">
        <v>11</v>
      </c>
      <c r="AT468">
        <f t="shared" si="76"/>
        <v>543</v>
      </c>
      <c r="AU468">
        <f t="shared" si="77"/>
        <v>301</v>
      </c>
      <c r="AV468">
        <v>0</v>
      </c>
      <c r="AW468">
        <v>0</v>
      </c>
      <c r="AX468">
        <v>4</v>
      </c>
      <c r="AY468">
        <v>2</v>
      </c>
      <c r="AZ468">
        <f t="shared" si="78"/>
        <v>543</v>
      </c>
      <c r="BA468">
        <f t="shared" si="79"/>
        <v>301</v>
      </c>
      <c r="BB468">
        <f t="shared" si="84"/>
        <v>0</v>
      </c>
      <c r="BC468">
        <f t="shared" si="85"/>
        <v>230</v>
      </c>
      <c r="BD468">
        <v>76</v>
      </c>
      <c r="BE468">
        <v>51</v>
      </c>
      <c r="BF468" t="s">
        <v>11</v>
      </c>
      <c r="BG468" t="s">
        <v>11</v>
      </c>
      <c r="BH468">
        <v>33</v>
      </c>
      <c r="BI468" t="s">
        <v>11</v>
      </c>
      <c r="BJ468">
        <v>40</v>
      </c>
      <c r="BK468" t="s">
        <v>11</v>
      </c>
      <c r="BL468">
        <v>105</v>
      </c>
      <c r="BM468" t="s">
        <v>11</v>
      </c>
      <c r="BN468">
        <v>44</v>
      </c>
      <c r="BO468" t="s">
        <v>11</v>
      </c>
      <c r="BP468" t="str">
        <f t="shared" si="80"/>
        <v>NoData</v>
      </c>
      <c r="BQ468" t="str">
        <f t="shared" si="81"/>
        <v>NoData</v>
      </c>
      <c r="BR468">
        <v>121</v>
      </c>
      <c r="BS468" t="s">
        <v>11</v>
      </c>
      <c r="BT468">
        <v>9</v>
      </c>
      <c r="BU468" t="s">
        <v>11</v>
      </c>
    </row>
    <row r="469" spans="1:73" x14ac:dyDescent="0.25">
      <c r="A469" s="5">
        <v>40057</v>
      </c>
      <c r="B469">
        <v>3290</v>
      </c>
      <c r="C469">
        <v>1777</v>
      </c>
      <c r="D469">
        <v>35</v>
      </c>
      <c r="E469">
        <v>19</v>
      </c>
      <c r="F469">
        <v>4021</v>
      </c>
      <c r="G469">
        <v>2373</v>
      </c>
      <c r="H469">
        <v>632</v>
      </c>
      <c r="I469">
        <v>342</v>
      </c>
      <c r="J469">
        <v>2707</v>
      </c>
      <c r="K469">
        <v>1936</v>
      </c>
      <c r="L469">
        <v>58520</v>
      </c>
      <c r="M469">
        <v>37785</v>
      </c>
      <c r="N469">
        <v>407</v>
      </c>
      <c r="O469">
        <v>283</v>
      </c>
      <c r="P469" t="s">
        <v>11</v>
      </c>
      <c r="Q469" t="s">
        <v>11</v>
      </c>
      <c r="R469">
        <v>23</v>
      </c>
      <c r="S469" t="s">
        <v>11</v>
      </c>
      <c r="T469" s="34">
        <v>70630</v>
      </c>
      <c r="U469" s="34">
        <v>26568</v>
      </c>
      <c r="V469" s="34">
        <v>1443</v>
      </c>
      <c r="W469">
        <v>241</v>
      </c>
      <c r="X469">
        <v>3535</v>
      </c>
      <c r="Y469">
        <v>590</v>
      </c>
      <c r="Z469">
        <v>4051</v>
      </c>
      <c r="AA469">
        <v>653</v>
      </c>
      <c r="AB469">
        <v>25361</v>
      </c>
      <c r="AC469">
        <v>15361</v>
      </c>
      <c r="AD469">
        <v>3008</v>
      </c>
      <c r="AE469">
        <v>1645</v>
      </c>
      <c r="AF469">
        <v>6818</v>
      </c>
      <c r="AG469">
        <v>2785</v>
      </c>
      <c r="AH469">
        <f t="shared" si="82"/>
        <v>3008</v>
      </c>
      <c r="AI469">
        <f t="shared" si="83"/>
        <v>1645</v>
      </c>
      <c r="AJ469">
        <v>19927</v>
      </c>
      <c r="AK469">
        <v>8448</v>
      </c>
      <c r="AL469">
        <v>40057</v>
      </c>
      <c r="AM469">
        <v>22691</v>
      </c>
      <c r="AN469" s="22">
        <v>0</v>
      </c>
      <c r="AO469">
        <v>180</v>
      </c>
      <c r="AP469">
        <v>650</v>
      </c>
      <c r="AQ469">
        <v>308</v>
      </c>
      <c r="AR469">
        <v>71</v>
      </c>
      <c r="AS469" t="s">
        <v>11</v>
      </c>
      <c r="AT469">
        <f t="shared" si="76"/>
        <v>650</v>
      </c>
      <c r="AU469">
        <f t="shared" si="77"/>
        <v>308</v>
      </c>
      <c r="AV469">
        <v>0</v>
      </c>
      <c r="AW469">
        <v>0</v>
      </c>
      <c r="AX469">
        <v>4</v>
      </c>
      <c r="AY469">
        <v>2</v>
      </c>
      <c r="AZ469">
        <f t="shared" si="78"/>
        <v>650</v>
      </c>
      <c r="BA469">
        <f t="shared" si="79"/>
        <v>308</v>
      </c>
      <c r="BB469">
        <f t="shared" si="84"/>
        <v>0</v>
      </c>
      <c r="BC469">
        <f t="shared" si="85"/>
        <v>180</v>
      </c>
      <c r="BD469">
        <v>60</v>
      </c>
      <c r="BE469">
        <v>40</v>
      </c>
      <c r="BF469" t="s">
        <v>11</v>
      </c>
      <c r="BG469" t="s">
        <v>11</v>
      </c>
      <c r="BH469">
        <v>26</v>
      </c>
      <c r="BI469" t="s">
        <v>11</v>
      </c>
      <c r="BJ469">
        <v>46</v>
      </c>
      <c r="BK469" t="s">
        <v>11</v>
      </c>
      <c r="BL469">
        <v>87</v>
      </c>
      <c r="BM469" t="s">
        <v>11</v>
      </c>
      <c r="BN469">
        <v>35</v>
      </c>
      <c r="BO469" t="s">
        <v>11</v>
      </c>
      <c r="BP469" t="str">
        <f t="shared" si="80"/>
        <v>NoData</v>
      </c>
      <c r="BQ469" t="str">
        <f t="shared" si="81"/>
        <v>NoData</v>
      </c>
      <c r="BR469">
        <v>95</v>
      </c>
      <c r="BS469" t="s">
        <v>11</v>
      </c>
      <c r="BT469">
        <v>9</v>
      </c>
      <c r="BU469" t="s">
        <v>11</v>
      </c>
    </row>
    <row r="470" spans="1:73" x14ac:dyDescent="0.25">
      <c r="A470" s="5">
        <v>40087</v>
      </c>
      <c r="B470">
        <v>2542</v>
      </c>
      <c r="C470">
        <v>1373</v>
      </c>
      <c r="D470">
        <v>29</v>
      </c>
      <c r="E470">
        <v>16</v>
      </c>
      <c r="F470">
        <v>3721</v>
      </c>
      <c r="G470">
        <v>2104</v>
      </c>
      <c r="H470">
        <v>1406</v>
      </c>
      <c r="I470">
        <v>758</v>
      </c>
      <c r="J470">
        <v>1599</v>
      </c>
      <c r="K470">
        <v>1143</v>
      </c>
      <c r="L470">
        <v>41370</v>
      </c>
      <c r="M470">
        <v>21243</v>
      </c>
      <c r="N470">
        <v>341</v>
      </c>
      <c r="O470">
        <v>236</v>
      </c>
      <c r="P470" t="s">
        <v>11</v>
      </c>
      <c r="Q470" t="s">
        <v>11</v>
      </c>
      <c r="R470">
        <v>19</v>
      </c>
      <c r="S470" t="s">
        <v>11</v>
      </c>
      <c r="T470" s="34">
        <v>52020</v>
      </c>
      <c r="U470" s="34">
        <v>10384</v>
      </c>
      <c r="V470" s="34">
        <v>4075</v>
      </c>
      <c r="W470">
        <v>681</v>
      </c>
      <c r="X470">
        <v>4949</v>
      </c>
      <c r="Y470">
        <v>826</v>
      </c>
      <c r="Z470">
        <v>4523</v>
      </c>
      <c r="AA470">
        <v>856</v>
      </c>
      <c r="AB470">
        <v>38968</v>
      </c>
      <c r="AC470">
        <v>24752</v>
      </c>
      <c r="AD470">
        <v>1916</v>
      </c>
      <c r="AE470">
        <v>1473</v>
      </c>
      <c r="AF470">
        <v>6229</v>
      </c>
      <c r="AG470">
        <v>3354</v>
      </c>
      <c r="AH470">
        <f t="shared" si="82"/>
        <v>1916</v>
      </c>
      <c r="AI470">
        <f t="shared" si="83"/>
        <v>1473</v>
      </c>
      <c r="AJ470">
        <v>13453</v>
      </c>
      <c r="AK470">
        <v>8633</v>
      </c>
      <c r="AL470">
        <v>29043</v>
      </c>
      <c r="AM470">
        <v>16033</v>
      </c>
      <c r="AN470" s="22">
        <v>0</v>
      </c>
      <c r="AO470">
        <v>151</v>
      </c>
      <c r="AP470">
        <v>864</v>
      </c>
      <c r="AQ470">
        <v>498</v>
      </c>
      <c r="AR470">
        <v>59</v>
      </c>
      <c r="AS470" t="s">
        <v>11</v>
      </c>
      <c r="AT470">
        <f t="shared" si="76"/>
        <v>864</v>
      </c>
      <c r="AU470">
        <f t="shared" si="77"/>
        <v>498</v>
      </c>
      <c r="AV470">
        <v>0</v>
      </c>
      <c r="AW470">
        <v>0</v>
      </c>
      <c r="AX470">
        <v>4</v>
      </c>
      <c r="AY470">
        <v>2</v>
      </c>
      <c r="AZ470">
        <f t="shared" si="78"/>
        <v>864</v>
      </c>
      <c r="BA470">
        <f t="shared" si="79"/>
        <v>498</v>
      </c>
      <c r="BB470">
        <f t="shared" si="84"/>
        <v>0</v>
      </c>
      <c r="BC470">
        <f t="shared" si="85"/>
        <v>151</v>
      </c>
      <c r="BD470">
        <v>50</v>
      </c>
      <c r="BE470">
        <v>34</v>
      </c>
      <c r="BF470" t="s">
        <v>11</v>
      </c>
      <c r="BG470" t="s">
        <v>11</v>
      </c>
      <c r="BH470">
        <v>22</v>
      </c>
      <c r="BI470" t="s">
        <v>11</v>
      </c>
      <c r="BJ470">
        <v>50</v>
      </c>
      <c r="BK470" t="s">
        <v>11</v>
      </c>
      <c r="BL470">
        <v>114</v>
      </c>
      <c r="BM470" t="s">
        <v>11</v>
      </c>
      <c r="BN470">
        <v>29</v>
      </c>
      <c r="BO470" t="s">
        <v>11</v>
      </c>
      <c r="BP470" t="str">
        <f t="shared" si="80"/>
        <v>NoData</v>
      </c>
      <c r="BQ470" t="str">
        <f t="shared" si="81"/>
        <v>NoData</v>
      </c>
      <c r="BR470">
        <v>80</v>
      </c>
      <c r="BS470" t="s">
        <v>11</v>
      </c>
      <c r="BT470">
        <v>25</v>
      </c>
      <c r="BU470" t="s">
        <v>11</v>
      </c>
    </row>
    <row r="471" spans="1:73" x14ac:dyDescent="0.25">
      <c r="A471" s="5">
        <v>40118</v>
      </c>
      <c r="B471">
        <v>1339</v>
      </c>
      <c r="C471">
        <v>723</v>
      </c>
      <c r="D471">
        <v>21</v>
      </c>
      <c r="E471">
        <v>11</v>
      </c>
      <c r="F471">
        <v>2124</v>
      </c>
      <c r="G471">
        <v>1221</v>
      </c>
      <c r="H471">
        <v>1869</v>
      </c>
      <c r="I471">
        <v>1006</v>
      </c>
      <c r="J471">
        <v>1100</v>
      </c>
      <c r="K471">
        <v>786</v>
      </c>
      <c r="L471">
        <v>27900</v>
      </c>
      <c r="M471">
        <v>10350</v>
      </c>
      <c r="N471">
        <v>242</v>
      </c>
      <c r="O471">
        <v>171</v>
      </c>
      <c r="P471" t="s">
        <v>11</v>
      </c>
      <c r="Q471" t="s">
        <v>11</v>
      </c>
      <c r="R471">
        <v>10</v>
      </c>
      <c r="S471" t="s">
        <v>11</v>
      </c>
      <c r="T471" s="34">
        <v>36560</v>
      </c>
      <c r="U471" s="34">
        <v>3070</v>
      </c>
      <c r="V471" s="34">
        <v>3070</v>
      </c>
      <c r="W471">
        <v>513</v>
      </c>
      <c r="X471">
        <v>2771</v>
      </c>
      <c r="Y471">
        <v>463</v>
      </c>
      <c r="Z471">
        <v>3918</v>
      </c>
      <c r="AA471">
        <v>410</v>
      </c>
      <c r="AB471">
        <v>28488</v>
      </c>
      <c r="AC471">
        <v>15121</v>
      </c>
      <c r="AD471">
        <v>1786</v>
      </c>
      <c r="AE471">
        <v>1512</v>
      </c>
      <c r="AF471">
        <v>4832</v>
      </c>
      <c r="AG471">
        <v>2593</v>
      </c>
      <c r="AH471">
        <f t="shared" si="82"/>
        <v>1786</v>
      </c>
      <c r="AI471">
        <f t="shared" si="83"/>
        <v>1512</v>
      </c>
      <c r="AJ471">
        <v>10057</v>
      </c>
      <c r="AK471">
        <v>6897</v>
      </c>
      <c r="AL471">
        <v>21705</v>
      </c>
      <c r="AM471">
        <v>11923</v>
      </c>
      <c r="AN471" s="22">
        <v>0</v>
      </c>
      <c r="AO471">
        <v>108</v>
      </c>
      <c r="AP471">
        <v>495</v>
      </c>
      <c r="AQ471">
        <v>288</v>
      </c>
      <c r="AR471">
        <v>42</v>
      </c>
      <c r="AS471" t="s">
        <v>11</v>
      </c>
      <c r="AT471">
        <f t="shared" si="76"/>
        <v>495</v>
      </c>
      <c r="AU471">
        <f t="shared" si="77"/>
        <v>288</v>
      </c>
      <c r="AV471">
        <v>0</v>
      </c>
      <c r="AW471">
        <v>0</v>
      </c>
      <c r="AX471">
        <v>4</v>
      </c>
      <c r="AY471">
        <v>2</v>
      </c>
      <c r="AZ471">
        <f t="shared" si="78"/>
        <v>495</v>
      </c>
      <c r="BA471">
        <f t="shared" si="79"/>
        <v>288</v>
      </c>
      <c r="BB471">
        <f t="shared" si="84"/>
        <v>0</v>
      </c>
      <c r="BC471">
        <f t="shared" si="85"/>
        <v>108</v>
      </c>
      <c r="BD471">
        <v>35</v>
      </c>
      <c r="BE471">
        <v>24</v>
      </c>
      <c r="BF471" t="s">
        <v>11</v>
      </c>
      <c r="BG471" t="s">
        <v>11</v>
      </c>
      <c r="BH471">
        <v>15</v>
      </c>
      <c r="BI471" t="s">
        <v>11</v>
      </c>
      <c r="BJ471">
        <v>39</v>
      </c>
      <c r="BK471" t="s">
        <v>11</v>
      </c>
      <c r="BL471">
        <v>19</v>
      </c>
      <c r="BM471" t="s">
        <v>11</v>
      </c>
      <c r="BN471">
        <v>21</v>
      </c>
      <c r="BO471" t="s">
        <v>11</v>
      </c>
      <c r="BP471" t="str">
        <f t="shared" si="80"/>
        <v>NoData</v>
      </c>
      <c r="BQ471" t="str">
        <f t="shared" si="81"/>
        <v>NoData</v>
      </c>
      <c r="BR471">
        <v>57</v>
      </c>
      <c r="BS471" t="s">
        <v>11</v>
      </c>
      <c r="BT471">
        <v>48</v>
      </c>
      <c r="BU471" t="s">
        <v>11</v>
      </c>
    </row>
    <row r="472" spans="1:73" x14ac:dyDescent="0.25">
      <c r="A472" s="5">
        <v>40148</v>
      </c>
      <c r="B472">
        <v>890</v>
      </c>
      <c r="C472">
        <v>481</v>
      </c>
      <c r="D472">
        <v>20</v>
      </c>
      <c r="E472">
        <v>11</v>
      </c>
      <c r="F472">
        <v>906</v>
      </c>
      <c r="G472">
        <v>561</v>
      </c>
      <c r="H472">
        <v>275</v>
      </c>
      <c r="I472">
        <v>149</v>
      </c>
      <c r="J472">
        <v>775</v>
      </c>
      <c r="K472">
        <v>554</v>
      </c>
      <c r="L472">
        <v>21650</v>
      </c>
      <c r="M472">
        <v>3831</v>
      </c>
      <c r="N472">
        <v>238</v>
      </c>
      <c r="O472">
        <v>161</v>
      </c>
      <c r="P472" t="s">
        <v>11</v>
      </c>
      <c r="Q472" t="s">
        <v>11</v>
      </c>
      <c r="R472">
        <v>18</v>
      </c>
      <c r="S472" t="s">
        <v>11</v>
      </c>
      <c r="T472" s="34">
        <v>32030</v>
      </c>
      <c r="U472" s="34">
        <v>998</v>
      </c>
      <c r="V472" s="34">
        <v>1920</v>
      </c>
      <c r="W472">
        <v>321</v>
      </c>
      <c r="X472">
        <v>2000</v>
      </c>
      <c r="Y472">
        <v>334</v>
      </c>
      <c r="Z472">
        <v>2673</v>
      </c>
      <c r="AA472">
        <v>137</v>
      </c>
      <c r="AB472">
        <v>21112</v>
      </c>
      <c r="AC472">
        <v>9797</v>
      </c>
      <c r="AD472">
        <v>1315</v>
      </c>
      <c r="AE472">
        <v>432</v>
      </c>
      <c r="AF472">
        <v>3232</v>
      </c>
      <c r="AG472">
        <v>1742</v>
      </c>
      <c r="AH472">
        <f t="shared" si="82"/>
        <v>1315</v>
      </c>
      <c r="AI472">
        <f t="shared" si="83"/>
        <v>432</v>
      </c>
      <c r="AJ472">
        <v>7350</v>
      </c>
      <c r="AK472">
        <v>1177</v>
      </c>
      <c r="AL472">
        <v>16384</v>
      </c>
      <c r="AM472">
        <v>9552</v>
      </c>
      <c r="AN472" s="22">
        <v>0</v>
      </c>
      <c r="AO472">
        <v>106</v>
      </c>
      <c r="AP472">
        <v>373</v>
      </c>
      <c r="AQ472">
        <v>216</v>
      </c>
      <c r="AR472">
        <v>42</v>
      </c>
      <c r="AS472" t="s">
        <v>11</v>
      </c>
      <c r="AT472">
        <f t="shared" si="76"/>
        <v>373</v>
      </c>
      <c r="AU472">
        <f t="shared" si="77"/>
        <v>216</v>
      </c>
      <c r="AV472">
        <v>0</v>
      </c>
      <c r="AW472">
        <v>0</v>
      </c>
      <c r="AX472">
        <v>4</v>
      </c>
      <c r="AY472">
        <v>2</v>
      </c>
      <c r="AZ472">
        <f t="shared" si="78"/>
        <v>373</v>
      </c>
      <c r="BA472">
        <f t="shared" si="79"/>
        <v>216</v>
      </c>
      <c r="BB472">
        <f t="shared" si="84"/>
        <v>0</v>
      </c>
      <c r="BC472">
        <f t="shared" si="85"/>
        <v>106</v>
      </c>
      <c r="BD472">
        <v>35</v>
      </c>
      <c r="BE472">
        <v>24</v>
      </c>
      <c r="BF472" t="s">
        <v>11</v>
      </c>
      <c r="BG472" t="s">
        <v>11</v>
      </c>
      <c r="BH472">
        <v>15</v>
      </c>
      <c r="BI472" t="s">
        <v>11</v>
      </c>
      <c r="BJ472">
        <v>2</v>
      </c>
      <c r="BK472" t="s">
        <v>11</v>
      </c>
      <c r="BL472">
        <v>21</v>
      </c>
      <c r="BM472" t="s">
        <v>11</v>
      </c>
      <c r="BN472">
        <v>20</v>
      </c>
      <c r="BO472" t="s">
        <v>11</v>
      </c>
      <c r="BP472" t="str">
        <f t="shared" si="80"/>
        <v>NoData</v>
      </c>
      <c r="BQ472" t="str">
        <f t="shared" si="81"/>
        <v>NoData</v>
      </c>
      <c r="BR472">
        <v>56</v>
      </c>
      <c r="BS472" t="s">
        <v>11</v>
      </c>
      <c r="BT472">
        <v>48</v>
      </c>
      <c r="BU472" t="s">
        <v>11</v>
      </c>
    </row>
    <row r="473" spans="1:73" x14ac:dyDescent="0.25">
      <c r="A473" s="5">
        <v>40179</v>
      </c>
      <c r="B473">
        <v>523</v>
      </c>
      <c r="C473">
        <v>282</v>
      </c>
      <c r="D473">
        <v>6</v>
      </c>
      <c r="E473">
        <v>3</v>
      </c>
      <c r="F473">
        <v>1093</v>
      </c>
      <c r="G473">
        <v>635</v>
      </c>
      <c r="H473">
        <v>577</v>
      </c>
      <c r="I473">
        <v>312</v>
      </c>
      <c r="J473">
        <v>151</v>
      </c>
      <c r="K473" t="s">
        <v>11</v>
      </c>
      <c r="L473">
        <v>11390</v>
      </c>
      <c r="M473">
        <v>-765</v>
      </c>
      <c r="N473">
        <v>243</v>
      </c>
      <c r="O473">
        <v>160</v>
      </c>
      <c r="P473">
        <v>0</v>
      </c>
      <c r="Q473" t="s">
        <v>11</v>
      </c>
      <c r="R473">
        <v>32</v>
      </c>
      <c r="S473" t="s">
        <v>11</v>
      </c>
      <c r="T473" s="34">
        <v>16170</v>
      </c>
      <c r="U473" s="34">
        <v>-10828</v>
      </c>
      <c r="V473" s="34">
        <v>1400</v>
      </c>
      <c r="W473">
        <v>1150</v>
      </c>
      <c r="X473">
        <v>1410</v>
      </c>
      <c r="Y473">
        <v>1150</v>
      </c>
      <c r="Z473">
        <v>1565</v>
      </c>
      <c r="AA473">
        <v>-150</v>
      </c>
      <c r="AB473">
        <v>12334</v>
      </c>
      <c r="AC473">
        <v>4391</v>
      </c>
      <c r="AD473">
        <v>742</v>
      </c>
      <c r="AE473">
        <v>-13</v>
      </c>
      <c r="AF473">
        <v>1787</v>
      </c>
      <c r="AG473">
        <v>871</v>
      </c>
      <c r="AH473">
        <f t="shared" si="82"/>
        <v>742</v>
      </c>
      <c r="AI473">
        <f t="shared" si="83"/>
        <v>-13</v>
      </c>
      <c r="AJ473">
        <v>5445</v>
      </c>
      <c r="AK473">
        <v>189</v>
      </c>
      <c r="AL473">
        <v>11449</v>
      </c>
      <c r="AM473">
        <v>-96</v>
      </c>
      <c r="AN473" s="22">
        <v>0</v>
      </c>
      <c r="AO473">
        <v>139</v>
      </c>
      <c r="AP473">
        <v>141</v>
      </c>
      <c r="AQ473">
        <v>78</v>
      </c>
      <c r="AR473">
        <v>25</v>
      </c>
      <c r="AS473" t="s">
        <v>11</v>
      </c>
      <c r="AT473">
        <f t="shared" si="76"/>
        <v>141</v>
      </c>
      <c r="AU473">
        <f t="shared" si="77"/>
        <v>78</v>
      </c>
      <c r="AV473">
        <v>0</v>
      </c>
      <c r="AW473">
        <v>0</v>
      </c>
      <c r="AX473">
        <v>4</v>
      </c>
      <c r="AY473">
        <v>2</v>
      </c>
      <c r="AZ473">
        <f t="shared" si="78"/>
        <v>141</v>
      </c>
      <c r="BA473">
        <f t="shared" si="79"/>
        <v>78</v>
      </c>
      <c r="BB473">
        <f t="shared" si="84"/>
        <v>0</v>
      </c>
      <c r="BC473">
        <f t="shared" si="85"/>
        <v>139</v>
      </c>
      <c r="BD473">
        <v>15</v>
      </c>
      <c r="BE473">
        <v>12</v>
      </c>
      <c r="BF473" t="s">
        <v>11</v>
      </c>
      <c r="BG473" t="s">
        <v>11</v>
      </c>
      <c r="BH473">
        <v>13</v>
      </c>
      <c r="BI473" t="s">
        <v>11</v>
      </c>
      <c r="BJ473">
        <v>33</v>
      </c>
      <c r="BK473" t="s">
        <v>11</v>
      </c>
      <c r="BL473">
        <v>65</v>
      </c>
      <c r="BM473" t="s">
        <v>11</v>
      </c>
      <c r="BN473">
        <v>22</v>
      </c>
      <c r="BO473" t="s">
        <v>11</v>
      </c>
      <c r="BP473" t="str">
        <f t="shared" si="80"/>
        <v>NoData</v>
      </c>
      <c r="BQ473" t="str">
        <f t="shared" si="81"/>
        <v>NoData</v>
      </c>
      <c r="BR473">
        <v>47</v>
      </c>
      <c r="BS473" t="s">
        <v>11</v>
      </c>
      <c r="BT473">
        <v>10</v>
      </c>
      <c r="BU473" t="s">
        <v>11</v>
      </c>
    </row>
    <row r="474" spans="1:73" x14ac:dyDescent="0.25">
      <c r="A474" s="5">
        <v>40210</v>
      </c>
      <c r="B474">
        <v>636</v>
      </c>
      <c r="C474">
        <v>343</v>
      </c>
      <c r="D474">
        <v>8</v>
      </c>
      <c r="E474">
        <v>4</v>
      </c>
      <c r="F474">
        <v>2164</v>
      </c>
      <c r="G474">
        <v>1218</v>
      </c>
      <c r="H474">
        <v>668</v>
      </c>
      <c r="I474">
        <v>360</v>
      </c>
      <c r="J474">
        <v>463</v>
      </c>
      <c r="K474" t="s">
        <v>11</v>
      </c>
      <c r="L474">
        <v>20040</v>
      </c>
      <c r="M474">
        <v>5837</v>
      </c>
      <c r="N474">
        <v>303</v>
      </c>
      <c r="O474">
        <v>192</v>
      </c>
      <c r="P474">
        <v>0</v>
      </c>
      <c r="Q474" t="s">
        <v>11</v>
      </c>
      <c r="R474">
        <v>21</v>
      </c>
      <c r="S474" t="s">
        <v>11</v>
      </c>
      <c r="T474" s="34">
        <v>22800</v>
      </c>
      <c r="U474" s="34">
        <v>-4717</v>
      </c>
      <c r="V474" s="34">
        <v>1896</v>
      </c>
      <c r="W474">
        <v>1557</v>
      </c>
      <c r="X474">
        <v>1388</v>
      </c>
      <c r="Y474">
        <v>1133</v>
      </c>
      <c r="Z474">
        <v>1842</v>
      </c>
      <c r="AA474">
        <v>100</v>
      </c>
      <c r="AB474">
        <v>17470</v>
      </c>
      <c r="AC474">
        <v>11223</v>
      </c>
      <c r="AD474">
        <v>924</v>
      </c>
      <c r="AE474">
        <v>-412</v>
      </c>
      <c r="AF474">
        <v>3118</v>
      </c>
      <c r="AG474">
        <v>1722</v>
      </c>
      <c r="AH474">
        <f t="shared" si="82"/>
        <v>924</v>
      </c>
      <c r="AI474">
        <f t="shared" si="83"/>
        <v>-412</v>
      </c>
      <c r="AJ474">
        <v>7272</v>
      </c>
      <c r="AK474">
        <v>-1565</v>
      </c>
      <c r="AL474">
        <v>14182</v>
      </c>
      <c r="AM474">
        <v>3941</v>
      </c>
      <c r="AN474" s="22">
        <v>0</v>
      </c>
      <c r="AO474">
        <v>174</v>
      </c>
      <c r="AP474">
        <v>286</v>
      </c>
      <c r="AQ474">
        <v>167</v>
      </c>
      <c r="AR474">
        <v>31</v>
      </c>
      <c r="AS474" t="s">
        <v>11</v>
      </c>
      <c r="AT474">
        <f t="shared" si="76"/>
        <v>286</v>
      </c>
      <c r="AU474">
        <f t="shared" si="77"/>
        <v>167</v>
      </c>
      <c r="AV474">
        <v>0</v>
      </c>
      <c r="AW474">
        <v>0</v>
      </c>
      <c r="AX474">
        <v>4</v>
      </c>
      <c r="AY474">
        <v>2</v>
      </c>
      <c r="AZ474">
        <f t="shared" si="78"/>
        <v>286</v>
      </c>
      <c r="BA474">
        <f t="shared" si="79"/>
        <v>167</v>
      </c>
      <c r="BB474">
        <f t="shared" si="84"/>
        <v>0</v>
      </c>
      <c r="BC474">
        <f t="shared" si="85"/>
        <v>174</v>
      </c>
      <c r="BD474">
        <v>13</v>
      </c>
      <c r="BE474">
        <v>10</v>
      </c>
      <c r="BF474" t="s">
        <v>11</v>
      </c>
      <c r="BG474" t="s">
        <v>11</v>
      </c>
      <c r="BH474">
        <v>16</v>
      </c>
      <c r="BI474" t="s">
        <v>11</v>
      </c>
      <c r="BJ474">
        <v>1</v>
      </c>
      <c r="BK474" t="s">
        <v>11</v>
      </c>
      <c r="BL474">
        <v>42</v>
      </c>
      <c r="BM474" t="s">
        <v>11</v>
      </c>
      <c r="BN474">
        <v>27</v>
      </c>
      <c r="BO474" t="s">
        <v>11</v>
      </c>
      <c r="BP474" t="str">
        <f t="shared" si="80"/>
        <v>NoData</v>
      </c>
      <c r="BQ474" t="str">
        <f t="shared" si="81"/>
        <v>NoData</v>
      </c>
      <c r="BR474">
        <v>59</v>
      </c>
      <c r="BS474" t="s">
        <v>11</v>
      </c>
      <c r="BT474">
        <v>7</v>
      </c>
      <c r="BU474" t="s">
        <v>11</v>
      </c>
    </row>
    <row r="475" spans="1:73" x14ac:dyDescent="0.25">
      <c r="A475" s="5">
        <v>40238</v>
      </c>
      <c r="B475">
        <v>1792</v>
      </c>
      <c r="C475">
        <v>968</v>
      </c>
      <c r="D475">
        <v>11</v>
      </c>
      <c r="E475">
        <v>6</v>
      </c>
      <c r="F475">
        <v>3388</v>
      </c>
      <c r="G475">
        <v>1925</v>
      </c>
      <c r="H475">
        <v>811</v>
      </c>
      <c r="I475">
        <v>438</v>
      </c>
      <c r="J475">
        <v>652</v>
      </c>
      <c r="K475" t="s">
        <v>11</v>
      </c>
      <c r="L475">
        <v>52090</v>
      </c>
      <c r="M475">
        <v>30745</v>
      </c>
      <c r="N475">
        <v>414</v>
      </c>
      <c r="O475">
        <v>264</v>
      </c>
      <c r="P475">
        <v>88</v>
      </c>
      <c r="Q475" t="s">
        <v>11</v>
      </c>
      <c r="R475">
        <v>27</v>
      </c>
      <c r="S475" t="s">
        <v>11</v>
      </c>
      <c r="T475" s="34">
        <v>53480</v>
      </c>
      <c r="U475" s="34">
        <v>20564</v>
      </c>
      <c r="V475" s="34">
        <v>4101</v>
      </c>
      <c r="W475">
        <v>3394</v>
      </c>
      <c r="X475">
        <v>3229</v>
      </c>
      <c r="Y475">
        <v>2660</v>
      </c>
      <c r="Z475">
        <v>3417</v>
      </c>
      <c r="AA475">
        <v>775</v>
      </c>
      <c r="AB475">
        <v>26987</v>
      </c>
      <c r="AC475">
        <v>20768</v>
      </c>
      <c r="AD475">
        <v>1647</v>
      </c>
      <c r="AE475">
        <v>169</v>
      </c>
      <c r="AF475">
        <v>6653</v>
      </c>
      <c r="AG475">
        <v>3498</v>
      </c>
      <c r="AH475">
        <f t="shared" si="82"/>
        <v>1647</v>
      </c>
      <c r="AI475">
        <f t="shared" si="83"/>
        <v>169</v>
      </c>
      <c r="AJ475">
        <v>12899</v>
      </c>
      <c r="AK475">
        <v>2102</v>
      </c>
      <c r="AL475">
        <v>35599</v>
      </c>
      <c r="AM475">
        <v>22721</v>
      </c>
      <c r="AN475" s="22">
        <v>0</v>
      </c>
      <c r="AO475">
        <v>238</v>
      </c>
      <c r="AP475">
        <v>633</v>
      </c>
      <c r="AQ475">
        <v>347</v>
      </c>
      <c r="AR475">
        <v>43</v>
      </c>
      <c r="AS475" t="s">
        <v>11</v>
      </c>
      <c r="AT475">
        <f t="shared" si="76"/>
        <v>633</v>
      </c>
      <c r="AU475">
        <f t="shared" si="77"/>
        <v>347</v>
      </c>
      <c r="AV475">
        <v>0</v>
      </c>
      <c r="AW475">
        <v>0</v>
      </c>
      <c r="AX475">
        <v>4</v>
      </c>
      <c r="AY475">
        <v>2</v>
      </c>
      <c r="AZ475">
        <f t="shared" si="78"/>
        <v>633</v>
      </c>
      <c r="BA475">
        <f t="shared" si="79"/>
        <v>347</v>
      </c>
      <c r="BB475">
        <f t="shared" si="84"/>
        <v>0</v>
      </c>
      <c r="BC475">
        <f t="shared" si="85"/>
        <v>238</v>
      </c>
      <c r="BD475">
        <v>28</v>
      </c>
      <c r="BE475">
        <v>19</v>
      </c>
      <c r="BF475" t="s">
        <v>11</v>
      </c>
      <c r="BG475" t="s">
        <v>11</v>
      </c>
      <c r="BH475">
        <v>22</v>
      </c>
      <c r="BI475" t="s">
        <v>11</v>
      </c>
      <c r="BJ475">
        <v>84</v>
      </c>
      <c r="BK475" t="s">
        <v>11</v>
      </c>
      <c r="BL475">
        <v>104</v>
      </c>
      <c r="BM475" t="s">
        <v>11</v>
      </c>
      <c r="BN475">
        <v>38</v>
      </c>
      <c r="BO475" t="s">
        <v>11</v>
      </c>
      <c r="BP475" t="str">
        <f t="shared" si="80"/>
        <v>NoData</v>
      </c>
      <c r="BQ475" t="str">
        <f t="shared" si="81"/>
        <v>NoData</v>
      </c>
      <c r="BR475">
        <v>81</v>
      </c>
      <c r="BS475" t="s">
        <v>11</v>
      </c>
      <c r="BT475">
        <v>35</v>
      </c>
      <c r="BU475" t="s">
        <v>11</v>
      </c>
    </row>
    <row r="476" spans="1:73" x14ac:dyDescent="0.25">
      <c r="A476" s="5">
        <v>40269</v>
      </c>
      <c r="B476">
        <v>2451</v>
      </c>
      <c r="C476">
        <v>1324</v>
      </c>
      <c r="D476">
        <v>11</v>
      </c>
      <c r="E476">
        <v>6</v>
      </c>
      <c r="F476">
        <v>4510</v>
      </c>
      <c r="G476">
        <v>2529</v>
      </c>
      <c r="H476">
        <v>1485</v>
      </c>
      <c r="I476">
        <v>800</v>
      </c>
      <c r="J476">
        <v>1031</v>
      </c>
      <c r="K476" t="s">
        <v>11</v>
      </c>
      <c r="L476">
        <v>65580</v>
      </c>
      <c r="M476">
        <v>39612</v>
      </c>
      <c r="N476">
        <v>447</v>
      </c>
      <c r="O476">
        <v>290</v>
      </c>
      <c r="P476">
        <v>223</v>
      </c>
      <c r="Q476" t="s">
        <v>11</v>
      </c>
      <c r="R476">
        <v>16</v>
      </c>
      <c r="S476" t="s">
        <v>11</v>
      </c>
      <c r="T476" s="34">
        <v>58620</v>
      </c>
      <c r="U476" s="34">
        <v>25107</v>
      </c>
      <c r="V476" s="34">
        <v>5555</v>
      </c>
      <c r="W476">
        <v>4597</v>
      </c>
      <c r="X476">
        <v>4957</v>
      </c>
      <c r="Y476">
        <v>4089</v>
      </c>
      <c r="Z476">
        <v>4175</v>
      </c>
      <c r="AA476">
        <v>1184</v>
      </c>
      <c r="AB476">
        <v>38672</v>
      </c>
      <c r="AC476">
        <v>31663</v>
      </c>
      <c r="AD476">
        <v>2258</v>
      </c>
      <c r="AE476">
        <v>1059</v>
      </c>
      <c r="AF476">
        <v>7666</v>
      </c>
      <c r="AG476">
        <v>3957</v>
      </c>
      <c r="AH476">
        <f t="shared" si="82"/>
        <v>2258</v>
      </c>
      <c r="AI476">
        <f t="shared" si="83"/>
        <v>1059</v>
      </c>
      <c r="AJ476">
        <v>14940</v>
      </c>
      <c r="AK476">
        <v>5552</v>
      </c>
      <c r="AL476">
        <v>43289</v>
      </c>
      <c r="AM476">
        <v>30887</v>
      </c>
      <c r="AN476" s="22">
        <v>0</v>
      </c>
      <c r="AO476">
        <v>255</v>
      </c>
      <c r="AP476">
        <v>1034</v>
      </c>
      <c r="AQ476">
        <v>572</v>
      </c>
      <c r="AR476">
        <v>46</v>
      </c>
      <c r="AS476" t="s">
        <v>11</v>
      </c>
      <c r="AT476">
        <f t="shared" si="76"/>
        <v>1034</v>
      </c>
      <c r="AU476">
        <f t="shared" si="77"/>
        <v>572</v>
      </c>
      <c r="AV476">
        <v>0</v>
      </c>
      <c r="AW476">
        <v>0</v>
      </c>
      <c r="AX476">
        <v>4</v>
      </c>
      <c r="AY476">
        <v>2</v>
      </c>
      <c r="AZ476">
        <f t="shared" si="78"/>
        <v>1034</v>
      </c>
      <c r="BA476">
        <f t="shared" si="79"/>
        <v>572</v>
      </c>
      <c r="BB476">
        <f t="shared" si="84"/>
        <v>0</v>
      </c>
      <c r="BC476">
        <f t="shared" si="85"/>
        <v>255</v>
      </c>
      <c r="BD476">
        <v>41</v>
      </c>
      <c r="BE476">
        <v>29</v>
      </c>
      <c r="BF476" t="s">
        <v>11</v>
      </c>
      <c r="BG476" t="s">
        <v>11</v>
      </c>
      <c r="BH476">
        <v>24</v>
      </c>
      <c r="BI476" t="s">
        <v>11</v>
      </c>
      <c r="BJ476">
        <v>86</v>
      </c>
      <c r="BK476" t="s">
        <v>11</v>
      </c>
      <c r="BL476">
        <v>171</v>
      </c>
      <c r="BM476" t="s">
        <v>11</v>
      </c>
      <c r="BN476">
        <v>41</v>
      </c>
      <c r="BO476" t="s">
        <v>11</v>
      </c>
      <c r="BP476" t="str">
        <f t="shared" si="80"/>
        <v>NoData</v>
      </c>
      <c r="BQ476" t="str">
        <f t="shared" si="81"/>
        <v>NoData</v>
      </c>
      <c r="BR476">
        <v>87</v>
      </c>
      <c r="BS476" t="s">
        <v>11</v>
      </c>
      <c r="BT476">
        <v>15</v>
      </c>
      <c r="BU476" t="s">
        <v>11</v>
      </c>
    </row>
    <row r="477" spans="1:73" x14ac:dyDescent="0.25">
      <c r="A477" s="5">
        <v>40299</v>
      </c>
      <c r="B477">
        <v>2751</v>
      </c>
      <c r="C477">
        <v>1486</v>
      </c>
      <c r="D477">
        <v>14</v>
      </c>
      <c r="E477">
        <v>8</v>
      </c>
      <c r="F477">
        <v>5245</v>
      </c>
      <c r="G477">
        <v>2928</v>
      </c>
      <c r="H477">
        <v>1547</v>
      </c>
      <c r="I477">
        <v>835</v>
      </c>
      <c r="J477">
        <v>1082</v>
      </c>
      <c r="K477" t="s">
        <v>11</v>
      </c>
      <c r="L477">
        <v>73000</v>
      </c>
      <c r="M477">
        <v>48440</v>
      </c>
      <c r="N477">
        <v>547</v>
      </c>
      <c r="O477">
        <v>358</v>
      </c>
      <c r="P477">
        <v>547</v>
      </c>
      <c r="Q477" t="s">
        <v>11</v>
      </c>
      <c r="R477">
        <v>10</v>
      </c>
      <c r="S477" t="s">
        <v>11</v>
      </c>
      <c r="T477" s="34">
        <v>76110</v>
      </c>
      <c r="U477" s="34">
        <v>37421</v>
      </c>
      <c r="V477" s="34">
        <v>4945</v>
      </c>
      <c r="W477">
        <v>4000</v>
      </c>
      <c r="X477">
        <v>5043</v>
      </c>
      <c r="Y477">
        <v>4101</v>
      </c>
      <c r="Z477">
        <v>5234</v>
      </c>
      <c r="AA477">
        <v>1654</v>
      </c>
      <c r="AB477">
        <v>37747</v>
      </c>
      <c r="AC477">
        <v>28687</v>
      </c>
      <c r="AD477">
        <v>2539</v>
      </c>
      <c r="AE477">
        <v>1025</v>
      </c>
      <c r="AF477">
        <v>7777</v>
      </c>
      <c r="AG477">
        <v>4126</v>
      </c>
      <c r="AH477">
        <f t="shared" si="82"/>
        <v>2539</v>
      </c>
      <c r="AI477">
        <f t="shared" si="83"/>
        <v>1025</v>
      </c>
      <c r="AJ477">
        <v>17920</v>
      </c>
      <c r="AK477">
        <v>6151</v>
      </c>
      <c r="AL477">
        <v>40452</v>
      </c>
      <c r="AM477">
        <v>27073</v>
      </c>
      <c r="AN477" s="22">
        <v>0</v>
      </c>
      <c r="AO477">
        <v>313</v>
      </c>
      <c r="AP477">
        <v>1053</v>
      </c>
      <c r="AQ477">
        <v>585</v>
      </c>
      <c r="AR477">
        <v>56</v>
      </c>
      <c r="AS477" t="s">
        <v>11</v>
      </c>
      <c r="AT477">
        <f t="shared" si="76"/>
        <v>1053</v>
      </c>
      <c r="AU477">
        <f t="shared" si="77"/>
        <v>585</v>
      </c>
      <c r="AV477">
        <v>0</v>
      </c>
      <c r="AW477">
        <v>0</v>
      </c>
      <c r="AX477">
        <v>4</v>
      </c>
      <c r="AY477">
        <v>2</v>
      </c>
      <c r="AZ477">
        <f t="shared" si="78"/>
        <v>1053</v>
      </c>
      <c r="BA477">
        <f t="shared" si="79"/>
        <v>585</v>
      </c>
      <c r="BB477">
        <f t="shared" si="84"/>
        <v>0</v>
      </c>
      <c r="BC477">
        <f t="shared" si="85"/>
        <v>313</v>
      </c>
      <c r="BD477">
        <v>60</v>
      </c>
      <c r="BE477">
        <v>41</v>
      </c>
      <c r="BF477" t="s">
        <v>11</v>
      </c>
      <c r="BG477" t="s">
        <v>11</v>
      </c>
      <c r="BH477">
        <v>29</v>
      </c>
      <c r="BI477" t="s">
        <v>11</v>
      </c>
      <c r="BJ477">
        <v>83</v>
      </c>
      <c r="BK477" t="s">
        <v>11</v>
      </c>
      <c r="BL477">
        <v>196</v>
      </c>
      <c r="BM477" t="s">
        <v>11</v>
      </c>
      <c r="BN477">
        <v>50</v>
      </c>
      <c r="BO477" t="s">
        <v>11</v>
      </c>
      <c r="BP477" t="str">
        <f t="shared" si="80"/>
        <v>NoData</v>
      </c>
      <c r="BQ477" t="str">
        <f t="shared" si="81"/>
        <v>NoData</v>
      </c>
      <c r="BR477">
        <v>107</v>
      </c>
      <c r="BS477" t="s">
        <v>11</v>
      </c>
      <c r="BT477">
        <v>30</v>
      </c>
      <c r="BU477" t="s">
        <v>11</v>
      </c>
    </row>
    <row r="478" spans="1:73" x14ac:dyDescent="0.25">
      <c r="A478" s="5">
        <v>40330</v>
      </c>
      <c r="B478">
        <v>3256</v>
      </c>
      <c r="C478">
        <v>1758</v>
      </c>
      <c r="D478">
        <v>17</v>
      </c>
      <c r="E478">
        <v>9</v>
      </c>
      <c r="F478">
        <v>10177</v>
      </c>
      <c r="G478">
        <v>5590</v>
      </c>
      <c r="H478">
        <v>1539</v>
      </c>
      <c r="I478">
        <v>831</v>
      </c>
      <c r="J478">
        <v>1329</v>
      </c>
      <c r="K478" t="s">
        <v>11</v>
      </c>
      <c r="L478">
        <v>78710</v>
      </c>
      <c r="M478">
        <v>57241</v>
      </c>
      <c r="N478">
        <v>664</v>
      </c>
      <c r="O478">
        <v>430</v>
      </c>
      <c r="P478">
        <v>858</v>
      </c>
      <c r="Q478" t="s">
        <v>11</v>
      </c>
      <c r="R478">
        <v>48</v>
      </c>
      <c r="S478" t="s">
        <v>11</v>
      </c>
      <c r="T478" s="34">
        <v>82260</v>
      </c>
      <c r="U478" s="34">
        <v>43368</v>
      </c>
      <c r="V478" s="34">
        <v>1502</v>
      </c>
      <c r="W478">
        <v>1284</v>
      </c>
      <c r="X478">
        <v>3939</v>
      </c>
      <c r="Y478">
        <v>3216</v>
      </c>
      <c r="Z478">
        <v>4917</v>
      </c>
      <c r="AA478">
        <v>1612</v>
      </c>
      <c r="AB478">
        <v>26686</v>
      </c>
      <c r="AC478">
        <v>19231</v>
      </c>
      <c r="AD478">
        <v>3303</v>
      </c>
      <c r="AE478">
        <v>1580</v>
      </c>
      <c r="AF478">
        <v>6016</v>
      </c>
      <c r="AG478">
        <v>3196</v>
      </c>
      <c r="AH478">
        <f t="shared" si="82"/>
        <v>3303</v>
      </c>
      <c r="AI478">
        <f t="shared" si="83"/>
        <v>1580</v>
      </c>
      <c r="AJ478">
        <v>23493</v>
      </c>
      <c r="AK478">
        <v>9551</v>
      </c>
      <c r="AL478">
        <v>40918</v>
      </c>
      <c r="AM478">
        <v>28094</v>
      </c>
      <c r="AN478" s="22">
        <v>0</v>
      </c>
      <c r="AO478">
        <v>379</v>
      </c>
      <c r="AP478">
        <v>941</v>
      </c>
      <c r="AQ478">
        <v>524</v>
      </c>
      <c r="AR478">
        <v>68</v>
      </c>
      <c r="AS478" t="s">
        <v>11</v>
      </c>
      <c r="AT478">
        <f t="shared" si="76"/>
        <v>941</v>
      </c>
      <c r="AU478">
        <f t="shared" si="77"/>
        <v>524</v>
      </c>
      <c r="AV478">
        <v>0</v>
      </c>
      <c r="AW478">
        <v>0</v>
      </c>
      <c r="AX478">
        <v>4</v>
      </c>
      <c r="AY478">
        <v>2</v>
      </c>
      <c r="AZ478">
        <f t="shared" si="78"/>
        <v>941</v>
      </c>
      <c r="BA478">
        <f t="shared" si="79"/>
        <v>524</v>
      </c>
      <c r="BB478">
        <f t="shared" si="84"/>
        <v>0</v>
      </c>
      <c r="BC478">
        <f t="shared" si="85"/>
        <v>379</v>
      </c>
      <c r="BD478">
        <v>69</v>
      </c>
      <c r="BE478">
        <v>47</v>
      </c>
      <c r="BF478" t="s">
        <v>11</v>
      </c>
      <c r="BG478" t="s">
        <v>11</v>
      </c>
      <c r="BH478">
        <v>36</v>
      </c>
      <c r="BI478" t="s">
        <v>11</v>
      </c>
      <c r="BJ478">
        <v>77</v>
      </c>
      <c r="BK478" t="s">
        <v>11</v>
      </c>
      <c r="BL478">
        <v>112</v>
      </c>
      <c r="BM478" t="s">
        <v>11</v>
      </c>
      <c r="BN478">
        <v>60</v>
      </c>
      <c r="BO478" t="s">
        <v>11</v>
      </c>
      <c r="BP478" t="str">
        <f t="shared" si="80"/>
        <v>NoData</v>
      </c>
      <c r="BQ478" t="str">
        <f t="shared" si="81"/>
        <v>NoData</v>
      </c>
      <c r="BR478">
        <v>129</v>
      </c>
      <c r="BS478" t="s">
        <v>11</v>
      </c>
      <c r="BT478">
        <v>30</v>
      </c>
      <c r="BU478" t="s">
        <v>11</v>
      </c>
    </row>
    <row r="479" spans="1:73" x14ac:dyDescent="0.25">
      <c r="A479" s="5">
        <v>40360</v>
      </c>
      <c r="B479">
        <v>3451</v>
      </c>
      <c r="C479">
        <v>1864</v>
      </c>
      <c r="D479">
        <v>18</v>
      </c>
      <c r="E479">
        <v>10</v>
      </c>
      <c r="F479">
        <v>12566</v>
      </c>
      <c r="G479">
        <v>6944</v>
      </c>
      <c r="H479">
        <v>944</v>
      </c>
      <c r="I479">
        <v>512</v>
      </c>
      <c r="J479">
        <v>1605</v>
      </c>
      <c r="K479" t="s">
        <v>11</v>
      </c>
      <c r="L479">
        <v>84680</v>
      </c>
      <c r="M479">
        <v>62138</v>
      </c>
      <c r="N479">
        <v>724</v>
      </c>
      <c r="O479">
        <v>468</v>
      </c>
      <c r="P479">
        <v>996</v>
      </c>
      <c r="Q479" t="s">
        <v>11</v>
      </c>
      <c r="R479">
        <v>30</v>
      </c>
      <c r="S479" t="s">
        <v>11</v>
      </c>
      <c r="T479" s="34">
        <v>95050</v>
      </c>
      <c r="U479" s="34">
        <v>53829</v>
      </c>
      <c r="V479" s="34">
        <v>4165</v>
      </c>
      <c r="W479">
        <v>3453</v>
      </c>
      <c r="X479">
        <v>4417</v>
      </c>
      <c r="Y479">
        <v>3609</v>
      </c>
      <c r="Z479">
        <v>5158</v>
      </c>
      <c r="AA479">
        <v>1651</v>
      </c>
      <c r="AB479">
        <v>40586</v>
      </c>
      <c r="AC479">
        <v>31913</v>
      </c>
      <c r="AD479">
        <v>3359</v>
      </c>
      <c r="AE479">
        <v>1862</v>
      </c>
      <c r="AF479">
        <v>6083</v>
      </c>
      <c r="AG479">
        <v>3256</v>
      </c>
      <c r="AH479">
        <f t="shared" si="82"/>
        <v>3359</v>
      </c>
      <c r="AI479">
        <f t="shared" si="83"/>
        <v>1862</v>
      </c>
      <c r="AJ479">
        <v>25250</v>
      </c>
      <c r="AK479">
        <v>12208</v>
      </c>
      <c r="AL479">
        <v>45172</v>
      </c>
      <c r="AM479">
        <v>34584</v>
      </c>
      <c r="AN479" s="22">
        <v>0</v>
      </c>
      <c r="AO479">
        <v>416</v>
      </c>
      <c r="AP479">
        <v>664</v>
      </c>
      <c r="AQ479">
        <v>373</v>
      </c>
      <c r="AR479">
        <v>75</v>
      </c>
      <c r="AS479" t="s">
        <v>11</v>
      </c>
      <c r="AT479">
        <f t="shared" si="76"/>
        <v>664</v>
      </c>
      <c r="AU479">
        <f t="shared" si="77"/>
        <v>373</v>
      </c>
      <c r="AV479">
        <v>0</v>
      </c>
      <c r="AW479">
        <v>0</v>
      </c>
      <c r="AX479">
        <v>4</v>
      </c>
      <c r="AY479">
        <v>2</v>
      </c>
      <c r="AZ479">
        <f t="shared" si="78"/>
        <v>664</v>
      </c>
      <c r="BA479">
        <f t="shared" si="79"/>
        <v>373</v>
      </c>
      <c r="BB479">
        <f t="shared" si="84"/>
        <v>0</v>
      </c>
      <c r="BC479">
        <f t="shared" si="85"/>
        <v>416</v>
      </c>
      <c r="BD479">
        <v>80</v>
      </c>
      <c r="BE479">
        <v>55</v>
      </c>
      <c r="BF479" t="s">
        <v>11</v>
      </c>
      <c r="BG479" t="s">
        <v>11</v>
      </c>
      <c r="BH479">
        <v>39</v>
      </c>
      <c r="BI479" t="s">
        <v>11</v>
      </c>
      <c r="BJ479">
        <v>47</v>
      </c>
      <c r="BK479" t="s">
        <v>11</v>
      </c>
      <c r="BL479">
        <v>113</v>
      </c>
      <c r="BM479" t="s">
        <v>11</v>
      </c>
      <c r="BN479">
        <v>66</v>
      </c>
      <c r="BO479" t="s">
        <v>11</v>
      </c>
      <c r="BP479" t="str">
        <f t="shared" si="80"/>
        <v>NoData</v>
      </c>
      <c r="BQ479" t="str">
        <f t="shared" si="81"/>
        <v>NoData</v>
      </c>
      <c r="BR479">
        <v>141</v>
      </c>
      <c r="BS479" t="s">
        <v>11</v>
      </c>
      <c r="BT479">
        <v>15</v>
      </c>
      <c r="BU479" t="s">
        <v>11</v>
      </c>
    </row>
    <row r="480" spans="1:73" x14ac:dyDescent="0.25">
      <c r="A480" s="5">
        <v>40391</v>
      </c>
      <c r="B480">
        <v>3671</v>
      </c>
      <c r="C480">
        <v>1982</v>
      </c>
      <c r="D480">
        <v>18</v>
      </c>
      <c r="E480">
        <v>10</v>
      </c>
      <c r="F480">
        <v>10039</v>
      </c>
      <c r="G480">
        <v>5548</v>
      </c>
      <c r="H480">
        <v>1042</v>
      </c>
      <c r="I480">
        <v>565</v>
      </c>
      <c r="J480">
        <v>1350</v>
      </c>
      <c r="K480" t="s">
        <v>11</v>
      </c>
      <c r="L480">
        <v>83310</v>
      </c>
      <c r="M480">
        <v>59324</v>
      </c>
      <c r="N480">
        <v>697</v>
      </c>
      <c r="O480">
        <v>453</v>
      </c>
      <c r="P480">
        <v>1056</v>
      </c>
      <c r="Q480" t="s">
        <v>11</v>
      </c>
      <c r="R480">
        <v>19</v>
      </c>
      <c r="S480" t="s">
        <v>11</v>
      </c>
      <c r="T480" s="34">
        <v>99510</v>
      </c>
      <c r="U480" s="34">
        <v>52385</v>
      </c>
      <c r="V480" s="34">
        <v>3192</v>
      </c>
      <c r="W480">
        <v>2667</v>
      </c>
      <c r="X480">
        <v>3350</v>
      </c>
      <c r="Y480">
        <v>2747</v>
      </c>
      <c r="Z480">
        <v>2829</v>
      </c>
      <c r="AA480">
        <v>734</v>
      </c>
      <c r="AB480">
        <v>24295</v>
      </c>
      <c r="AC480">
        <v>17414</v>
      </c>
      <c r="AD480">
        <v>3360</v>
      </c>
      <c r="AE480">
        <v>1961</v>
      </c>
      <c r="AF480">
        <v>6449</v>
      </c>
      <c r="AG480">
        <v>3246</v>
      </c>
      <c r="AH480">
        <f t="shared" si="82"/>
        <v>3360</v>
      </c>
      <c r="AI480">
        <f t="shared" si="83"/>
        <v>1961</v>
      </c>
      <c r="AJ480">
        <v>24304</v>
      </c>
      <c r="AK480">
        <v>12049</v>
      </c>
      <c r="AL480">
        <v>41194</v>
      </c>
      <c r="AM480">
        <v>32124</v>
      </c>
      <c r="AN480" s="22">
        <v>0</v>
      </c>
      <c r="AO480">
        <v>400</v>
      </c>
      <c r="AP480">
        <v>502</v>
      </c>
      <c r="AQ480">
        <v>281</v>
      </c>
      <c r="AR480">
        <v>72</v>
      </c>
      <c r="AS480" t="s">
        <v>11</v>
      </c>
      <c r="AT480">
        <f t="shared" si="76"/>
        <v>502</v>
      </c>
      <c r="AU480">
        <f t="shared" si="77"/>
        <v>281</v>
      </c>
      <c r="AV480">
        <v>0</v>
      </c>
      <c r="AW480">
        <v>0</v>
      </c>
      <c r="AX480">
        <v>4</v>
      </c>
      <c r="AY480">
        <v>2</v>
      </c>
      <c r="AZ480">
        <f t="shared" si="78"/>
        <v>502</v>
      </c>
      <c r="BA480">
        <f t="shared" si="79"/>
        <v>281</v>
      </c>
      <c r="BB480">
        <f t="shared" si="84"/>
        <v>0</v>
      </c>
      <c r="BC480">
        <f t="shared" si="85"/>
        <v>400</v>
      </c>
      <c r="BD480">
        <v>72</v>
      </c>
      <c r="BE480">
        <v>48</v>
      </c>
      <c r="BF480" t="s">
        <v>11</v>
      </c>
      <c r="BG480" t="s">
        <v>11</v>
      </c>
      <c r="BH480">
        <v>38</v>
      </c>
      <c r="BI480" t="s">
        <v>11</v>
      </c>
      <c r="BJ480">
        <v>25</v>
      </c>
      <c r="BK480" t="s">
        <v>11</v>
      </c>
      <c r="BL480">
        <v>89</v>
      </c>
      <c r="BM480" t="s">
        <v>11</v>
      </c>
      <c r="BN480">
        <v>63</v>
      </c>
      <c r="BO480" t="s">
        <v>11</v>
      </c>
      <c r="BP480" t="str">
        <f t="shared" si="80"/>
        <v>NoData</v>
      </c>
      <c r="BQ480" t="str">
        <f t="shared" si="81"/>
        <v>NoData</v>
      </c>
      <c r="BR480">
        <v>136</v>
      </c>
      <c r="BS480" t="s">
        <v>11</v>
      </c>
      <c r="BT480">
        <v>20</v>
      </c>
      <c r="BU480" t="s">
        <v>11</v>
      </c>
    </row>
    <row r="481" spans="1:73" x14ac:dyDescent="0.25">
      <c r="A481" s="5">
        <v>40422</v>
      </c>
      <c r="B481">
        <v>2396</v>
      </c>
      <c r="C481">
        <v>1294</v>
      </c>
      <c r="D481">
        <v>14</v>
      </c>
      <c r="E481">
        <v>8</v>
      </c>
      <c r="F481">
        <v>4254</v>
      </c>
      <c r="G481">
        <v>2442</v>
      </c>
      <c r="H481">
        <v>867</v>
      </c>
      <c r="I481">
        <v>469</v>
      </c>
      <c r="J481">
        <v>1279</v>
      </c>
      <c r="K481" t="s">
        <v>11</v>
      </c>
      <c r="L481">
        <v>67680</v>
      </c>
      <c r="M481">
        <v>42850</v>
      </c>
      <c r="N481">
        <v>548</v>
      </c>
      <c r="O481">
        <v>362</v>
      </c>
      <c r="P481">
        <v>632</v>
      </c>
      <c r="Q481" t="s">
        <v>11</v>
      </c>
      <c r="R481">
        <v>18</v>
      </c>
      <c r="S481" t="s">
        <v>11</v>
      </c>
      <c r="T481" s="34">
        <v>79570</v>
      </c>
      <c r="U481" s="34">
        <v>34154</v>
      </c>
      <c r="V481" s="34">
        <v>4795</v>
      </c>
      <c r="W481">
        <v>3980</v>
      </c>
      <c r="X481">
        <v>1016</v>
      </c>
      <c r="Y481">
        <v>829</v>
      </c>
      <c r="Z481">
        <v>3430</v>
      </c>
      <c r="AA481">
        <v>852</v>
      </c>
      <c r="AB481">
        <v>27949</v>
      </c>
      <c r="AC481">
        <v>18248</v>
      </c>
      <c r="AD481">
        <v>3082</v>
      </c>
      <c r="AE481">
        <v>2114</v>
      </c>
      <c r="AF481">
        <v>5776</v>
      </c>
      <c r="AG481">
        <v>3099</v>
      </c>
      <c r="AH481">
        <f t="shared" si="82"/>
        <v>3082</v>
      </c>
      <c r="AI481">
        <f t="shared" si="83"/>
        <v>2114</v>
      </c>
      <c r="AJ481">
        <v>21231</v>
      </c>
      <c r="AK481">
        <v>12090</v>
      </c>
      <c r="AL481">
        <v>38626</v>
      </c>
      <c r="AM481">
        <v>26596</v>
      </c>
      <c r="AN481" s="22">
        <v>15</v>
      </c>
      <c r="AO481">
        <v>320</v>
      </c>
      <c r="AP481">
        <v>674</v>
      </c>
      <c r="AQ481">
        <v>385</v>
      </c>
      <c r="AR481">
        <v>56</v>
      </c>
      <c r="AS481" t="s">
        <v>11</v>
      </c>
      <c r="AT481">
        <f t="shared" si="76"/>
        <v>674</v>
      </c>
      <c r="AU481">
        <f t="shared" si="77"/>
        <v>385</v>
      </c>
      <c r="AV481">
        <v>0</v>
      </c>
      <c r="AW481">
        <v>0</v>
      </c>
      <c r="AX481">
        <v>4</v>
      </c>
      <c r="AY481">
        <v>2</v>
      </c>
      <c r="AZ481">
        <f t="shared" si="78"/>
        <v>674</v>
      </c>
      <c r="BA481">
        <f t="shared" si="79"/>
        <v>385</v>
      </c>
      <c r="BB481">
        <f t="shared" si="84"/>
        <v>15</v>
      </c>
      <c r="BC481">
        <f t="shared" si="85"/>
        <v>320</v>
      </c>
      <c r="BD481">
        <v>52</v>
      </c>
      <c r="BE481">
        <v>35</v>
      </c>
      <c r="BF481" t="s">
        <v>11</v>
      </c>
      <c r="BG481" t="s">
        <v>11</v>
      </c>
      <c r="BH481">
        <v>29</v>
      </c>
      <c r="BI481" t="s">
        <v>11</v>
      </c>
      <c r="BJ481">
        <v>0</v>
      </c>
      <c r="BK481" t="s">
        <v>11</v>
      </c>
      <c r="BL481">
        <v>36</v>
      </c>
      <c r="BM481" t="s">
        <v>11</v>
      </c>
      <c r="BN481">
        <v>50</v>
      </c>
      <c r="BO481" t="s">
        <v>11</v>
      </c>
      <c r="BP481" t="str">
        <f t="shared" si="80"/>
        <v>NoData</v>
      </c>
      <c r="BQ481" t="str">
        <f t="shared" si="81"/>
        <v>NoData</v>
      </c>
      <c r="BR481">
        <v>107</v>
      </c>
      <c r="BS481" t="s">
        <v>11</v>
      </c>
      <c r="BT481">
        <v>190</v>
      </c>
      <c r="BU481" t="s">
        <v>11</v>
      </c>
    </row>
    <row r="482" spans="1:73" x14ac:dyDescent="0.25">
      <c r="A482" s="5">
        <v>40452</v>
      </c>
      <c r="B482">
        <v>2006</v>
      </c>
      <c r="C482">
        <v>1083</v>
      </c>
      <c r="D482">
        <v>12</v>
      </c>
      <c r="E482">
        <v>6</v>
      </c>
      <c r="F482">
        <v>1398</v>
      </c>
      <c r="G482">
        <v>896</v>
      </c>
      <c r="H482">
        <v>527</v>
      </c>
      <c r="I482">
        <v>286</v>
      </c>
      <c r="J482">
        <v>723</v>
      </c>
      <c r="K482" t="s">
        <v>11</v>
      </c>
      <c r="L482">
        <v>36680</v>
      </c>
      <c r="M482">
        <v>16045</v>
      </c>
      <c r="N482">
        <v>459</v>
      </c>
      <c r="O482">
        <v>301</v>
      </c>
      <c r="P482">
        <v>382</v>
      </c>
      <c r="Q482" t="s">
        <v>11</v>
      </c>
      <c r="R482">
        <v>17</v>
      </c>
      <c r="S482" t="s">
        <v>11</v>
      </c>
      <c r="T482" s="34">
        <v>55190</v>
      </c>
      <c r="U482" s="34">
        <v>11252</v>
      </c>
      <c r="V482" s="34">
        <v>4411</v>
      </c>
      <c r="W482">
        <v>3617</v>
      </c>
      <c r="X482">
        <v>4797</v>
      </c>
      <c r="Y482">
        <v>3931</v>
      </c>
      <c r="Z482">
        <v>4245</v>
      </c>
      <c r="AA482">
        <v>787</v>
      </c>
      <c r="AB482">
        <v>37468</v>
      </c>
      <c r="AC482">
        <v>22405</v>
      </c>
      <c r="AD482">
        <v>2098</v>
      </c>
      <c r="AE482">
        <v>1942</v>
      </c>
      <c r="AF482">
        <v>5274</v>
      </c>
      <c r="AG482">
        <v>2881</v>
      </c>
      <c r="AH482">
        <f t="shared" si="82"/>
        <v>2098</v>
      </c>
      <c r="AI482">
        <f t="shared" si="83"/>
        <v>1942</v>
      </c>
      <c r="AJ482">
        <v>14351</v>
      </c>
      <c r="AK482">
        <v>11045</v>
      </c>
      <c r="AL482">
        <v>29450</v>
      </c>
      <c r="AM482">
        <v>17894</v>
      </c>
      <c r="AN482" s="22">
        <v>0</v>
      </c>
      <c r="AO482">
        <v>260</v>
      </c>
      <c r="AP482">
        <v>784</v>
      </c>
      <c r="AQ482">
        <v>458</v>
      </c>
      <c r="AR482">
        <v>47</v>
      </c>
      <c r="AS482" t="s">
        <v>11</v>
      </c>
      <c r="AT482">
        <f t="shared" si="76"/>
        <v>784</v>
      </c>
      <c r="AU482">
        <f t="shared" si="77"/>
        <v>458</v>
      </c>
      <c r="AV482">
        <v>0</v>
      </c>
      <c r="AW482">
        <v>0</v>
      </c>
      <c r="AX482">
        <v>4</v>
      </c>
      <c r="AY482">
        <v>2</v>
      </c>
      <c r="AZ482">
        <f t="shared" si="78"/>
        <v>784</v>
      </c>
      <c r="BA482">
        <f t="shared" si="79"/>
        <v>458</v>
      </c>
      <c r="BB482">
        <f t="shared" si="84"/>
        <v>0</v>
      </c>
      <c r="BC482">
        <f t="shared" si="85"/>
        <v>260</v>
      </c>
      <c r="BD482">
        <v>30</v>
      </c>
      <c r="BE482">
        <v>21</v>
      </c>
      <c r="BF482" t="s">
        <v>11</v>
      </c>
      <c r="BG482" t="s">
        <v>11</v>
      </c>
      <c r="BH482">
        <v>25</v>
      </c>
      <c r="BI482" t="s">
        <v>11</v>
      </c>
      <c r="BJ482">
        <v>63</v>
      </c>
      <c r="BK482" t="s">
        <v>11</v>
      </c>
      <c r="BL482">
        <v>23</v>
      </c>
      <c r="BM482" t="s">
        <v>11</v>
      </c>
      <c r="BN482">
        <v>42</v>
      </c>
      <c r="BO482" t="s">
        <v>11</v>
      </c>
      <c r="BP482" t="str">
        <f t="shared" si="80"/>
        <v>NoData</v>
      </c>
      <c r="BQ482" t="str">
        <f t="shared" si="81"/>
        <v>NoData</v>
      </c>
      <c r="BR482">
        <v>90</v>
      </c>
      <c r="BS482" t="s">
        <v>11</v>
      </c>
      <c r="BT482">
        <v>20</v>
      </c>
      <c r="BU482" t="s">
        <v>11</v>
      </c>
    </row>
    <row r="483" spans="1:73" x14ac:dyDescent="0.25">
      <c r="A483" s="5">
        <v>40483</v>
      </c>
      <c r="B483">
        <v>1709</v>
      </c>
      <c r="C483">
        <v>923</v>
      </c>
      <c r="D483">
        <v>8</v>
      </c>
      <c r="E483">
        <v>4</v>
      </c>
      <c r="F483">
        <v>2416</v>
      </c>
      <c r="G483">
        <v>1379</v>
      </c>
      <c r="H483">
        <v>1123</v>
      </c>
      <c r="I483">
        <v>606</v>
      </c>
      <c r="J483">
        <v>547</v>
      </c>
      <c r="K483" t="s">
        <v>11</v>
      </c>
      <c r="L483">
        <v>31550</v>
      </c>
      <c r="M483">
        <v>10841</v>
      </c>
      <c r="N483">
        <v>326</v>
      </c>
      <c r="O483">
        <v>216</v>
      </c>
      <c r="P483">
        <v>96</v>
      </c>
      <c r="Q483" t="s">
        <v>11</v>
      </c>
      <c r="R483">
        <v>25</v>
      </c>
      <c r="S483" t="s">
        <v>11</v>
      </c>
      <c r="T483" s="34">
        <v>44310</v>
      </c>
      <c r="U483" s="34">
        <v>7403</v>
      </c>
      <c r="V483" s="34">
        <v>3008</v>
      </c>
      <c r="W483">
        <v>2466</v>
      </c>
      <c r="X483">
        <v>3652</v>
      </c>
      <c r="Y483">
        <v>2994</v>
      </c>
      <c r="Z483">
        <v>3989</v>
      </c>
      <c r="AA483">
        <v>454</v>
      </c>
      <c r="AB483">
        <v>29492</v>
      </c>
      <c r="AC483">
        <v>15090</v>
      </c>
      <c r="AD483">
        <v>1714</v>
      </c>
      <c r="AE483">
        <v>1548</v>
      </c>
      <c r="AF483">
        <v>4741</v>
      </c>
      <c r="AG483">
        <v>2385</v>
      </c>
      <c r="AH483">
        <f t="shared" si="82"/>
        <v>1714</v>
      </c>
      <c r="AI483">
        <f t="shared" si="83"/>
        <v>1548</v>
      </c>
      <c r="AJ483">
        <v>11171</v>
      </c>
      <c r="AK483">
        <v>8301</v>
      </c>
      <c r="AL483">
        <v>21847</v>
      </c>
      <c r="AM483">
        <v>9249</v>
      </c>
      <c r="AN483" s="22">
        <v>425</v>
      </c>
      <c r="AO483">
        <v>457</v>
      </c>
      <c r="AP483">
        <v>530</v>
      </c>
      <c r="AQ483">
        <v>292</v>
      </c>
      <c r="AR483">
        <v>34</v>
      </c>
      <c r="AS483" t="s">
        <v>11</v>
      </c>
      <c r="AT483">
        <f t="shared" si="76"/>
        <v>530</v>
      </c>
      <c r="AU483">
        <f t="shared" si="77"/>
        <v>292</v>
      </c>
      <c r="AV483">
        <v>0</v>
      </c>
      <c r="AW483">
        <v>0</v>
      </c>
      <c r="AX483">
        <v>4</v>
      </c>
      <c r="AY483">
        <v>2</v>
      </c>
      <c r="AZ483">
        <f t="shared" si="78"/>
        <v>530</v>
      </c>
      <c r="BA483">
        <f t="shared" si="79"/>
        <v>292</v>
      </c>
      <c r="BB483">
        <f t="shared" si="84"/>
        <v>425</v>
      </c>
      <c r="BC483">
        <f t="shared" si="85"/>
        <v>457</v>
      </c>
      <c r="BD483">
        <v>21</v>
      </c>
      <c r="BE483">
        <v>15</v>
      </c>
      <c r="BF483" t="s">
        <v>11</v>
      </c>
      <c r="BG483" t="s">
        <v>11</v>
      </c>
      <c r="BH483">
        <v>18</v>
      </c>
      <c r="BI483" t="s">
        <v>11</v>
      </c>
      <c r="BJ483">
        <v>6</v>
      </c>
      <c r="BK483" t="s">
        <v>11</v>
      </c>
      <c r="BL483">
        <v>41</v>
      </c>
      <c r="BM483" t="s">
        <v>11</v>
      </c>
      <c r="BN483">
        <v>29</v>
      </c>
      <c r="BO483" t="s">
        <v>11</v>
      </c>
      <c r="BP483" t="str">
        <f t="shared" si="80"/>
        <v>NoData</v>
      </c>
      <c r="BQ483" t="str">
        <f t="shared" si="81"/>
        <v>NoData</v>
      </c>
      <c r="BR483">
        <v>64</v>
      </c>
      <c r="BS483" t="s">
        <v>11</v>
      </c>
      <c r="BT483">
        <v>29</v>
      </c>
      <c r="BU483" t="s">
        <v>11</v>
      </c>
    </row>
    <row r="484" spans="1:73" x14ac:dyDescent="0.25">
      <c r="A484" s="5">
        <v>40513</v>
      </c>
      <c r="B484">
        <v>1358</v>
      </c>
      <c r="C484">
        <v>733</v>
      </c>
      <c r="D484">
        <v>8</v>
      </c>
      <c r="E484">
        <v>4</v>
      </c>
      <c r="F484">
        <v>1968</v>
      </c>
      <c r="G484">
        <v>1175</v>
      </c>
      <c r="H484">
        <v>590</v>
      </c>
      <c r="I484">
        <v>319</v>
      </c>
      <c r="J484">
        <v>397</v>
      </c>
      <c r="K484" t="s">
        <v>11</v>
      </c>
      <c r="L484">
        <v>27920</v>
      </c>
      <c r="M484">
        <v>6543</v>
      </c>
      <c r="N484">
        <v>321</v>
      </c>
      <c r="O484">
        <v>211</v>
      </c>
      <c r="P484">
        <v>20</v>
      </c>
      <c r="Q484" t="s">
        <v>11</v>
      </c>
      <c r="R484">
        <v>24</v>
      </c>
      <c r="S484" t="s">
        <v>11</v>
      </c>
      <c r="T484" s="34">
        <v>33530</v>
      </c>
      <c r="U484" s="34">
        <v>-71</v>
      </c>
      <c r="V484" s="34">
        <v>1791</v>
      </c>
      <c r="W484">
        <v>1506</v>
      </c>
      <c r="X484">
        <v>2353</v>
      </c>
      <c r="Y484">
        <v>1945</v>
      </c>
      <c r="Z484">
        <v>3067</v>
      </c>
      <c r="AA484">
        <v>91</v>
      </c>
      <c r="AB484">
        <v>17402</v>
      </c>
      <c r="AC484">
        <v>6239</v>
      </c>
      <c r="AD484">
        <v>1307</v>
      </c>
      <c r="AE484">
        <v>1115</v>
      </c>
      <c r="AF484">
        <v>3149</v>
      </c>
      <c r="AG484">
        <v>1566</v>
      </c>
      <c r="AH484">
        <f t="shared" si="82"/>
        <v>1307</v>
      </c>
      <c r="AI484">
        <f t="shared" si="83"/>
        <v>1115</v>
      </c>
      <c r="AJ484">
        <v>9496</v>
      </c>
      <c r="AK484">
        <v>6698</v>
      </c>
      <c r="AL484">
        <v>16826</v>
      </c>
      <c r="AM484">
        <v>5169</v>
      </c>
      <c r="AN484" s="22">
        <v>340</v>
      </c>
      <c r="AO484">
        <v>406</v>
      </c>
      <c r="AP484">
        <v>215</v>
      </c>
      <c r="AQ484">
        <v>119</v>
      </c>
      <c r="AR484">
        <v>33</v>
      </c>
      <c r="AS484" t="s">
        <v>11</v>
      </c>
      <c r="AT484">
        <f t="shared" si="76"/>
        <v>215</v>
      </c>
      <c r="AU484">
        <f t="shared" si="77"/>
        <v>119</v>
      </c>
      <c r="AV484">
        <v>0</v>
      </c>
      <c r="AW484">
        <v>0</v>
      </c>
      <c r="AX484">
        <v>4</v>
      </c>
      <c r="AY484">
        <v>2</v>
      </c>
      <c r="AZ484">
        <f t="shared" si="78"/>
        <v>215</v>
      </c>
      <c r="BA484">
        <f t="shared" si="79"/>
        <v>119</v>
      </c>
      <c r="BB484">
        <f t="shared" si="84"/>
        <v>340</v>
      </c>
      <c r="BC484">
        <f t="shared" si="85"/>
        <v>406</v>
      </c>
      <c r="BD484">
        <v>12</v>
      </c>
      <c r="BE484">
        <v>9</v>
      </c>
      <c r="BF484" t="s">
        <v>11</v>
      </c>
      <c r="BG484" t="s">
        <v>11</v>
      </c>
      <c r="BH484">
        <v>17</v>
      </c>
      <c r="BI484" t="s">
        <v>11</v>
      </c>
      <c r="BJ484">
        <v>19</v>
      </c>
      <c r="BK484" t="s">
        <v>11</v>
      </c>
      <c r="BL484">
        <v>12</v>
      </c>
      <c r="BM484" t="s">
        <v>11</v>
      </c>
      <c r="BN484">
        <v>29</v>
      </c>
      <c r="BO484" t="s">
        <v>11</v>
      </c>
      <c r="BP484" t="str">
        <f t="shared" si="80"/>
        <v>NoData</v>
      </c>
      <c r="BQ484" t="str">
        <f t="shared" si="81"/>
        <v>NoData</v>
      </c>
      <c r="BR484">
        <v>62</v>
      </c>
      <c r="BS484" t="s">
        <v>11</v>
      </c>
      <c r="BT484">
        <v>14</v>
      </c>
      <c r="BU484" t="s">
        <v>11</v>
      </c>
    </row>
    <row r="485" spans="1:73" x14ac:dyDescent="0.25">
      <c r="A485" s="5">
        <v>40544</v>
      </c>
      <c r="B485">
        <v>1128</v>
      </c>
      <c r="C485">
        <v>609</v>
      </c>
      <c r="D485">
        <v>10</v>
      </c>
      <c r="E485">
        <v>5</v>
      </c>
      <c r="F485">
        <v>1799</v>
      </c>
      <c r="G485">
        <v>1044</v>
      </c>
      <c r="H485">
        <v>437</v>
      </c>
      <c r="I485">
        <v>236</v>
      </c>
      <c r="J485">
        <v>351</v>
      </c>
      <c r="K485" t="s">
        <v>11</v>
      </c>
      <c r="L485">
        <v>23370</v>
      </c>
      <c r="M485">
        <v>7265</v>
      </c>
      <c r="N485">
        <v>201</v>
      </c>
      <c r="O485">
        <v>139</v>
      </c>
      <c r="P485">
        <v>0</v>
      </c>
      <c r="Q485" t="s">
        <v>11</v>
      </c>
      <c r="R485">
        <v>15</v>
      </c>
      <c r="S485" t="s">
        <v>11</v>
      </c>
      <c r="T485" s="34">
        <v>31720</v>
      </c>
      <c r="U485" s="34">
        <v>1483</v>
      </c>
      <c r="V485" s="34">
        <v>2339</v>
      </c>
      <c r="W485" t="s">
        <v>11</v>
      </c>
      <c r="X485">
        <v>2606</v>
      </c>
      <c r="Y485" t="s">
        <v>11</v>
      </c>
      <c r="Z485">
        <v>2717</v>
      </c>
      <c r="AA485">
        <v>301</v>
      </c>
      <c r="AB485">
        <v>20784</v>
      </c>
      <c r="AC485">
        <v>11231</v>
      </c>
      <c r="AD485">
        <v>1187</v>
      </c>
      <c r="AE485">
        <v>545</v>
      </c>
      <c r="AF485">
        <v>4006</v>
      </c>
      <c r="AG485">
        <v>2038</v>
      </c>
      <c r="AH485">
        <f t="shared" si="82"/>
        <v>1187</v>
      </c>
      <c r="AI485">
        <f t="shared" si="83"/>
        <v>545</v>
      </c>
      <c r="AJ485">
        <v>7915</v>
      </c>
      <c r="AK485">
        <v>2876</v>
      </c>
      <c r="AL485">
        <v>21500</v>
      </c>
      <c r="AM485">
        <v>9794</v>
      </c>
      <c r="AN485" s="36">
        <v>106</v>
      </c>
      <c r="AO485">
        <v>153</v>
      </c>
      <c r="AP485">
        <v>450</v>
      </c>
      <c r="AQ485">
        <v>245</v>
      </c>
      <c r="AR485">
        <v>19</v>
      </c>
      <c r="AS485" t="s">
        <v>11</v>
      </c>
      <c r="AT485">
        <f t="shared" si="76"/>
        <v>450</v>
      </c>
      <c r="AU485">
        <f t="shared" si="77"/>
        <v>245</v>
      </c>
      <c r="AV485" t="s">
        <v>11</v>
      </c>
      <c r="AW485" t="s">
        <v>11</v>
      </c>
      <c r="AX485">
        <v>4</v>
      </c>
      <c r="AY485">
        <v>2</v>
      </c>
      <c r="AZ485">
        <f t="shared" si="78"/>
        <v>450</v>
      </c>
      <c r="BA485">
        <f t="shared" si="79"/>
        <v>245</v>
      </c>
      <c r="BB485">
        <f t="shared" si="84"/>
        <v>106</v>
      </c>
      <c r="BC485">
        <f t="shared" si="85"/>
        <v>153</v>
      </c>
      <c r="BD485">
        <v>24</v>
      </c>
      <c r="BE485">
        <v>23</v>
      </c>
      <c r="BF485" t="s">
        <v>11</v>
      </c>
      <c r="BG485" t="s">
        <v>11</v>
      </c>
      <c r="BH485">
        <v>5</v>
      </c>
      <c r="BI485" t="s">
        <v>11</v>
      </c>
      <c r="BJ485">
        <v>4</v>
      </c>
      <c r="BK485" t="s">
        <v>11</v>
      </c>
      <c r="BL485">
        <v>20</v>
      </c>
      <c r="BM485" t="s">
        <v>11</v>
      </c>
      <c r="BN485">
        <v>18</v>
      </c>
      <c r="BO485" t="s">
        <v>11</v>
      </c>
      <c r="BP485" t="str">
        <f t="shared" si="80"/>
        <v>NoData</v>
      </c>
      <c r="BQ485" t="str">
        <f t="shared" si="81"/>
        <v>NoData</v>
      </c>
      <c r="BR485">
        <v>67</v>
      </c>
      <c r="BS485" t="s">
        <v>11</v>
      </c>
      <c r="BT485">
        <v>16</v>
      </c>
      <c r="BU485" t="s">
        <v>11</v>
      </c>
    </row>
    <row r="486" spans="1:73" x14ac:dyDescent="0.25">
      <c r="A486" s="5">
        <v>40575</v>
      </c>
      <c r="B486">
        <v>814</v>
      </c>
      <c r="C486">
        <v>440</v>
      </c>
      <c r="D486">
        <v>11</v>
      </c>
      <c r="E486">
        <v>6</v>
      </c>
      <c r="F486">
        <v>3961</v>
      </c>
      <c r="G486">
        <v>2190</v>
      </c>
      <c r="H486">
        <v>936</v>
      </c>
      <c r="I486">
        <v>505</v>
      </c>
      <c r="J486">
        <v>911</v>
      </c>
      <c r="K486" t="s">
        <v>11</v>
      </c>
      <c r="L486">
        <v>25740</v>
      </c>
      <c r="M486">
        <v>5631</v>
      </c>
      <c r="N486">
        <v>251</v>
      </c>
      <c r="O486">
        <v>167</v>
      </c>
      <c r="P486">
        <v>291</v>
      </c>
      <c r="Q486" t="s">
        <v>11</v>
      </c>
      <c r="R486">
        <v>24</v>
      </c>
      <c r="S486" t="s">
        <v>11</v>
      </c>
      <c r="T486" s="34">
        <v>41540</v>
      </c>
      <c r="U486" s="34">
        <v>10929</v>
      </c>
      <c r="V486" s="34">
        <v>1752</v>
      </c>
      <c r="W486" t="s">
        <v>11</v>
      </c>
      <c r="X486">
        <v>2077</v>
      </c>
      <c r="Y486" t="s">
        <v>11</v>
      </c>
      <c r="Z486">
        <v>2927</v>
      </c>
      <c r="AA486">
        <v>552</v>
      </c>
      <c r="AB486">
        <v>19983</v>
      </c>
      <c r="AC486">
        <v>12214</v>
      </c>
      <c r="AD486">
        <v>1172</v>
      </c>
      <c r="AE486">
        <v>393</v>
      </c>
      <c r="AF486">
        <v>4805</v>
      </c>
      <c r="AG486">
        <v>2441</v>
      </c>
      <c r="AH486">
        <f t="shared" si="82"/>
        <v>1172</v>
      </c>
      <c r="AI486">
        <f t="shared" si="83"/>
        <v>393</v>
      </c>
      <c r="AJ486">
        <v>8646</v>
      </c>
      <c r="AK486">
        <v>2625</v>
      </c>
      <c r="AL486">
        <v>23263</v>
      </c>
      <c r="AM486">
        <v>14724</v>
      </c>
      <c r="AN486" s="36">
        <v>0</v>
      </c>
      <c r="AO486">
        <v>105</v>
      </c>
      <c r="AP486">
        <v>347</v>
      </c>
      <c r="AQ486">
        <v>189</v>
      </c>
      <c r="AR486">
        <v>23</v>
      </c>
      <c r="AS486" t="s">
        <v>11</v>
      </c>
      <c r="AT486">
        <f t="shared" si="76"/>
        <v>347</v>
      </c>
      <c r="AU486">
        <f t="shared" si="77"/>
        <v>189</v>
      </c>
      <c r="AV486" t="s">
        <v>11</v>
      </c>
      <c r="AW486" t="s">
        <v>11</v>
      </c>
      <c r="AX486">
        <v>4</v>
      </c>
      <c r="AY486">
        <v>2</v>
      </c>
      <c r="AZ486">
        <f t="shared" si="78"/>
        <v>347</v>
      </c>
      <c r="BA486">
        <f t="shared" si="79"/>
        <v>189</v>
      </c>
      <c r="BB486">
        <f t="shared" si="84"/>
        <v>0</v>
      </c>
      <c r="BC486">
        <f t="shared" si="85"/>
        <v>105</v>
      </c>
      <c r="BD486">
        <v>23</v>
      </c>
      <c r="BE486">
        <v>22</v>
      </c>
      <c r="BF486" t="s">
        <v>11</v>
      </c>
      <c r="BG486" t="s">
        <v>11</v>
      </c>
      <c r="BH486">
        <v>6</v>
      </c>
      <c r="BI486" t="s">
        <v>11</v>
      </c>
      <c r="BJ486">
        <v>18</v>
      </c>
      <c r="BK486" t="s">
        <v>11</v>
      </c>
      <c r="BL486">
        <v>30</v>
      </c>
      <c r="BM486" t="s">
        <v>11</v>
      </c>
      <c r="BN486">
        <v>22</v>
      </c>
      <c r="BO486" t="s">
        <v>11</v>
      </c>
      <c r="BP486" t="str">
        <f t="shared" si="80"/>
        <v>NoData</v>
      </c>
      <c r="BQ486" t="str">
        <f t="shared" si="81"/>
        <v>NoData</v>
      </c>
      <c r="BR486">
        <v>83</v>
      </c>
      <c r="BS486" t="s">
        <v>11</v>
      </c>
      <c r="BT486">
        <v>20</v>
      </c>
      <c r="BU486" t="s">
        <v>11</v>
      </c>
    </row>
    <row r="487" spans="1:73" x14ac:dyDescent="0.25">
      <c r="A487" s="5">
        <v>40603</v>
      </c>
      <c r="B487">
        <v>1706</v>
      </c>
      <c r="C487">
        <v>921</v>
      </c>
      <c r="D487">
        <v>10</v>
      </c>
      <c r="E487">
        <v>5</v>
      </c>
      <c r="F487">
        <v>5884</v>
      </c>
      <c r="G487">
        <v>3207</v>
      </c>
      <c r="H487">
        <v>2306</v>
      </c>
      <c r="I487">
        <v>1243</v>
      </c>
      <c r="J487">
        <v>1502</v>
      </c>
      <c r="K487" t="s">
        <v>11</v>
      </c>
      <c r="L487">
        <v>48090</v>
      </c>
      <c r="M487">
        <v>24977</v>
      </c>
      <c r="N487">
        <v>344</v>
      </c>
      <c r="O487">
        <v>225</v>
      </c>
      <c r="P487">
        <v>43</v>
      </c>
      <c r="Q487" t="s">
        <v>11</v>
      </c>
      <c r="R487">
        <v>23</v>
      </c>
      <c r="S487" t="s">
        <v>11</v>
      </c>
      <c r="T487" s="34">
        <v>60520</v>
      </c>
      <c r="U487" s="34">
        <v>25417</v>
      </c>
      <c r="V487" s="34">
        <v>5991</v>
      </c>
      <c r="W487" t="s">
        <v>11</v>
      </c>
      <c r="X487">
        <v>5969</v>
      </c>
      <c r="Y487" t="s">
        <v>11</v>
      </c>
      <c r="Z487">
        <v>4260</v>
      </c>
      <c r="AA487">
        <v>1148</v>
      </c>
      <c r="AB487">
        <v>40171</v>
      </c>
      <c r="AC487">
        <v>30263</v>
      </c>
      <c r="AD487">
        <v>1997</v>
      </c>
      <c r="AE487">
        <v>899</v>
      </c>
      <c r="AF487">
        <v>8441</v>
      </c>
      <c r="AG487">
        <v>4549</v>
      </c>
      <c r="AH487">
        <f t="shared" si="82"/>
        <v>1997</v>
      </c>
      <c r="AI487">
        <f t="shared" si="83"/>
        <v>899</v>
      </c>
      <c r="AJ487">
        <v>14481</v>
      </c>
      <c r="AK487">
        <v>2608</v>
      </c>
      <c r="AL487">
        <v>37782</v>
      </c>
      <c r="AM487">
        <v>24899</v>
      </c>
      <c r="AN487" s="36">
        <v>639</v>
      </c>
      <c r="AO487">
        <v>556</v>
      </c>
      <c r="AP487">
        <v>978</v>
      </c>
      <c r="AQ487">
        <v>548</v>
      </c>
      <c r="AR487">
        <v>32</v>
      </c>
      <c r="AS487" t="s">
        <v>11</v>
      </c>
      <c r="AT487">
        <f t="shared" si="76"/>
        <v>978</v>
      </c>
      <c r="AU487">
        <f t="shared" si="77"/>
        <v>548</v>
      </c>
      <c r="AV487" t="s">
        <v>11</v>
      </c>
      <c r="AW487" t="s">
        <v>11</v>
      </c>
      <c r="AX487">
        <v>4</v>
      </c>
      <c r="AY487">
        <v>2</v>
      </c>
      <c r="AZ487">
        <f t="shared" si="78"/>
        <v>978</v>
      </c>
      <c r="BA487">
        <f t="shared" si="79"/>
        <v>548</v>
      </c>
      <c r="BB487">
        <f t="shared" si="84"/>
        <v>639</v>
      </c>
      <c r="BC487">
        <f t="shared" si="85"/>
        <v>556</v>
      </c>
      <c r="BD487">
        <v>55</v>
      </c>
      <c r="BE487">
        <v>46</v>
      </c>
      <c r="BF487" t="s">
        <v>11</v>
      </c>
      <c r="BG487" t="s">
        <v>11</v>
      </c>
      <c r="BH487">
        <v>9</v>
      </c>
      <c r="BI487" t="s">
        <v>11</v>
      </c>
      <c r="BJ487">
        <v>32</v>
      </c>
      <c r="BK487" t="s">
        <v>11</v>
      </c>
      <c r="BL487">
        <v>55</v>
      </c>
      <c r="BM487" t="s">
        <v>11</v>
      </c>
      <c r="BN487">
        <v>30</v>
      </c>
      <c r="BO487" t="s">
        <v>11</v>
      </c>
      <c r="BP487" t="str">
        <f t="shared" si="80"/>
        <v>NoData</v>
      </c>
      <c r="BQ487" t="str">
        <f t="shared" si="81"/>
        <v>NoData</v>
      </c>
      <c r="BR487">
        <v>114</v>
      </c>
      <c r="BS487" t="s">
        <v>11</v>
      </c>
      <c r="BT487">
        <v>30</v>
      </c>
      <c r="BU487" t="s">
        <v>11</v>
      </c>
    </row>
    <row r="488" spans="1:73" x14ac:dyDescent="0.25">
      <c r="A488" s="5">
        <v>40634</v>
      </c>
      <c r="B488">
        <v>2183</v>
      </c>
      <c r="C488">
        <v>1179</v>
      </c>
      <c r="D488">
        <v>10</v>
      </c>
      <c r="E488">
        <v>5</v>
      </c>
      <c r="F488">
        <v>5243</v>
      </c>
      <c r="G488">
        <v>2873</v>
      </c>
      <c r="H488">
        <v>1588</v>
      </c>
      <c r="I488">
        <v>857</v>
      </c>
      <c r="J488">
        <v>977</v>
      </c>
      <c r="K488" t="s">
        <v>11</v>
      </c>
      <c r="L488">
        <v>67890</v>
      </c>
      <c r="M488">
        <v>40918</v>
      </c>
      <c r="N488">
        <v>371</v>
      </c>
      <c r="O488">
        <v>246</v>
      </c>
      <c r="P488">
        <v>115</v>
      </c>
      <c r="Q488" t="s">
        <v>11</v>
      </c>
      <c r="R488">
        <v>15</v>
      </c>
      <c r="S488" t="s">
        <v>11</v>
      </c>
      <c r="T488" s="34">
        <v>73620</v>
      </c>
      <c r="U488" s="34">
        <v>34965</v>
      </c>
      <c r="V488" s="34">
        <v>6536</v>
      </c>
      <c r="W488" t="s">
        <v>11</v>
      </c>
      <c r="X488">
        <v>6510</v>
      </c>
      <c r="Y488" t="s">
        <v>11</v>
      </c>
      <c r="Z488">
        <v>4241</v>
      </c>
      <c r="AA488">
        <v>1265</v>
      </c>
      <c r="AB488">
        <v>43959</v>
      </c>
      <c r="AC488">
        <v>33204</v>
      </c>
      <c r="AD488">
        <v>2470</v>
      </c>
      <c r="AE488">
        <v>1544</v>
      </c>
      <c r="AF488">
        <v>9469</v>
      </c>
      <c r="AG488">
        <v>5021</v>
      </c>
      <c r="AH488">
        <f t="shared" si="82"/>
        <v>2470</v>
      </c>
      <c r="AI488">
        <f t="shared" si="83"/>
        <v>1544</v>
      </c>
      <c r="AJ488">
        <v>16816</v>
      </c>
      <c r="AK488">
        <v>8613</v>
      </c>
      <c r="AL488">
        <v>43519</v>
      </c>
      <c r="AM488">
        <v>31344</v>
      </c>
      <c r="AN488" s="36">
        <v>777</v>
      </c>
      <c r="AO488">
        <v>659</v>
      </c>
      <c r="AP488">
        <v>1111</v>
      </c>
      <c r="AQ488">
        <v>619</v>
      </c>
      <c r="AR488">
        <v>35</v>
      </c>
      <c r="AS488" t="s">
        <v>11</v>
      </c>
      <c r="AT488">
        <f t="shared" si="76"/>
        <v>1111</v>
      </c>
      <c r="AU488">
        <f t="shared" si="77"/>
        <v>619</v>
      </c>
      <c r="AV488" t="s">
        <v>11</v>
      </c>
      <c r="AW488" t="s">
        <v>11</v>
      </c>
      <c r="AX488">
        <v>4</v>
      </c>
      <c r="AY488">
        <v>2</v>
      </c>
      <c r="AZ488">
        <f t="shared" si="78"/>
        <v>1111</v>
      </c>
      <c r="BA488">
        <f t="shared" si="79"/>
        <v>619</v>
      </c>
      <c r="BB488">
        <f t="shared" si="84"/>
        <v>777</v>
      </c>
      <c r="BC488">
        <f t="shared" si="85"/>
        <v>659</v>
      </c>
      <c r="BD488">
        <v>99</v>
      </c>
      <c r="BE488">
        <v>76</v>
      </c>
      <c r="BF488" t="s">
        <v>11</v>
      </c>
      <c r="BG488" t="s">
        <v>11</v>
      </c>
      <c r="BH488">
        <v>9</v>
      </c>
      <c r="BI488" t="s">
        <v>11</v>
      </c>
      <c r="BJ488">
        <v>33</v>
      </c>
      <c r="BK488" t="s">
        <v>11</v>
      </c>
      <c r="BL488">
        <v>97</v>
      </c>
      <c r="BM488" t="s">
        <v>11</v>
      </c>
      <c r="BN488">
        <v>32</v>
      </c>
      <c r="BO488" t="s">
        <v>11</v>
      </c>
      <c r="BP488" t="str">
        <f t="shared" si="80"/>
        <v>NoData</v>
      </c>
      <c r="BQ488" t="str">
        <f t="shared" si="81"/>
        <v>NoData</v>
      </c>
      <c r="BR488">
        <v>123</v>
      </c>
      <c r="BS488" t="s">
        <v>11</v>
      </c>
      <c r="BT488">
        <v>26</v>
      </c>
      <c r="BU488" t="s">
        <v>11</v>
      </c>
    </row>
    <row r="489" spans="1:73" x14ac:dyDescent="0.25">
      <c r="A489" s="5">
        <v>40664</v>
      </c>
      <c r="B489">
        <v>2262</v>
      </c>
      <c r="C489">
        <v>1221</v>
      </c>
      <c r="D489">
        <v>12</v>
      </c>
      <c r="E489">
        <v>6</v>
      </c>
      <c r="F489">
        <v>8731</v>
      </c>
      <c r="G489">
        <v>4750</v>
      </c>
      <c r="H489">
        <v>1975</v>
      </c>
      <c r="I489">
        <v>1067</v>
      </c>
      <c r="J489">
        <v>1008</v>
      </c>
      <c r="K489" t="s">
        <v>11</v>
      </c>
      <c r="L489">
        <v>68730</v>
      </c>
      <c r="M489">
        <v>42714</v>
      </c>
      <c r="N489">
        <v>453</v>
      </c>
      <c r="O489">
        <v>299</v>
      </c>
      <c r="P489">
        <v>772</v>
      </c>
      <c r="Q489" t="s">
        <v>11</v>
      </c>
      <c r="R489">
        <v>25</v>
      </c>
      <c r="S489" t="s">
        <v>11</v>
      </c>
      <c r="T489" s="34">
        <v>87720</v>
      </c>
      <c r="U489" s="34">
        <v>40760</v>
      </c>
      <c r="V489" s="34">
        <v>5432</v>
      </c>
      <c r="W489" t="s">
        <v>11</v>
      </c>
      <c r="X489">
        <v>6154</v>
      </c>
      <c r="Y489" t="s">
        <v>11</v>
      </c>
      <c r="Z489">
        <v>5120</v>
      </c>
      <c r="AA489">
        <v>1601</v>
      </c>
      <c r="AB489">
        <v>40407</v>
      </c>
      <c r="AC489">
        <v>29033</v>
      </c>
      <c r="AD489">
        <v>3220</v>
      </c>
      <c r="AE489">
        <v>2319</v>
      </c>
      <c r="AF489">
        <v>8712</v>
      </c>
      <c r="AG489">
        <v>4663</v>
      </c>
      <c r="AH489">
        <f t="shared" si="82"/>
        <v>3220</v>
      </c>
      <c r="AI489">
        <f t="shared" si="83"/>
        <v>2319</v>
      </c>
      <c r="AJ489">
        <v>20292</v>
      </c>
      <c r="AK489">
        <v>11761</v>
      </c>
      <c r="AL489">
        <v>40694</v>
      </c>
      <c r="AM489">
        <v>28709</v>
      </c>
      <c r="AN489" s="36">
        <v>945</v>
      </c>
      <c r="AO489">
        <v>794</v>
      </c>
      <c r="AP489">
        <v>1012</v>
      </c>
      <c r="AQ489">
        <v>568</v>
      </c>
      <c r="AR489">
        <v>42</v>
      </c>
      <c r="AS489" t="s">
        <v>11</v>
      </c>
      <c r="AT489">
        <f t="shared" si="76"/>
        <v>1012</v>
      </c>
      <c r="AU489">
        <f t="shared" si="77"/>
        <v>568</v>
      </c>
      <c r="AV489" t="s">
        <v>11</v>
      </c>
      <c r="AW489" t="s">
        <v>11</v>
      </c>
      <c r="AX489">
        <v>4</v>
      </c>
      <c r="AY489">
        <v>2</v>
      </c>
      <c r="AZ489">
        <f t="shared" si="78"/>
        <v>1012</v>
      </c>
      <c r="BA489">
        <f t="shared" si="79"/>
        <v>568</v>
      </c>
      <c r="BB489">
        <f t="shared" si="84"/>
        <v>945</v>
      </c>
      <c r="BC489">
        <f t="shared" si="85"/>
        <v>794</v>
      </c>
      <c r="BD489">
        <v>135</v>
      </c>
      <c r="BE489">
        <v>101</v>
      </c>
      <c r="BF489" t="s">
        <v>11</v>
      </c>
      <c r="BG489" t="s">
        <v>11</v>
      </c>
      <c r="BH489">
        <v>11</v>
      </c>
      <c r="BI489" t="s">
        <v>11</v>
      </c>
      <c r="BJ489">
        <v>94</v>
      </c>
      <c r="BK489" t="s">
        <v>11</v>
      </c>
      <c r="BL489">
        <v>143</v>
      </c>
      <c r="BM489" t="s">
        <v>11</v>
      </c>
      <c r="BN489">
        <v>40</v>
      </c>
      <c r="BO489" t="s">
        <v>11</v>
      </c>
      <c r="BP489" t="str">
        <f t="shared" si="80"/>
        <v>NoData</v>
      </c>
      <c r="BQ489" t="str">
        <f t="shared" si="81"/>
        <v>NoData</v>
      </c>
      <c r="BR489">
        <v>150</v>
      </c>
      <c r="BS489" t="s">
        <v>11</v>
      </c>
      <c r="BT489">
        <v>8</v>
      </c>
      <c r="BU489" t="s">
        <v>11</v>
      </c>
    </row>
    <row r="490" spans="1:73" x14ac:dyDescent="0.25">
      <c r="A490" s="5">
        <v>40695</v>
      </c>
      <c r="B490">
        <v>4297</v>
      </c>
      <c r="C490">
        <v>2320</v>
      </c>
      <c r="D490">
        <v>17</v>
      </c>
      <c r="E490">
        <v>9</v>
      </c>
      <c r="F490">
        <v>10783</v>
      </c>
      <c r="G490">
        <v>5888</v>
      </c>
      <c r="H490">
        <v>1636</v>
      </c>
      <c r="I490">
        <v>884</v>
      </c>
      <c r="J490">
        <v>1393</v>
      </c>
      <c r="K490" t="s">
        <v>11</v>
      </c>
      <c r="L490">
        <v>77570</v>
      </c>
      <c r="M490">
        <v>53705</v>
      </c>
      <c r="N490">
        <v>550</v>
      </c>
      <c r="O490">
        <v>364</v>
      </c>
      <c r="P490">
        <v>941</v>
      </c>
      <c r="Q490" t="s">
        <v>11</v>
      </c>
      <c r="R490">
        <v>42</v>
      </c>
      <c r="S490" t="s">
        <v>11</v>
      </c>
      <c r="T490" s="34">
        <v>95740</v>
      </c>
      <c r="U490" s="34">
        <v>47861</v>
      </c>
      <c r="V490" s="34">
        <v>1635</v>
      </c>
      <c r="W490" t="s">
        <v>11</v>
      </c>
      <c r="X490">
        <v>3579</v>
      </c>
      <c r="Y490" t="s">
        <v>11</v>
      </c>
      <c r="Z490">
        <v>4619</v>
      </c>
      <c r="AA490">
        <v>1414</v>
      </c>
      <c r="AB490">
        <v>26312</v>
      </c>
      <c r="AC490">
        <v>18111</v>
      </c>
      <c r="AD490">
        <v>3372</v>
      </c>
      <c r="AE490">
        <v>2022</v>
      </c>
      <c r="AF490">
        <v>6047</v>
      </c>
      <c r="AG490">
        <v>3188</v>
      </c>
      <c r="AH490">
        <f t="shared" si="82"/>
        <v>3372</v>
      </c>
      <c r="AI490">
        <f t="shared" si="83"/>
        <v>2022</v>
      </c>
      <c r="AJ490">
        <v>23300</v>
      </c>
      <c r="AK490">
        <v>11527</v>
      </c>
      <c r="AL490">
        <v>46952</v>
      </c>
      <c r="AM490">
        <v>34507</v>
      </c>
      <c r="AN490" s="36">
        <v>1172</v>
      </c>
      <c r="AO490">
        <v>983</v>
      </c>
      <c r="AP490">
        <v>617</v>
      </c>
      <c r="AQ490">
        <v>344</v>
      </c>
      <c r="AR490">
        <v>51</v>
      </c>
      <c r="AS490" t="s">
        <v>11</v>
      </c>
      <c r="AT490">
        <f t="shared" si="76"/>
        <v>617</v>
      </c>
      <c r="AU490">
        <f t="shared" si="77"/>
        <v>344</v>
      </c>
      <c r="AV490" t="s">
        <v>11</v>
      </c>
      <c r="AW490" t="s">
        <v>11</v>
      </c>
      <c r="AX490">
        <v>4</v>
      </c>
      <c r="AY490">
        <v>2</v>
      </c>
      <c r="AZ490">
        <f t="shared" si="78"/>
        <v>617</v>
      </c>
      <c r="BA490">
        <f t="shared" si="79"/>
        <v>344</v>
      </c>
      <c r="BB490">
        <f t="shared" si="84"/>
        <v>1172</v>
      </c>
      <c r="BC490">
        <f t="shared" si="85"/>
        <v>983</v>
      </c>
      <c r="BD490">
        <v>149</v>
      </c>
      <c r="BE490">
        <v>112</v>
      </c>
      <c r="BF490" t="s">
        <v>11</v>
      </c>
      <c r="BG490" t="s">
        <v>11</v>
      </c>
      <c r="BH490">
        <v>14</v>
      </c>
      <c r="BI490" t="s">
        <v>11</v>
      </c>
      <c r="BJ490">
        <v>42</v>
      </c>
      <c r="BK490" t="s">
        <v>11</v>
      </c>
      <c r="BL490">
        <v>182</v>
      </c>
      <c r="BM490" t="s">
        <v>11</v>
      </c>
      <c r="BN490">
        <v>48</v>
      </c>
      <c r="BO490" t="s">
        <v>11</v>
      </c>
      <c r="BP490" t="str">
        <f t="shared" si="80"/>
        <v>NoData</v>
      </c>
      <c r="BQ490" t="str">
        <f t="shared" si="81"/>
        <v>NoData</v>
      </c>
      <c r="BR490">
        <v>182</v>
      </c>
      <c r="BS490" t="s">
        <v>11</v>
      </c>
      <c r="BT490">
        <v>26</v>
      </c>
      <c r="BU490" t="s">
        <v>11</v>
      </c>
    </row>
    <row r="491" spans="1:73" x14ac:dyDescent="0.25">
      <c r="A491" s="5">
        <v>40725</v>
      </c>
      <c r="B491">
        <v>3503</v>
      </c>
      <c r="C491">
        <v>1892</v>
      </c>
      <c r="D491">
        <v>17</v>
      </c>
      <c r="E491">
        <v>9</v>
      </c>
      <c r="F491">
        <v>11716</v>
      </c>
      <c r="G491">
        <v>6454</v>
      </c>
      <c r="H491">
        <v>1278</v>
      </c>
      <c r="I491">
        <v>691</v>
      </c>
      <c r="J491">
        <v>772</v>
      </c>
      <c r="K491" t="s">
        <v>11</v>
      </c>
      <c r="L491">
        <v>83620</v>
      </c>
      <c r="M491">
        <v>56028</v>
      </c>
      <c r="N491">
        <v>600</v>
      </c>
      <c r="O491">
        <v>395</v>
      </c>
      <c r="P491">
        <v>1043</v>
      </c>
      <c r="Q491" t="s">
        <v>11</v>
      </c>
      <c r="R491">
        <v>38</v>
      </c>
      <c r="S491" t="s">
        <v>11</v>
      </c>
      <c r="T491" s="34">
        <v>93440</v>
      </c>
      <c r="U491" s="34">
        <v>46990</v>
      </c>
      <c r="V491" s="34">
        <v>3909</v>
      </c>
      <c r="W491" t="s">
        <v>11</v>
      </c>
      <c r="X491">
        <v>3426</v>
      </c>
      <c r="Y491" t="s">
        <v>11</v>
      </c>
      <c r="Z491">
        <v>5245</v>
      </c>
      <c r="AA491">
        <v>1608</v>
      </c>
      <c r="AB491">
        <v>46213</v>
      </c>
      <c r="AC491">
        <v>36785</v>
      </c>
      <c r="AD491">
        <v>3126</v>
      </c>
      <c r="AE491">
        <v>1602</v>
      </c>
      <c r="AF491">
        <v>7102</v>
      </c>
      <c r="AG491">
        <v>3789</v>
      </c>
      <c r="AH491">
        <f t="shared" si="82"/>
        <v>3126</v>
      </c>
      <c r="AI491">
        <f t="shared" si="83"/>
        <v>1602</v>
      </c>
      <c r="AJ491">
        <v>23443</v>
      </c>
      <c r="AK491">
        <v>10534</v>
      </c>
      <c r="AL491">
        <v>42439</v>
      </c>
      <c r="AM491">
        <v>30209</v>
      </c>
      <c r="AN491" s="36">
        <v>1143</v>
      </c>
      <c r="AO491">
        <v>984</v>
      </c>
      <c r="AP491">
        <v>497</v>
      </c>
      <c r="AQ491">
        <v>278</v>
      </c>
      <c r="AR491">
        <v>56</v>
      </c>
      <c r="AS491" t="s">
        <v>11</v>
      </c>
      <c r="AT491">
        <f t="shared" si="76"/>
        <v>497</v>
      </c>
      <c r="AU491">
        <f t="shared" si="77"/>
        <v>278</v>
      </c>
      <c r="AV491" t="s">
        <v>11</v>
      </c>
      <c r="AW491" t="s">
        <v>11</v>
      </c>
      <c r="AX491">
        <v>4</v>
      </c>
      <c r="AY491">
        <v>2</v>
      </c>
      <c r="AZ491">
        <f t="shared" si="78"/>
        <v>497</v>
      </c>
      <c r="BA491">
        <f t="shared" si="79"/>
        <v>278</v>
      </c>
      <c r="BB491">
        <f t="shared" si="84"/>
        <v>1143</v>
      </c>
      <c r="BC491">
        <f t="shared" si="85"/>
        <v>984</v>
      </c>
      <c r="BD491">
        <v>152</v>
      </c>
      <c r="BE491">
        <v>116</v>
      </c>
      <c r="BF491" t="s">
        <v>11</v>
      </c>
      <c r="BG491" t="s">
        <v>11</v>
      </c>
      <c r="BH491">
        <v>15</v>
      </c>
      <c r="BI491" t="s">
        <v>11</v>
      </c>
      <c r="BJ491">
        <v>75</v>
      </c>
      <c r="BK491" t="s">
        <v>11</v>
      </c>
      <c r="BL491">
        <v>131</v>
      </c>
      <c r="BM491" t="s">
        <v>11</v>
      </c>
      <c r="BN491">
        <v>52</v>
      </c>
      <c r="BO491" t="s">
        <v>11</v>
      </c>
      <c r="BP491" t="str">
        <f t="shared" si="80"/>
        <v>NoData</v>
      </c>
      <c r="BQ491" t="str">
        <f t="shared" si="81"/>
        <v>NoData</v>
      </c>
      <c r="BR491">
        <v>199</v>
      </c>
      <c r="BS491" t="s">
        <v>11</v>
      </c>
      <c r="BT491">
        <v>13</v>
      </c>
      <c r="BU491" t="s">
        <v>11</v>
      </c>
    </row>
    <row r="492" spans="1:73" x14ac:dyDescent="0.25">
      <c r="A492" s="5">
        <v>40756</v>
      </c>
      <c r="B492">
        <v>3358</v>
      </c>
      <c r="C492">
        <v>1813</v>
      </c>
      <c r="D492">
        <v>20</v>
      </c>
      <c r="E492">
        <v>11</v>
      </c>
      <c r="F492">
        <v>10043</v>
      </c>
      <c r="G492">
        <v>5579</v>
      </c>
      <c r="H492">
        <v>1972</v>
      </c>
      <c r="I492">
        <v>1065</v>
      </c>
      <c r="J492">
        <v>1113</v>
      </c>
      <c r="K492" t="s">
        <v>11</v>
      </c>
      <c r="L492">
        <v>86800</v>
      </c>
      <c r="M492">
        <v>56475</v>
      </c>
      <c r="N492">
        <v>577</v>
      </c>
      <c r="O492">
        <v>381</v>
      </c>
      <c r="P492">
        <v>867</v>
      </c>
      <c r="Q492" t="s">
        <v>11</v>
      </c>
      <c r="R492">
        <v>28</v>
      </c>
      <c r="S492" t="s">
        <v>11</v>
      </c>
      <c r="T492" s="34">
        <v>105100</v>
      </c>
      <c r="U492" s="34">
        <v>56493</v>
      </c>
      <c r="V492" s="34">
        <v>5123</v>
      </c>
      <c r="W492" t="s">
        <v>11</v>
      </c>
      <c r="X492">
        <v>4928</v>
      </c>
      <c r="Y492" t="s">
        <v>11</v>
      </c>
      <c r="Z492">
        <v>3093</v>
      </c>
      <c r="AA492">
        <v>594</v>
      </c>
      <c r="AB492">
        <v>22492</v>
      </c>
      <c r="AC492">
        <v>14849</v>
      </c>
      <c r="AD492">
        <v>3636</v>
      </c>
      <c r="AE492">
        <v>2242</v>
      </c>
      <c r="AF492">
        <v>6832</v>
      </c>
      <c r="AG492">
        <v>3483</v>
      </c>
      <c r="AH492">
        <f t="shared" si="82"/>
        <v>3636</v>
      </c>
      <c r="AI492">
        <f t="shared" si="83"/>
        <v>2242</v>
      </c>
      <c r="AJ492">
        <v>25133</v>
      </c>
      <c r="AK492">
        <v>12855</v>
      </c>
      <c r="AL492">
        <v>40964</v>
      </c>
      <c r="AM492">
        <v>29059</v>
      </c>
      <c r="AN492" s="36">
        <v>1115</v>
      </c>
      <c r="AO492">
        <v>937</v>
      </c>
      <c r="AP492">
        <v>774</v>
      </c>
      <c r="AQ492">
        <v>440</v>
      </c>
      <c r="AR492">
        <v>54</v>
      </c>
      <c r="AS492" t="s">
        <v>11</v>
      </c>
      <c r="AT492">
        <f t="shared" si="76"/>
        <v>774</v>
      </c>
      <c r="AU492">
        <f t="shared" si="77"/>
        <v>440</v>
      </c>
      <c r="AV492" t="s">
        <v>11</v>
      </c>
      <c r="AW492" t="s">
        <v>11</v>
      </c>
      <c r="AX492">
        <v>4</v>
      </c>
      <c r="AY492">
        <v>2</v>
      </c>
      <c r="AZ492">
        <f t="shared" si="78"/>
        <v>774</v>
      </c>
      <c r="BA492">
        <f t="shared" si="79"/>
        <v>440</v>
      </c>
      <c r="BB492">
        <f t="shared" si="84"/>
        <v>1115</v>
      </c>
      <c r="BC492">
        <f t="shared" si="85"/>
        <v>937</v>
      </c>
      <c r="BD492">
        <v>140</v>
      </c>
      <c r="BE492">
        <v>105</v>
      </c>
      <c r="BF492" t="s">
        <v>11</v>
      </c>
      <c r="BG492" t="s">
        <v>11</v>
      </c>
      <c r="BH492">
        <v>14</v>
      </c>
      <c r="BI492" t="s">
        <v>11</v>
      </c>
      <c r="BJ492">
        <v>80</v>
      </c>
      <c r="BK492" t="s">
        <v>11</v>
      </c>
      <c r="BL492">
        <v>84</v>
      </c>
      <c r="BM492" t="s">
        <v>11</v>
      </c>
      <c r="BN492">
        <v>50</v>
      </c>
      <c r="BO492" t="s">
        <v>11</v>
      </c>
      <c r="BP492" t="str">
        <f t="shared" si="80"/>
        <v>NoData</v>
      </c>
      <c r="BQ492" t="str">
        <f t="shared" si="81"/>
        <v>NoData</v>
      </c>
      <c r="BR492">
        <v>191</v>
      </c>
      <c r="BS492" t="s">
        <v>11</v>
      </c>
      <c r="BT492">
        <v>20</v>
      </c>
      <c r="BU492" t="s">
        <v>11</v>
      </c>
    </row>
    <row r="493" spans="1:73" x14ac:dyDescent="0.25">
      <c r="A493" s="5">
        <v>40787</v>
      </c>
      <c r="B493">
        <v>3363</v>
      </c>
      <c r="C493">
        <v>1816</v>
      </c>
      <c r="D493">
        <v>21</v>
      </c>
      <c r="E493">
        <v>11</v>
      </c>
      <c r="F493">
        <v>3834</v>
      </c>
      <c r="G493">
        <v>2189</v>
      </c>
      <c r="H493">
        <v>580</v>
      </c>
      <c r="I493">
        <v>315</v>
      </c>
      <c r="J493">
        <v>1021</v>
      </c>
      <c r="K493" t="s">
        <v>11</v>
      </c>
      <c r="L493">
        <v>61110</v>
      </c>
      <c r="M493">
        <v>32363</v>
      </c>
      <c r="N493">
        <v>454</v>
      </c>
      <c r="O493">
        <v>302</v>
      </c>
      <c r="P493">
        <v>809</v>
      </c>
      <c r="Q493" t="s">
        <v>11</v>
      </c>
      <c r="R493">
        <v>18</v>
      </c>
      <c r="S493" t="s">
        <v>11</v>
      </c>
      <c r="T493" s="34">
        <v>87610</v>
      </c>
      <c r="U493" s="34">
        <v>40693</v>
      </c>
      <c r="V493" s="34">
        <v>1595</v>
      </c>
      <c r="W493" t="s">
        <v>11</v>
      </c>
      <c r="X493">
        <v>4512</v>
      </c>
      <c r="Y493" t="s">
        <v>11</v>
      </c>
      <c r="Z493">
        <v>3462</v>
      </c>
      <c r="AA493">
        <v>549</v>
      </c>
      <c r="AB493">
        <v>25767</v>
      </c>
      <c r="AC493">
        <v>14978</v>
      </c>
      <c r="AD493">
        <v>2657</v>
      </c>
      <c r="AE493">
        <v>1949</v>
      </c>
      <c r="AF493">
        <v>5347</v>
      </c>
      <c r="AG493">
        <v>2943</v>
      </c>
      <c r="AH493">
        <f t="shared" si="82"/>
        <v>2657</v>
      </c>
      <c r="AI493">
        <f t="shared" si="83"/>
        <v>1949</v>
      </c>
      <c r="AJ493">
        <v>18039</v>
      </c>
      <c r="AK493">
        <v>10955</v>
      </c>
      <c r="AL493">
        <v>34107</v>
      </c>
      <c r="AM493">
        <v>23162</v>
      </c>
      <c r="AN493" s="36">
        <v>1145</v>
      </c>
      <c r="AO493">
        <v>906</v>
      </c>
      <c r="AP493">
        <v>436</v>
      </c>
      <c r="AQ493">
        <v>252</v>
      </c>
      <c r="AR493">
        <v>42</v>
      </c>
      <c r="AS493" t="s">
        <v>11</v>
      </c>
      <c r="AT493">
        <f t="shared" si="76"/>
        <v>436</v>
      </c>
      <c r="AU493">
        <f t="shared" si="77"/>
        <v>252</v>
      </c>
      <c r="AV493" t="s">
        <v>11</v>
      </c>
      <c r="AW493" t="s">
        <v>11</v>
      </c>
      <c r="AX493">
        <v>4</v>
      </c>
      <c r="AY493">
        <v>2</v>
      </c>
      <c r="AZ493">
        <f t="shared" si="78"/>
        <v>436</v>
      </c>
      <c r="BA493">
        <f t="shared" si="79"/>
        <v>252</v>
      </c>
      <c r="BB493">
        <f t="shared" si="84"/>
        <v>1145</v>
      </c>
      <c r="BC493">
        <f t="shared" si="85"/>
        <v>906</v>
      </c>
      <c r="BD493">
        <v>90</v>
      </c>
      <c r="BE493">
        <v>70</v>
      </c>
      <c r="BF493" t="s">
        <v>11</v>
      </c>
      <c r="BG493" t="s">
        <v>11</v>
      </c>
      <c r="BH493">
        <v>11</v>
      </c>
      <c r="BI493" t="s">
        <v>11</v>
      </c>
      <c r="BJ493">
        <v>24</v>
      </c>
      <c r="BK493" t="s">
        <v>11</v>
      </c>
      <c r="BL493">
        <v>59</v>
      </c>
      <c r="BM493" t="s">
        <v>11</v>
      </c>
      <c r="BN493">
        <v>40</v>
      </c>
      <c r="BO493" t="s">
        <v>11</v>
      </c>
      <c r="BP493" t="str">
        <f t="shared" si="80"/>
        <v>NoData</v>
      </c>
      <c r="BQ493" t="str">
        <f t="shared" si="81"/>
        <v>NoData</v>
      </c>
      <c r="BR493">
        <v>150</v>
      </c>
      <c r="BS493" t="s">
        <v>11</v>
      </c>
      <c r="BT493">
        <v>45</v>
      </c>
      <c r="BU493" t="s">
        <v>11</v>
      </c>
    </row>
    <row r="494" spans="1:73" x14ac:dyDescent="0.25">
      <c r="A494" s="5">
        <v>40817</v>
      </c>
      <c r="B494">
        <v>3259</v>
      </c>
      <c r="C494">
        <v>1760</v>
      </c>
      <c r="D494">
        <v>18</v>
      </c>
      <c r="E494">
        <v>10</v>
      </c>
      <c r="F494">
        <v>2683</v>
      </c>
      <c r="G494">
        <v>1538</v>
      </c>
      <c r="H494">
        <v>487</v>
      </c>
      <c r="I494">
        <v>265</v>
      </c>
      <c r="J494">
        <v>640</v>
      </c>
      <c r="K494" t="s">
        <v>11</v>
      </c>
      <c r="L494">
        <v>47640</v>
      </c>
      <c r="M494">
        <v>17757</v>
      </c>
      <c r="N494">
        <v>380</v>
      </c>
      <c r="O494">
        <v>257</v>
      </c>
      <c r="P494">
        <v>18</v>
      </c>
      <c r="Q494" t="s">
        <v>11</v>
      </c>
      <c r="R494">
        <v>15</v>
      </c>
      <c r="S494" t="s">
        <v>11</v>
      </c>
      <c r="T494" s="34">
        <v>60120</v>
      </c>
      <c r="U494" s="34">
        <v>16325</v>
      </c>
      <c r="V494" s="34">
        <v>4416</v>
      </c>
      <c r="W494" t="s">
        <v>11</v>
      </c>
      <c r="X494">
        <v>4878</v>
      </c>
      <c r="Y494" t="s">
        <v>11</v>
      </c>
      <c r="Z494">
        <v>4794</v>
      </c>
      <c r="AA494">
        <v>1092</v>
      </c>
      <c r="AB494">
        <v>39379</v>
      </c>
      <c r="AC494">
        <v>25420</v>
      </c>
      <c r="AD494">
        <v>2680</v>
      </c>
      <c r="AE494">
        <v>2293</v>
      </c>
      <c r="AF494">
        <v>6005</v>
      </c>
      <c r="AG494">
        <v>3237</v>
      </c>
      <c r="AH494">
        <f t="shared" si="82"/>
        <v>2680</v>
      </c>
      <c r="AI494">
        <f t="shared" si="83"/>
        <v>2293</v>
      </c>
      <c r="AJ494">
        <v>13466</v>
      </c>
      <c r="AK494">
        <v>9238</v>
      </c>
      <c r="AL494">
        <v>32406</v>
      </c>
      <c r="AM494">
        <v>20567</v>
      </c>
      <c r="AN494" s="36">
        <v>1058</v>
      </c>
      <c r="AO494">
        <v>822</v>
      </c>
      <c r="AP494">
        <v>738</v>
      </c>
      <c r="AQ494">
        <v>424</v>
      </c>
      <c r="AR494">
        <v>35</v>
      </c>
      <c r="AS494" t="s">
        <v>11</v>
      </c>
      <c r="AT494">
        <f t="shared" ref="AT494:AT557" si="86">AP494</f>
        <v>738</v>
      </c>
      <c r="AU494">
        <f t="shared" ref="AU494:AU557" si="87">AQ494</f>
        <v>424</v>
      </c>
      <c r="AV494" t="s">
        <v>11</v>
      </c>
      <c r="AW494" t="s">
        <v>11</v>
      </c>
      <c r="AX494">
        <v>4</v>
      </c>
      <c r="AY494">
        <v>2</v>
      </c>
      <c r="AZ494">
        <f t="shared" ref="AZ494:AZ557" si="88">AT494</f>
        <v>738</v>
      </c>
      <c r="BA494">
        <f t="shared" ref="BA494:BA557" si="89">AU494</f>
        <v>424</v>
      </c>
      <c r="BB494">
        <f t="shared" si="84"/>
        <v>1058</v>
      </c>
      <c r="BC494">
        <f t="shared" si="85"/>
        <v>822</v>
      </c>
      <c r="BD494">
        <v>53</v>
      </c>
      <c r="BE494">
        <v>45</v>
      </c>
      <c r="BF494" t="s">
        <v>11</v>
      </c>
      <c r="BG494" t="s">
        <v>11</v>
      </c>
      <c r="BH494">
        <v>10</v>
      </c>
      <c r="BI494" t="s">
        <v>11</v>
      </c>
      <c r="BJ494">
        <v>41</v>
      </c>
      <c r="BK494" t="s">
        <v>11</v>
      </c>
      <c r="BL494">
        <v>48</v>
      </c>
      <c r="BM494" t="s">
        <v>11</v>
      </c>
      <c r="BN494">
        <v>33</v>
      </c>
      <c r="BO494" t="s">
        <v>11</v>
      </c>
      <c r="BP494" t="str">
        <f t="shared" si="80"/>
        <v>NoData</v>
      </c>
      <c r="BQ494" t="str">
        <f t="shared" si="81"/>
        <v>NoData</v>
      </c>
      <c r="BR494">
        <v>126</v>
      </c>
      <c r="BS494" t="s">
        <v>11</v>
      </c>
      <c r="BT494">
        <v>31</v>
      </c>
      <c r="BU494" t="s">
        <v>11</v>
      </c>
    </row>
    <row r="495" spans="1:73" x14ac:dyDescent="0.25">
      <c r="A495" s="5">
        <v>40848</v>
      </c>
      <c r="B495">
        <v>2932</v>
      </c>
      <c r="C495">
        <v>1583</v>
      </c>
      <c r="D495">
        <v>17</v>
      </c>
      <c r="E495">
        <v>9</v>
      </c>
      <c r="F495">
        <v>2335</v>
      </c>
      <c r="G495">
        <v>1334</v>
      </c>
      <c r="H495">
        <v>1202</v>
      </c>
      <c r="I495">
        <v>649</v>
      </c>
      <c r="J495">
        <v>540</v>
      </c>
      <c r="K495" t="s">
        <v>11</v>
      </c>
      <c r="L495">
        <v>24830</v>
      </c>
      <c r="M495">
        <v>-203</v>
      </c>
      <c r="N495">
        <v>270</v>
      </c>
      <c r="O495">
        <v>181</v>
      </c>
      <c r="P495">
        <v>0</v>
      </c>
      <c r="Q495" t="s">
        <v>11</v>
      </c>
      <c r="R495">
        <v>23</v>
      </c>
      <c r="S495" t="s">
        <v>11</v>
      </c>
      <c r="T495" s="34">
        <v>38390</v>
      </c>
      <c r="U495" s="34">
        <v>412</v>
      </c>
      <c r="V495" s="34">
        <v>3024</v>
      </c>
      <c r="W495" t="s">
        <v>11</v>
      </c>
      <c r="X495">
        <v>3448</v>
      </c>
      <c r="Y495" t="s">
        <v>11</v>
      </c>
      <c r="Z495">
        <v>3365</v>
      </c>
      <c r="AA495">
        <v>232</v>
      </c>
      <c r="AB495">
        <v>25474</v>
      </c>
      <c r="AC495">
        <v>12045</v>
      </c>
      <c r="AD495">
        <v>1915</v>
      </c>
      <c r="AE495">
        <v>1638</v>
      </c>
      <c r="AF495">
        <v>4495</v>
      </c>
      <c r="AG495">
        <v>2148</v>
      </c>
      <c r="AH495">
        <f t="shared" si="82"/>
        <v>1915</v>
      </c>
      <c r="AI495">
        <f t="shared" si="83"/>
        <v>1638</v>
      </c>
      <c r="AJ495">
        <v>7362</v>
      </c>
      <c r="AK495">
        <v>5115</v>
      </c>
      <c r="AL495">
        <v>16676</v>
      </c>
      <c r="AM495">
        <v>4728</v>
      </c>
      <c r="AN495" s="36">
        <v>520</v>
      </c>
      <c r="AO495">
        <v>442</v>
      </c>
      <c r="AP495">
        <v>474</v>
      </c>
      <c r="AQ495">
        <v>248</v>
      </c>
      <c r="AR495">
        <v>25</v>
      </c>
      <c r="AS495" t="s">
        <v>11</v>
      </c>
      <c r="AT495">
        <f t="shared" si="86"/>
        <v>474</v>
      </c>
      <c r="AU495">
        <f t="shared" si="87"/>
        <v>248</v>
      </c>
      <c r="AV495" t="s">
        <v>11</v>
      </c>
      <c r="AW495" t="s">
        <v>11</v>
      </c>
      <c r="AX495">
        <v>4</v>
      </c>
      <c r="AY495">
        <v>2</v>
      </c>
      <c r="AZ495">
        <f t="shared" si="88"/>
        <v>474</v>
      </c>
      <c r="BA495">
        <f t="shared" si="89"/>
        <v>248</v>
      </c>
      <c r="BB495">
        <f t="shared" si="84"/>
        <v>520</v>
      </c>
      <c r="BC495">
        <f t="shared" si="85"/>
        <v>442</v>
      </c>
      <c r="BD495">
        <v>22</v>
      </c>
      <c r="BE495">
        <v>22</v>
      </c>
      <c r="BF495" t="s">
        <v>11</v>
      </c>
      <c r="BG495" t="s">
        <v>11</v>
      </c>
      <c r="BH495">
        <v>7</v>
      </c>
      <c r="BI495" t="s">
        <v>11</v>
      </c>
      <c r="BJ495">
        <v>22</v>
      </c>
      <c r="BK495" t="s">
        <v>11</v>
      </c>
      <c r="BL495">
        <v>48</v>
      </c>
      <c r="BM495" t="s">
        <v>11</v>
      </c>
      <c r="BN495">
        <v>24</v>
      </c>
      <c r="BO495" t="s">
        <v>11</v>
      </c>
      <c r="BP495" t="str">
        <f t="shared" si="80"/>
        <v>NoData</v>
      </c>
      <c r="BQ495" t="str">
        <f t="shared" si="81"/>
        <v>NoData</v>
      </c>
      <c r="BR495">
        <v>90</v>
      </c>
      <c r="BS495" t="s">
        <v>11</v>
      </c>
      <c r="BT495">
        <v>17</v>
      </c>
      <c r="BU495" t="s">
        <v>11</v>
      </c>
    </row>
    <row r="496" spans="1:73" x14ac:dyDescent="0.25">
      <c r="A496" s="5">
        <v>40878</v>
      </c>
      <c r="B496">
        <v>2937</v>
      </c>
      <c r="C496">
        <v>1586</v>
      </c>
      <c r="D496">
        <v>11</v>
      </c>
      <c r="E496">
        <v>6</v>
      </c>
      <c r="F496">
        <v>1104</v>
      </c>
      <c r="G496">
        <v>645</v>
      </c>
      <c r="H496">
        <v>365</v>
      </c>
      <c r="I496">
        <v>199</v>
      </c>
      <c r="J496">
        <v>381</v>
      </c>
      <c r="K496" t="s">
        <v>11</v>
      </c>
      <c r="L496">
        <v>28220</v>
      </c>
      <c r="M496">
        <v>5619</v>
      </c>
      <c r="N496">
        <v>266</v>
      </c>
      <c r="O496">
        <v>174</v>
      </c>
      <c r="P496">
        <v>0</v>
      </c>
      <c r="Q496" t="s">
        <v>11</v>
      </c>
      <c r="R496">
        <v>22</v>
      </c>
      <c r="S496" t="s">
        <v>11</v>
      </c>
      <c r="T496" s="34">
        <v>34740</v>
      </c>
      <c r="U496" s="34">
        <v>-2240</v>
      </c>
      <c r="V496" s="34">
        <v>2495</v>
      </c>
      <c r="W496" t="s">
        <v>11</v>
      </c>
      <c r="X496">
        <v>1465</v>
      </c>
      <c r="Y496" t="s">
        <v>11</v>
      </c>
      <c r="Z496">
        <v>2478</v>
      </c>
      <c r="AA496">
        <v>364</v>
      </c>
      <c r="AB496">
        <v>15576</v>
      </c>
      <c r="AC496">
        <v>4420</v>
      </c>
      <c r="AD496">
        <v>1215</v>
      </c>
      <c r="AE496">
        <v>996</v>
      </c>
      <c r="AF496">
        <v>2529</v>
      </c>
      <c r="AG496">
        <v>1299</v>
      </c>
      <c r="AH496">
        <f t="shared" si="82"/>
        <v>1215</v>
      </c>
      <c r="AI496">
        <f t="shared" si="83"/>
        <v>996</v>
      </c>
      <c r="AJ496">
        <v>7774</v>
      </c>
      <c r="AK496">
        <v>5199</v>
      </c>
      <c r="AL496">
        <v>14354</v>
      </c>
      <c r="AM496">
        <v>3109</v>
      </c>
      <c r="AN496" s="36">
        <v>470</v>
      </c>
      <c r="AO496">
        <v>409</v>
      </c>
      <c r="AP496">
        <v>413</v>
      </c>
      <c r="AQ496">
        <v>229</v>
      </c>
      <c r="AR496">
        <v>25</v>
      </c>
      <c r="AS496" t="s">
        <v>11</v>
      </c>
      <c r="AT496">
        <f t="shared" si="86"/>
        <v>413</v>
      </c>
      <c r="AU496">
        <f t="shared" si="87"/>
        <v>229</v>
      </c>
      <c r="AV496" t="s">
        <v>11</v>
      </c>
      <c r="AW496" t="s">
        <v>11</v>
      </c>
      <c r="AX496">
        <v>4</v>
      </c>
      <c r="AY496">
        <v>2</v>
      </c>
      <c r="AZ496">
        <f t="shared" si="88"/>
        <v>413</v>
      </c>
      <c r="BA496">
        <f t="shared" si="89"/>
        <v>229</v>
      </c>
      <c r="BB496">
        <f t="shared" si="84"/>
        <v>470</v>
      </c>
      <c r="BC496">
        <f t="shared" si="85"/>
        <v>409</v>
      </c>
      <c r="BD496">
        <v>17</v>
      </c>
      <c r="BE496">
        <v>19</v>
      </c>
      <c r="BF496" t="s">
        <v>11</v>
      </c>
      <c r="BG496" t="s">
        <v>11</v>
      </c>
      <c r="BH496">
        <v>7</v>
      </c>
      <c r="BI496" t="s">
        <v>11</v>
      </c>
      <c r="BJ496">
        <v>10</v>
      </c>
      <c r="BK496" t="s">
        <v>11</v>
      </c>
      <c r="BL496">
        <v>22</v>
      </c>
      <c r="BM496" t="s">
        <v>11</v>
      </c>
      <c r="BN496">
        <v>23</v>
      </c>
      <c r="BO496" t="s">
        <v>11</v>
      </c>
      <c r="BP496" t="str">
        <f t="shared" si="80"/>
        <v>NoData</v>
      </c>
      <c r="BQ496" t="str">
        <f t="shared" si="81"/>
        <v>NoData</v>
      </c>
      <c r="BR496">
        <v>88</v>
      </c>
      <c r="BS496" t="s">
        <v>11</v>
      </c>
      <c r="BT496">
        <v>12</v>
      </c>
      <c r="BU496" t="s">
        <v>11</v>
      </c>
    </row>
    <row r="497" spans="1:73" x14ac:dyDescent="0.25">
      <c r="A497" s="5">
        <v>40909</v>
      </c>
      <c r="B497">
        <v>981</v>
      </c>
      <c r="C497">
        <v>530</v>
      </c>
      <c r="D497">
        <v>13</v>
      </c>
      <c r="E497">
        <v>7</v>
      </c>
      <c r="F497">
        <v>2555</v>
      </c>
      <c r="G497">
        <v>1433</v>
      </c>
      <c r="H497">
        <v>600</v>
      </c>
      <c r="I497">
        <v>324</v>
      </c>
      <c r="J497">
        <v>57</v>
      </c>
      <c r="K497" t="s">
        <v>11</v>
      </c>
      <c r="L497">
        <v>30480</v>
      </c>
      <c r="M497">
        <v>6121</v>
      </c>
      <c r="N497">
        <v>202</v>
      </c>
      <c r="O497">
        <v>142</v>
      </c>
      <c r="P497">
        <v>237</v>
      </c>
      <c r="Q497" t="s">
        <v>11</v>
      </c>
      <c r="R497">
        <v>12</v>
      </c>
      <c r="S497" t="s">
        <v>11</v>
      </c>
      <c r="T497" s="34">
        <v>31670</v>
      </c>
      <c r="U497" s="34">
        <v>1396</v>
      </c>
      <c r="V497" s="34">
        <v>2350</v>
      </c>
      <c r="W497">
        <v>392</v>
      </c>
      <c r="X497">
        <v>2624</v>
      </c>
      <c r="Y497">
        <v>438</v>
      </c>
      <c r="Z497">
        <v>2563</v>
      </c>
      <c r="AA497">
        <v>322</v>
      </c>
      <c r="AB497">
        <v>19264</v>
      </c>
      <c r="AC497">
        <v>10020</v>
      </c>
      <c r="AD497">
        <v>1475</v>
      </c>
      <c r="AE497">
        <v>704</v>
      </c>
      <c r="AF497">
        <v>3539</v>
      </c>
      <c r="AG497">
        <v>1734</v>
      </c>
      <c r="AH497">
        <f t="shared" si="82"/>
        <v>1475</v>
      </c>
      <c r="AI497">
        <f t="shared" si="83"/>
        <v>704</v>
      </c>
      <c r="AJ497">
        <v>11176</v>
      </c>
      <c r="AK497">
        <v>4736</v>
      </c>
      <c r="AL497">
        <v>18760</v>
      </c>
      <c r="AM497">
        <v>7016</v>
      </c>
      <c r="AN497" s="36">
        <v>44</v>
      </c>
      <c r="AO497">
        <v>116</v>
      </c>
      <c r="AP497">
        <v>495</v>
      </c>
      <c r="AQ497">
        <v>274</v>
      </c>
      <c r="AR497">
        <v>17</v>
      </c>
      <c r="AS497" t="s">
        <v>11</v>
      </c>
      <c r="AT497">
        <f t="shared" si="86"/>
        <v>495</v>
      </c>
      <c r="AU497">
        <f t="shared" si="87"/>
        <v>274</v>
      </c>
      <c r="AV497" t="s">
        <v>11</v>
      </c>
      <c r="AW497" t="s">
        <v>11</v>
      </c>
      <c r="AX497">
        <v>4</v>
      </c>
      <c r="AY497">
        <v>2</v>
      </c>
      <c r="AZ497">
        <f t="shared" si="88"/>
        <v>495</v>
      </c>
      <c r="BA497">
        <f t="shared" si="89"/>
        <v>274</v>
      </c>
      <c r="BB497">
        <f t="shared" si="84"/>
        <v>44</v>
      </c>
      <c r="BC497">
        <f t="shared" si="85"/>
        <v>116</v>
      </c>
      <c r="BD497">
        <v>25</v>
      </c>
      <c r="BE497">
        <v>18</v>
      </c>
      <c r="BF497">
        <v>6</v>
      </c>
      <c r="BG497" t="s">
        <v>11</v>
      </c>
      <c r="BH497">
        <v>9</v>
      </c>
      <c r="BI497" t="s">
        <v>11</v>
      </c>
      <c r="BJ497">
        <v>8</v>
      </c>
      <c r="BK497" t="s">
        <v>11</v>
      </c>
      <c r="BL497">
        <v>33</v>
      </c>
      <c r="BM497" t="s">
        <v>11</v>
      </c>
      <c r="BN497">
        <v>14</v>
      </c>
      <c r="BO497" t="s">
        <v>11</v>
      </c>
      <c r="BP497">
        <f t="shared" si="80"/>
        <v>6</v>
      </c>
      <c r="BQ497" t="str">
        <f t="shared" ref="BQ497:BQ549" si="90">BG497</f>
        <v>NoData</v>
      </c>
      <c r="BR497">
        <v>67</v>
      </c>
      <c r="BS497" t="s">
        <v>11</v>
      </c>
      <c r="BT497">
        <v>13</v>
      </c>
      <c r="BU497" t="s">
        <v>11</v>
      </c>
    </row>
    <row r="498" spans="1:73" x14ac:dyDescent="0.25">
      <c r="A498" s="5">
        <v>40940</v>
      </c>
      <c r="B498">
        <v>1004</v>
      </c>
      <c r="C498">
        <v>542</v>
      </c>
      <c r="D498">
        <v>13</v>
      </c>
      <c r="E498">
        <v>7</v>
      </c>
      <c r="F498">
        <v>3682</v>
      </c>
      <c r="G498">
        <v>2020</v>
      </c>
      <c r="H498">
        <v>1090</v>
      </c>
      <c r="I498">
        <v>588</v>
      </c>
      <c r="J498">
        <v>193</v>
      </c>
      <c r="K498" t="s">
        <v>11</v>
      </c>
      <c r="L498">
        <v>40220</v>
      </c>
      <c r="M498">
        <v>17041</v>
      </c>
      <c r="N498">
        <v>253</v>
      </c>
      <c r="O498">
        <v>173</v>
      </c>
      <c r="P498">
        <v>138</v>
      </c>
      <c r="Q498" t="s">
        <v>11</v>
      </c>
      <c r="R498">
        <v>21</v>
      </c>
      <c r="S498" t="s">
        <v>11</v>
      </c>
      <c r="T498" s="34">
        <v>58190</v>
      </c>
      <c r="U498" s="34">
        <v>22646</v>
      </c>
      <c r="V498" s="34">
        <v>2631</v>
      </c>
      <c r="W498">
        <v>439</v>
      </c>
      <c r="X498">
        <v>3421</v>
      </c>
      <c r="Y498">
        <v>571</v>
      </c>
      <c r="Z498">
        <v>3022</v>
      </c>
      <c r="AA498">
        <v>629</v>
      </c>
      <c r="AB498">
        <v>22949</v>
      </c>
      <c r="AC498">
        <v>14028</v>
      </c>
      <c r="AD498">
        <v>1531</v>
      </c>
      <c r="AE498">
        <v>557</v>
      </c>
      <c r="AF498">
        <v>4874</v>
      </c>
      <c r="AG498">
        <v>2600</v>
      </c>
      <c r="AH498">
        <f t="shared" si="82"/>
        <v>1531</v>
      </c>
      <c r="AI498">
        <f t="shared" si="83"/>
        <v>557</v>
      </c>
      <c r="AJ498">
        <v>11836</v>
      </c>
      <c r="AK498">
        <v>4147</v>
      </c>
      <c r="AL498">
        <v>23860</v>
      </c>
      <c r="AM498">
        <v>12883</v>
      </c>
      <c r="AN498" s="36">
        <v>242</v>
      </c>
      <c r="AO498">
        <v>266</v>
      </c>
      <c r="AP498">
        <v>578</v>
      </c>
      <c r="AQ498">
        <v>324</v>
      </c>
      <c r="AR498">
        <v>21</v>
      </c>
      <c r="AS498" t="s">
        <v>11</v>
      </c>
      <c r="AT498">
        <f t="shared" si="86"/>
        <v>578</v>
      </c>
      <c r="AU498">
        <f t="shared" si="87"/>
        <v>324</v>
      </c>
      <c r="AV498" t="s">
        <v>11</v>
      </c>
      <c r="AW498" t="s">
        <v>11</v>
      </c>
      <c r="AX498">
        <v>4</v>
      </c>
      <c r="AY498">
        <v>2</v>
      </c>
      <c r="AZ498">
        <f t="shared" si="88"/>
        <v>578</v>
      </c>
      <c r="BA498">
        <f t="shared" si="89"/>
        <v>324</v>
      </c>
      <c r="BB498">
        <f t="shared" si="84"/>
        <v>242</v>
      </c>
      <c r="BC498">
        <f t="shared" si="85"/>
        <v>266</v>
      </c>
      <c r="BD498">
        <v>26</v>
      </c>
      <c r="BE498">
        <v>18</v>
      </c>
      <c r="BF498">
        <v>8</v>
      </c>
      <c r="BG498" t="s">
        <v>11</v>
      </c>
      <c r="BH498">
        <v>11</v>
      </c>
      <c r="BI498" t="s">
        <v>11</v>
      </c>
      <c r="BJ498">
        <v>24</v>
      </c>
      <c r="BK498" t="s">
        <v>11</v>
      </c>
      <c r="BL498">
        <v>56</v>
      </c>
      <c r="BM498" t="s">
        <v>11</v>
      </c>
      <c r="BN498">
        <v>18</v>
      </c>
      <c r="BO498" t="s">
        <v>11</v>
      </c>
      <c r="BP498">
        <f t="shared" si="80"/>
        <v>8</v>
      </c>
      <c r="BQ498" t="str">
        <f t="shared" si="90"/>
        <v>NoData</v>
      </c>
      <c r="BR498">
        <v>83</v>
      </c>
      <c r="BS498" t="s">
        <v>11</v>
      </c>
      <c r="BT498">
        <v>15</v>
      </c>
      <c r="BU498" t="s">
        <v>11</v>
      </c>
    </row>
    <row r="499" spans="1:73" x14ac:dyDescent="0.25">
      <c r="A499" s="5">
        <v>40969</v>
      </c>
      <c r="B499">
        <v>1790</v>
      </c>
      <c r="C499">
        <v>967</v>
      </c>
      <c r="D499">
        <v>13</v>
      </c>
      <c r="E499">
        <v>7</v>
      </c>
      <c r="F499">
        <v>6942</v>
      </c>
      <c r="G499">
        <v>3782</v>
      </c>
      <c r="H499">
        <v>1682</v>
      </c>
      <c r="I499">
        <v>907</v>
      </c>
      <c r="J499">
        <v>379</v>
      </c>
      <c r="K499" t="s">
        <v>11</v>
      </c>
      <c r="L499">
        <v>51970</v>
      </c>
      <c r="M499">
        <v>27141</v>
      </c>
      <c r="N499">
        <v>345</v>
      </c>
      <c r="O499">
        <v>233</v>
      </c>
      <c r="P499">
        <v>336</v>
      </c>
      <c r="Q499" t="s">
        <v>11</v>
      </c>
      <c r="R499">
        <v>27</v>
      </c>
      <c r="S499" t="s">
        <v>11</v>
      </c>
      <c r="T499" s="34">
        <v>75670</v>
      </c>
      <c r="U499" s="34">
        <v>33727</v>
      </c>
      <c r="V499" s="34">
        <v>5977</v>
      </c>
      <c r="W499">
        <v>998</v>
      </c>
      <c r="X499">
        <v>5746</v>
      </c>
      <c r="Y499">
        <v>960</v>
      </c>
      <c r="Z499">
        <v>4170</v>
      </c>
      <c r="AA499">
        <v>1187</v>
      </c>
      <c r="AB499">
        <v>41151</v>
      </c>
      <c r="AC499">
        <v>31446</v>
      </c>
      <c r="AD499">
        <v>1956</v>
      </c>
      <c r="AE499">
        <v>779</v>
      </c>
      <c r="AF499">
        <v>6935</v>
      </c>
      <c r="AG499">
        <v>3884</v>
      </c>
      <c r="AH499">
        <f t="shared" si="82"/>
        <v>1956</v>
      </c>
      <c r="AI499">
        <f t="shared" si="83"/>
        <v>779</v>
      </c>
      <c r="AJ499">
        <v>14744</v>
      </c>
      <c r="AK499">
        <v>5466</v>
      </c>
      <c r="AL499">
        <v>39175</v>
      </c>
      <c r="AM499">
        <v>27305</v>
      </c>
      <c r="AN499" s="36">
        <v>417</v>
      </c>
      <c r="AO499">
        <v>419</v>
      </c>
      <c r="AP499">
        <v>856</v>
      </c>
      <c r="AQ499">
        <v>492</v>
      </c>
      <c r="AR499">
        <v>29</v>
      </c>
      <c r="AS499" t="s">
        <v>11</v>
      </c>
      <c r="AT499">
        <f t="shared" si="86"/>
        <v>856</v>
      </c>
      <c r="AU499">
        <f t="shared" si="87"/>
        <v>492</v>
      </c>
      <c r="AV499" t="s">
        <v>11</v>
      </c>
      <c r="AW499" t="s">
        <v>11</v>
      </c>
      <c r="AX499">
        <v>4</v>
      </c>
      <c r="AY499">
        <v>2</v>
      </c>
      <c r="AZ499">
        <f t="shared" si="88"/>
        <v>856</v>
      </c>
      <c r="BA499">
        <f t="shared" si="89"/>
        <v>492</v>
      </c>
      <c r="BB499">
        <f t="shared" si="84"/>
        <v>417</v>
      </c>
      <c r="BC499">
        <f t="shared" si="85"/>
        <v>419</v>
      </c>
      <c r="BD499">
        <v>55</v>
      </c>
      <c r="BE499">
        <v>37</v>
      </c>
      <c r="BF499">
        <v>10</v>
      </c>
      <c r="BG499" t="s">
        <v>11</v>
      </c>
      <c r="BH499">
        <v>15</v>
      </c>
      <c r="BI499" t="s">
        <v>11</v>
      </c>
      <c r="BJ499">
        <v>73</v>
      </c>
      <c r="BK499" t="s">
        <v>11</v>
      </c>
      <c r="BL499">
        <v>154</v>
      </c>
      <c r="BM499" t="s">
        <v>11</v>
      </c>
      <c r="BN499">
        <v>25</v>
      </c>
      <c r="BO499" t="s">
        <v>11</v>
      </c>
      <c r="BP499">
        <f t="shared" si="80"/>
        <v>10</v>
      </c>
      <c r="BQ499" t="str">
        <f t="shared" si="90"/>
        <v>NoData</v>
      </c>
      <c r="BR499">
        <v>113</v>
      </c>
      <c r="BS499" t="s">
        <v>11</v>
      </c>
      <c r="BT499">
        <v>24</v>
      </c>
      <c r="BU499" t="s">
        <v>11</v>
      </c>
    </row>
    <row r="500" spans="1:73" x14ac:dyDescent="0.25">
      <c r="A500" s="5">
        <v>41000</v>
      </c>
      <c r="B500">
        <v>1941</v>
      </c>
      <c r="C500">
        <v>1048</v>
      </c>
      <c r="D500">
        <v>13</v>
      </c>
      <c r="E500">
        <v>7</v>
      </c>
      <c r="F500">
        <v>3688</v>
      </c>
      <c r="G500">
        <v>2028</v>
      </c>
      <c r="H500">
        <v>1160</v>
      </c>
      <c r="I500">
        <v>627</v>
      </c>
      <c r="J500">
        <v>771</v>
      </c>
      <c r="K500" t="s">
        <v>11</v>
      </c>
      <c r="L500">
        <v>59420</v>
      </c>
      <c r="M500">
        <v>34581</v>
      </c>
      <c r="N500">
        <v>373</v>
      </c>
      <c r="O500">
        <v>251</v>
      </c>
      <c r="P500">
        <v>66</v>
      </c>
      <c r="Q500" t="s">
        <v>11</v>
      </c>
      <c r="R500">
        <v>23</v>
      </c>
      <c r="S500" t="s">
        <v>11</v>
      </c>
      <c r="T500" s="34">
        <v>72970</v>
      </c>
      <c r="U500" s="34">
        <v>33156</v>
      </c>
      <c r="V500" s="34">
        <v>6112</v>
      </c>
      <c r="W500">
        <v>1021</v>
      </c>
      <c r="X500">
        <v>6569</v>
      </c>
      <c r="Y500">
        <v>1097</v>
      </c>
      <c r="Z500">
        <v>4424</v>
      </c>
      <c r="AA500">
        <v>1235</v>
      </c>
      <c r="AB500">
        <v>47674</v>
      </c>
      <c r="AC500">
        <v>37318</v>
      </c>
      <c r="AD500">
        <v>2395</v>
      </c>
      <c r="AE500">
        <v>1696</v>
      </c>
      <c r="AF500">
        <v>7749</v>
      </c>
      <c r="AG500">
        <v>4324</v>
      </c>
      <c r="AH500">
        <f t="shared" si="82"/>
        <v>2395</v>
      </c>
      <c r="AI500">
        <f t="shared" si="83"/>
        <v>1696</v>
      </c>
      <c r="AJ500">
        <v>18575</v>
      </c>
      <c r="AK500">
        <v>11298</v>
      </c>
      <c r="AL500">
        <v>44249</v>
      </c>
      <c r="AM500">
        <v>32574</v>
      </c>
      <c r="AN500" s="36">
        <v>418</v>
      </c>
      <c r="AO500">
        <v>436</v>
      </c>
      <c r="AP500">
        <v>966</v>
      </c>
      <c r="AQ500">
        <v>555</v>
      </c>
      <c r="AR500">
        <v>31</v>
      </c>
      <c r="AS500" t="s">
        <v>11</v>
      </c>
      <c r="AT500">
        <f t="shared" si="86"/>
        <v>966</v>
      </c>
      <c r="AU500">
        <f t="shared" si="87"/>
        <v>555</v>
      </c>
      <c r="AV500" t="s">
        <v>11</v>
      </c>
      <c r="AW500" t="s">
        <v>11</v>
      </c>
      <c r="AX500">
        <v>4</v>
      </c>
      <c r="AY500">
        <v>2</v>
      </c>
      <c r="AZ500">
        <f t="shared" si="88"/>
        <v>966</v>
      </c>
      <c r="BA500">
        <f t="shared" si="89"/>
        <v>555</v>
      </c>
      <c r="BB500">
        <f t="shared" si="84"/>
        <v>418</v>
      </c>
      <c r="BC500">
        <f t="shared" si="85"/>
        <v>436</v>
      </c>
      <c r="BD500">
        <v>93</v>
      </c>
      <c r="BE500">
        <v>94</v>
      </c>
      <c r="BF500">
        <v>11</v>
      </c>
      <c r="BG500" t="s">
        <v>11</v>
      </c>
      <c r="BH500">
        <v>16</v>
      </c>
      <c r="BI500" t="s">
        <v>11</v>
      </c>
      <c r="BJ500">
        <v>95</v>
      </c>
      <c r="BK500" t="s">
        <v>11</v>
      </c>
      <c r="BL500">
        <v>276</v>
      </c>
      <c r="BM500" t="s">
        <v>11</v>
      </c>
      <c r="BN500">
        <v>27</v>
      </c>
      <c r="BO500" t="s">
        <v>11</v>
      </c>
      <c r="BP500">
        <f t="shared" si="80"/>
        <v>11</v>
      </c>
      <c r="BQ500" t="str">
        <f t="shared" si="90"/>
        <v>NoData</v>
      </c>
      <c r="BR500">
        <v>123</v>
      </c>
      <c r="BS500" t="s">
        <v>11</v>
      </c>
      <c r="BT500">
        <v>18</v>
      </c>
      <c r="BU500" t="s">
        <v>11</v>
      </c>
    </row>
    <row r="501" spans="1:73" x14ac:dyDescent="0.25">
      <c r="A501" s="5">
        <v>41030</v>
      </c>
      <c r="B501">
        <v>2374</v>
      </c>
      <c r="C501">
        <v>1282</v>
      </c>
      <c r="D501">
        <v>15</v>
      </c>
      <c r="E501">
        <v>8</v>
      </c>
      <c r="F501">
        <v>8675</v>
      </c>
      <c r="G501">
        <v>4800</v>
      </c>
      <c r="H501">
        <v>1671</v>
      </c>
      <c r="I501">
        <v>902</v>
      </c>
      <c r="J501">
        <v>895</v>
      </c>
      <c r="K501" t="s">
        <v>11</v>
      </c>
      <c r="L501">
        <v>74240</v>
      </c>
      <c r="M501">
        <v>48843</v>
      </c>
      <c r="N501">
        <v>455</v>
      </c>
      <c r="O501">
        <v>309</v>
      </c>
      <c r="P501">
        <v>531</v>
      </c>
      <c r="Q501" t="s">
        <v>11</v>
      </c>
      <c r="R501">
        <v>29</v>
      </c>
      <c r="S501" t="s">
        <v>11</v>
      </c>
      <c r="T501" s="34">
        <v>100400</v>
      </c>
      <c r="U501" s="34">
        <v>54177</v>
      </c>
      <c r="V501" s="34">
        <v>4907</v>
      </c>
      <c r="W501">
        <v>819</v>
      </c>
      <c r="X501">
        <v>5431</v>
      </c>
      <c r="Y501">
        <v>907</v>
      </c>
      <c r="Z501">
        <v>5567</v>
      </c>
      <c r="AA501">
        <v>1874</v>
      </c>
      <c r="AB501">
        <v>43191</v>
      </c>
      <c r="AC501">
        <v>31874</v>
      </c>
      <c r="AD501">
        <v>2984</v>
      </c>
      <c r="AE501">
        <v>2678</v>
      </c>
      <c r="AF501">
        <v>9118</v>
      </c>
      <c r="AG501">
        <v>5085</v>
      </c>
      <c r="AH501">
        <f t="shared" si="82"/>
        <v>2984</v>
      </c>
      <c r="AI501">
        <f t="shared" si="83"/>
        <v>2678</v>
      </c>
      <c r="AJ501">
        <v>23750</v>
      </c>
      <c r="AK501">
        <v>17788</v>
      </c>
      <c r="AL501">
        <v>45311</v>
      </c>
      <c r="AM501">
        <v>33367</v>
      </c>
      <c r="AN501" s="36">
        <v>1142</v>
      </c>
      <c r="AO501">
        <v>943</v>
      </c>
      <c r="AP501">
        <v>1386</v>
      </c>
      <c r="AQ501">
        <v>801</v>
      </c>
      <c r="AR501">
        <v>38</v>
      </c>
      <c r="AS501" t="s">
        <v>11</v>
      </c>
      <c r="AT501">
        <f t="shared" si="86"/>
        <v>1386</v>
      </c>
      <c r="AU501">
        <f t="shared" si="87"/>
        <v>801</v>
      </c>
      <c r="AV501" t="s">
        <v>11</v>
      </c>
      <c r="AW501" t="s">
        <v>11</v>
      </c>
      <c r="AX501">
        <v>4</v>
      </c>
      <c r="AY501">
        <v>2</v>
      </c>
      <c r="AZ501">
        <f t="shared" si="88"/>
        <v>1386</v>
      </c>
      <c r="BA501">
        <f t="shared" si="89"/>
        <v>801</v>
      </c>
      <c r="BB501">
        <f t="shared" si="84"/>
        <v>1142</v>
      </c>
      <c r="BC501">
        <f t="shared" si="85"/>
        <v>943</v>
      </c>
      <c r="BD501">
        <v>132</v>
      </c>
      <c r="BE501">
        <v>139</v>
      </c>
      <c r="BF501">
        <v>14</v>
      </c>
      <c r="BG501" t="s">
        <v>11</v>
      </c>
      <c r="BH501">
        <v>19</v>
      </c>
      <c r="BI501" t="s">
        <v>11</v>
      </c>
      <c r="BJ501">
        <v>78</v>
      </c>
      <c r="BK501" t="s">
        <v>11</v>
      </c>
      <c r="BL501">
        <v>186</v>
      </c>
      <c r="BM501" t="s">
        <v>11</v>
      </c>
      <c r="BN501">
        <v>32</v>
      </c>
      <c r="BO501" t="s">
        <v>11</v>
      </c>
      <c r="BP501">
        <f t="shared" si="80"/>
        <v>14</v>
      </c>
      <c r="BQ501" t="str">
        <f t="shared" si="90"/>
        <v>NoData</v>
      </c>
      <c r="BR501">
        <v>150</v>
      </c>
      <c r="BS501" t="s">
        <v>11</v>
      </c>
      <c r="BT501">
        <v>23</v>
      </c>
      <c r="BU501" t="s">
        <v>11</v>
      </c>
    </row>
    <row r="502" spans="1:73" x14ac:dyDescent="0.25">
      <c r="A502" s="5">
        <v>41061</v>
      </c>
      <c r="B502">
        <v>2430</v>
      </c>
      <c r="C502">
        <v>1312</v>
      </c>
      <c r="D502">
        <v>19</v>
      </c>
      <c r="E502">
        <v>10</v>
      </c>
      <c r="F502">
        <v>12104</v>
      </c>
      <c r="G502">
        <v>6557</v>
      </c>
      <c r="H502">
        <v>2180</v>
      </c>
      <c r="I502">
        <v>1177</v>
      </c>
      <c r="J502">
        <v>844</v>
      </c>
      <c r="K502" t="s">
        <v>11</v>
      </c>
      <c r="L502">
        <v>78650</v>
      </c>
      <c r="M502">
        <v>53450</v>
      </c>
      <c r="N502">
        <v>553</v>
      </c>
      <c r="O502">
        <v>368</v>
      </c>
      <c r="P502">
        <v>808</v>
      </c>
      <c r="Q502" t="s">
        <v>11</v>
      </c>
      <c r="R502">
        <v>41</v>
      </c>
      <c r="S502" t="s">
        <v>11</v>
      </c>
      <c r="T502" s="34">
        <v>104200</v>
      </c>
      <c r="U502" s="34">
        <v>56779</v>
      </c>
      <c r="V502" s="34">
        <v>2898</v>
      </c>
      <c r="W502">
        <v>484</v>
      </c>
      <c r="X502">
        <v>4065</v>
      </c>
      <c r="Y502">
        <v>679</v>
      </c>
      <c r="Z502">
        <v>5225</v>
      </c>
      <c r="AA502">
        <v>1548</v>
      </c>
      <c r="AB502">
        <v>30627</v>
      </c>
      <c r="AC502">
        <v>21048</v>
      </c>
      <c r="AD502">
        <v>3160</v>
      </c>
      <c r="AE502">
        <v>2610</v>
      </c>
      <c r="AF502">
        <v>7285</v>
      </c>
      <c r="AG502">
        <v>4079</v>
      </c>
      <c r="AH502">
        <f t="shared" si="82"/>
        <v>3160</v>
      </c>
      <c r="AI502">
        <f t="shared" si="83"/>
        <v>2610</v>
      </c>
      <c r="AJ502">
        <v>23633</v>
      </c>
      <c r="AK502">
        <v>16427</v>
      </c>
      <c r="AL502">
        <v>43351</v>
      </c>
      <c r="AM502">
        <v>32073</v>
      </c>
      <c r="AN502" s="36">
        <v>579</v>
      </c>
      <c r="AO502">
        <v>606</v>
      </c>
      <c r="AP502">
        <v>860</v>
      </c>
      <c r="AQ502">
        <v>503</v>
      </c>
      <c r="AR502">
        <v>47</v>
      </c>
      <c r="AS502" t="s">
        <v>11</v>
      </c>
      <c r="AT502">
        <f t="shared" si="86"/>
        <v>860</v>
      </c>
      <c r="AU502">
        <f t="shared" si="87"/>
        <v>503</v>
      </c>
      <c r="AV502" t="s">
        <v>11</v>
      </c>
      <c r="AW502" t="s">
        <v>11</v>
      </c>
      <c r="AX502">
        <v>4</v>
      </c>
      <c r="AY502">
        <v>2</v>
      </c>
      <c r="AZ502">
        <f t="shared" si="88"/>
        <v>860</v>
      </c>
      <c r="BA502">
        <f t="shared" si="89"/>
        <v>503</v>
      </c>
      <c r="BB502">
        <f t="shared" si="84"/>
        <v>579</v>
      </c>
      <c r="BC502">
        <f t="shared" si="85"/>
        <v>606</v>
      </c>
      <c r="BD502">
        <v>157</v>
      </c>
      <c r="BE502">
        <v>180</v>
      </c>
      <c r="BF502">
        <v>17</v>
      </c>
      <c r="BG502" t="s">
        <v>11</v>
      </c>
      <c r="BH502">
        <v>23</v>
      </c>
      <c r="BI502" t="s">
        <v>11</v>
      </c>
      <c r="BJ502">
        <v>52</v>
      </c>
      <c r="BK502" t="s">
        <v>11</v>
      </c>
      <c r="BL502">
        <v>81</v>
      </c>
      <c r="BM502" t="s">
        <v>11</v>
      </c>
      <c r="BN502">
        <v>39</v>
      </c>
      <c r="BO502" t="s">
        <v>11</v>
      </c>
      <c r="BP502">
        <f t="shared" si="80"/>
        <v>17</v>
      </c>
      <c r="BQ502" t="str">
        <f t="shared" si="90"/>
        <v>NoData</v>
      </c>
      <c r="BR502">
        <v>140</v>
      </c>
      <c r="BS502" t="s">
        <v>11</v>
      </c>
      <c r="BT502">
        <v>44</v>
      </c>
      <c r="BU502" t="s">
        <v>11</v>
      </c>
    </row>
    <row r="503" spans="1:73" x14ac:dyDescent="0.25">
      <c r="A503" s="5">
        <v>41091</v>
      </c>
      <c r="B503">
        <v>2340</v>
      </c>
      <c r="C503">
        <v>1264</v>
      </c>
      <c r="D503">
        <v>17</v>
      </c>
      <c r="E503">
        <v>9</v>
      </c>
      <c r="F503">
        <v>9742</v>
      </c>
      <c r="G503">
        <v>5422</v>
      </c>
      <c r="H503">
        <v>1286</v>
      </c>
      <c r="I503">
        <v>696</v>
      </c>
      <c r="J503" s="31">
        <v>2324</v>
      </c>
      <c r="K503" t="s">
        <v>11</v>
      </c>
      <c r="L503">
        <v>75050</v>
      </c>
      <c r="M503">
        <v>45629</v>
      </c>
      <c r="N503">
        <v>603</v>
      </c>
      <c r="O503">
        <v>395</v>
      </c>
      <c r="P503">
        <v>916</v>
      </c>
      <c r="Q503" t="s">
        <v>11</v>
      </c>
      <c r="R503">
        <v>43</v>
      </c>
      <c r="S503" t="s">
        <v>11</v>
      </c>
      <c r="T503" s="34">
        <v>93600</v>
      </c>
      <c r="U503" s="34">
        <v>42939</v>
      </c>
      <c r="V503" s="34">
        <v>2774</v>
      </c>
      <c r="W503">
        <v>463</v>
      </c>
      <c r="X503">
        <v>4402</v>
      </c>
      <c r="Y503">
        <v>735</v>
      </c>
      <c r="Z503">
        <v>4604</v>
      </c>
      <c r="AA503">
        <v>1332</v>
      </c>
      <c r="AB503">
        <v>38422</v>
      </c>
      <c r="AC503">
        <v>26974</v>
      </c>
      <c r="AD503">
        <v>3046</v>
      </c>
      <c r="AE503">
        <v>2296</v>
      </c>
      <c r="AF503">
        <v>4710</v>
      </c>
      <c r="AG503">
        <v>2632</v>
      </c>
      <c r="AH503">
        <f t="shared" si="82"/>
        <v>3046</v>
      </c>
      <c r="AI503">
        <f t="shared" si="83"/>
        <v>2296</v>
      </c>
      <c r="AJ503">
        <v>22685</v>
      </c>
      <c r="AK503">
        <v>14417</v>
      </c>
      <c r="AL503">
        <v>41623</v>
      </c>
      <c r="AM503">
        <v>29718</v>
      </c>
      <c r="AN503" s="36">
        <v>1194</v>
      </c>
      <c r="AO503">
        <v>1005</v>
      </c>
      <c r="AP503">
        <v>393</v>
      </c>
      <c r="AQ503">
        <v>225</v>
      </c>
      <c r="AR503">
        <v>51</v>
      </c>
      <c r="AS503" t="s">
        <v>11</v>
      </c>
      <c r="AT503">
        <f t="shared" si="86"/>
        <v>393</v>
      </c>
      <c r="AU503">
        <f t="shared" si="87"/>
        <v>225</v>
      </c>
      <c r="AV503" t="s">
        <v>11</v>
      </c>
      <c r="AW503" t="s">
        <v>11</v>
      </c>
      <c r="AX503">
        <v>4</v>
      </c>
      <c r="AY503">
        <v>2</v>
      </c>
      <c r="AZ503">
        <f t="shared" si="88"/>
        <v>393</v>
      </c>
      <c r="BA503">
        <f t="shared" si="89"/>
        <v>225</v>
      </c>
      <c r="BB503">
        <f t="shared" si="84"/>
        <v>1194</v>
      </c>
      <c r="BC503">
        <f t="shared" si="85"/>
        <v>1005</v>
      </c>
      <c r="BD503">
        <v>140</v>
      </c>
      <c r="BE503">
        <v>129</v>
      </c>
      <c r="BF503">
        <v>18</v>
      </c>
      <c r="BG503" t="s">
        <v>11</v>
      </c>
      <c r="BH503">
        <v>26</v>
      </c>
      <c r="BI503" t="s">
        <v>11</v>
      </c>
      <c r="BJ503">
        <v>60</v>
      </c>
      <c r="BK503" t="s">
        <v>11</v>
      </c>
      <c r="BL503">
        <v>33</v>
      </c>
      <c r="BM503" t="s">
        <v>11</v>
      </c>
      <c r="BN503">
        <v>43</v>
      </c>
      <c r="BO503" t="s">
        <v>11</v>
      </c>
      <c r="BP503">
        <f t="shared" si="80"/>
        <v>18</v>
      </c>
      <c r="BQ503" t="str">
        <f t="shared" si="90"/>
        <v>NoData</v>
      </c>
      <c r="BR503">
        <v>153</v>
      </c>
      <c r="BS503" t="s">
        <v>11</v>
      </c>
      <c r="BT503">
        <v>12</v>
      </c>
      <c r="BU503" t="s">
        <v>11</v>
      </c>
    </row>
    <row r="504" spans="1:73" x14ac:dyDescent="0.25">
      <c r="A504" s="5">
        <v>41122</v>
      </c>
      <c r="B504">
        <v>2595</v>
      </c>
      <c r="C504">
        <v>1401</v>
      </c>
      <c r="D504">
        <v>16</v>
      </c>
      <c r="E504">
        <v>9</v>
      </c>
      <c r="F504">
        <v>8720</v>
      </c>
      <c r="G504">
        <v>4874</v>
      </c>
      <c r="H504">
        <v>1532</v>
      </c>
      <c r="I504">
        <v>828</v>
      </c>
      <c r="J504" s="31">
        <v>1753</v>
      </c>
      <c r="K504" t="s">
        <v>11</v>
      </c>
      <c r="L504">
        <v>71040</v>
      </c>
      <c r="M504">
        <v>40795</v>
      </c>
      <c r="N504">
        <v>580</v>
      </c>
      <c r="O504">
        <v>378</v>
      </c>
      <c r="P504">
        <v>1123</v>
      </c>
      <c r="Q504" t="s">
        <v>11</v>
      </c>
      <c r="R504">
        <v>38</v>
      </c>
      <c r="S504" t="s">
        <v>11</v>
      </c>
      <c r="T504" s="34">
        <v>100800</v>
      </c>
      <c r="U504" s="34">
        <v>49197</v>
      </c>
      <c r="V504" s="34">
        <v>4405</v>
      </c>
      <c r="W504">
        <v>736</v>
      </c>
      <c r="X504">
        <v>5292</v>
      </c>
      <c r="Y504">
        <v>884</v>
      </c>
      <c r="Z504">
        <v>2738</v>
      </c>
      <c r="AA504">
        <v>677</v>
      </c>
      <c r="AB504">
        <v>23426</v>
      </c>
      <c r="AC504">
        <v>13997</v>
      </c>
      <c r="AD504">
        <v>3396</v>
      </c>
      <c r="AE504">
        <v>2483</v>
      </c>
      <c r="AF504">
        <v>6716</v>
      </c>
      <c r="AG504">
        <v>3740</v>
      </c>
      <c r="AH504">
        <f t="shared" si="82"/>
        <v>3396</v>
      </c>
      <c r="AI504">
        <f t="shared" si="83"/>
        <v>2483</v>
      </c>
      <c r="AJ504">
        <v>24876</v>
      </c>
      <c r="AK504">
        <v>15388</v>
      </c>
      <c r="AL504">
        <v>37296</v>
      </c>
      <c r="AM504">
        <v>25455</v>
      </c>
      <c r="AN504" s="36">
        <v>938</v>
      </c>
      <c r="AO504">
        <v>826</v>
      </c>
      <c r="AP504">
        <v>535</v>
      </c>
      <c r="AQ504">
        <v>311</v>
      </c>
      <c r="AR504">
        <v>49</v>
      </c>
      <c r="AS504" t="s">
        <v>11</v>
      </c>
      <c r="AT504">
        <f t="shared" si="86"/>
        <v>535</v>
      </c>
      <c r="AU504">
        <f t="shared" si="87"/>
        <v>311</v>
      </c>
      <c r="AV504" t="s">
        <v>11</v>
      </c>
      <c r="AW504" t="s">
        <v>11</v>
      </c>
      <c r="AX504">
        <v>4</v>
      </c>
      <c r="AY504">
        <v>2</v>
      </c>
      <c r="AZ504">
        <f t="shared" si="88"/>
        <v>535</v>
      </c>
      <c r="BA504">
        <f t="shared" si="89"/>
        <v>311</v>
      </c>
      <c r="BB504">
        <f t="shared" si="84"/>
        <v>938</v>
      </c>
      <c r="BC504">
        <f t="shared" si="85"/>
        <v>826</v>
      </c>
      <c r="BD504">
        <v>129</v>
      </c>
      <c r="BE504">
        <v>129</v>
      </c>
      <c r="BF504">
        <v>18</v>
      </c>
      <c r="BG504" t="s">
        <v>11</v>
      </c>
      <c r="BH504">
        <v>25</v>
      </c>
      <c r="BI504" t="s">
        <v>11</v>
      </c>
      <c r="BJ504">
        <v>25</v>
      </c>
      <c r="BK504" t="s">
        <v>11</v>
      </c>
      <c r="BL504">
        <v>26</v>
      </c>
      <c r="BM504" t="s">
        <v>11</v>
      </c>
      <c r="BN504">
        <v>41</v>
      </c>
      <c r="BO504" t="s">
        <v>11</v>
      </c>
      <c r="BP504">
        <f t="shared" si="80"/>
        <v>18</v>
      </c>
      <c r="BQ504" t="str">
        <f t="shared" si="90"/>
        <v>NoData</v>
      </c>
      <c r="BR504">
        <v>169</v>
      </c>
      <c r="BS504" t="s">
        <v>11</v>
      </c>
      <c r="BT504">
        <v>35</v>
      </c>
      <c r="BU504" t="s">
        <v>11</v>
      </c>
    </row>
    <row r="505" spans="1:73" x14ac:dyDescent="0.25">
      <c r="A505" s="5">
        <v>41153</v>
      </c>
      <c r="B505">
        <v>2431</v>
      </c>
      <c r="C505">
        <v>1313</v>
      </c>
      <c r="D505">
        <v>14</v>
      </c>
      <c r="E505">
        <v>8</v>
      </c>
      <c r="F505">
        <v>3143</v>
      </c>
      <c r="G505">
        <v>1848</v>
      </c>
      <c r="H505">
        <v>545</v>
      </c>
      <c r="I505">
        <v>296</v>
      </c>
      <c r="J505" s="31">
        <v>2945</v>
      </c>
      <c r="K505" t="s">
        <v>11</v>
      </c>
      <c r="L505">
        <v>60850</v>
      </c>
      <c r="M505">
        <v>32260</v>
      </c>
      <c r="N505">
        <v>456</v>
      </c>
      <c r="O505">
        <v>307</v>
      </c>
      <c r="P505">
        <v>743</v>
      </c>
      <c r="Q505" t="s">
        <v>11</v>
      </c>
      <c r="R505">
        <v>32</v>
      </c>
      <c r="S505" t="s">
        <v>11</v>
      </c>
      <c r="T505" s="34">
        <v>90290</v>
      </c>
      <c r="U505" s="34">
        <v>39142</v>
      </c>
      <c r="V505" s="34">
        <v>2103</v>
      </c>
      <c r="W505">
        <v>351</v>
      </c>
      <c r="X505">
        <v>3899</v>
      </c>
      <c r="Y505">
        <v>651</v>
      </c>
      <c r="Z505">
        <v>3527</v>
      </c>
      <c r="AA505">
        <v>900</v>
      </c>
      <c r="AB505">
        <v>26056</v>
      </c>
      <c r="AC505">
        <v>17516</v>
      </c>
      <c r="AD505">
        <v>2013</v>
      </c>
      <c r="AE505">
        <v>922</v>
      </c>
      <c r="AF505">
        <v>5974</v>
      </c>
      <c r="AG505">
        <v>3251</v>
      </c>
      <c r="AH505">
        <f t="shared" si="82"/>
        <v>2013</v>
      </c>
      <c r="AI505">
        <f t="shared" si="83"/>
        <v>922</v>
      </c>
      <c r="AJ505">
        <v>16007</v>
      </c>
      <c r="AK505">
        <v>6960</v>
      </c>
      <c r="AL505">
        <v>33207</v>
      </c>
      <c r="AM505">
        <v>21188</v>
      </c>
      <c r="AN505" s="36">
        <v>346</v>
      </c>
      <c r="AO505">
        <v>411</v>
      </c>
      <c r="AP505">
        <v>558</v>
      </c>
      <c r="AQ505">
        <v>322</v>
      </c>
      <c r="AR505">
        <v>38</v>
      </c>
      <c r="AS505" t="s">
        <v>11</v>
      </c>
      <c r="AT505">
        <f t="shared" si="86"/>
        <v>558</v>
      </c>
      <c r="AU505">
        <f t="shared" si="87"/>
        <v>322</v>
      </c>
      <c r="AV505" t="s">
        <v>11</v>
      </c>
      <c r="AW505" t="s">
        <v>11</v>
      </c>
      <c r="AX505">
        <v>4</v>
      </c>
      <c r="AY505">
        <v>2</v>
      </c>
      <c r="AZ505">
        <f t="shared" si="88"/>
        <v>558</v>
      </c>
      <c r="BA505">
        <f t="shared" si="89"/>
        <v>322</v>
      </c>
      <c r="BB505">
        <f t="shared" si="84"/>
        <v>346</v>
      </c>
      <c r="BC505">
        <f t="shared" si="85"/>
        <v>411</v>
      </c>
      <c r="BD505">
        <v>87</v>
      </c>
      <c r="BE505">
        <v>82</v>
      </c>
      <c r="BF505">
        <v>14</v>
      </c>
      <c r="BG505" t="s">
        <v>11</v>
      </c>
      <c r="BH505">
        <v>19</v>
      </c>
      <c r="BI505" t="s">
        <v>11</v>
      </c>
      <c r="BJ505">
        <v>0</v>
      </c>
      <c r="BK505" t="s">
        <v>11</v>
      </c>
      <c r="BL505">
        <v>26</v>
      </c>
      <c r="BM505" t="s">
        <v>11</v>
      </c>
      <c r="BN505">
        <v>32</v>
      </c>
      <c r="BO505" t="s">
        <v>11</v>
      </c>
      <c r="BP505">
        <f t="shared" si="80"/>
        <v>14</v>
      </c>
      <c r="BQ505" t="str">
        <f t="shared" si="90"/>
        <v>NoData</v>
      </c>
      <c r="BR505">
        <v>143</v>
      </c>
      <c r="BS505" t="s">
        <v>11</v>
      </c>
      <c r="BT505">
        <v>153</v>
      </c>
      <c r="BU505" t="s">
        <v>11</v>
      </c>
    </row>
    <row r="506" spans="1:73" x14ac:dyDescent="0.25">
      <c r="A506" s="5">
        <v>41183</v>
      </c>
      <c r="B506">
        <v>1616</v>
      </c>
      <c r="C506">
        <v>873</v>
      </c>
      <c r="D506">
        <v>14</v>
      </c>
      <c r="E506">
        <v>8</v>
      </c>
      <c r="F506">
        <v>1788</v>
      </c>
      <c r="G506">
        <v>1105</v>
      </c>
      <c r="H506">
        <v>1557</v>
      </c>
      <c r="I506">
        <v>840</v>
      </c>
      <c r="J506">
        <v>266</v>
      </c>
      <c r="K506" t="s">
        <v>11</v>
      </c>
      <c r="L506">
        <v>41600</v>
      </c>
      <c r="M506">
        <v>14391</v>
      </c>
      <c r="N506">
        <v>382</v>
      </c>
      <c r="O506">
        <v>256</v>
      </c>
      <c r="P506">
        <v>121</v>
      </c>
      <c r="Q506" t="s">
        <v>11</v>
      </c>
      <c r="R506">
        <v>15</v>
      </c>
      <c r="S506" t="s">
        <v>11</v>
      </c>
      <c r="T506" s="34">
        <v>73870</v>
      </c>
      <c r="U506" s="34">
        <v>23008</v>
      </c>
      <c r="V506" s="34">
        <v>4454</v>
      </c>
      <c r="W506">
        <v>744</v>
      </c>
      <c r="X506">
        <v>5067</v>
      </c>
      <c r="Y506">
        <v>846</v>
      </c>
      <c r="Z506">
        <v>4639</v>
      </c>
      <c r="AA506">
        <v>1050</v>
      </c>
      <c r="AB506">
        <v>38217</v>
      </c>
      <c r="AC506">
        <v>24027</v>
      </c>
      <c r="AD506">
        <v>2615</v>
      </c>
      <c r="AE506">
        <v>2414</v>
      </c>
      <c r="AF506">
        <v>6120</v>
      </c>
      <c r="AG506">
        <v>3309</v>
      </c>
      <c r="AH506">
        <f t="shared" si="82"/>
        <v>2615</v>
      </c>
      <c r="AI506">
        <f t="shared" si="83"/>
        <v>2414</v>
      </c>
      <c r="AJ506">
        <v>17273</v>
      </c>
      <c r="AK506">
        <v>13218</v>
      </c>
      <c r="AL506">
        <v>33887</v>
      </c>
      <c r="AM506">
        <v>21934</v>
      </c>
      <c r="AN506" s="36">
        <v>201</v>
      </c>
      <c r="AO506">
        <v>291</v>
      </c>
      <c r="AP506">
        <v>771</v>
      </c>
      <c r="AQ506">
        <v>446</v>
      </c>
      <c r="AR506">
        <v>32</v>
      </c>
      <c r="AS506" t="s">
        <v>11</v>
      </c>
      <c r="AT506">
        <f t="shared" si="86"/>
        <v>771</v>
      </c>
      <c r="AU506">
        <f t="shared" si="87"/>
        <v>446</v>
      </c>
      <c r="AV506" t="s">
        <v>11</v>
      </c>
      <c r="AW506" t="s">
        <v>11</v>
      </c>
      <c r="AX506">
        <v>4</v>
      </c>
      <c r="AY506">
        <v>2</v>
      </c>
      <c r="AZ506">
        <f t="shared" si="88"/>
        <v>771</v>
      </c>
      <c r="BA506">
        <f t="shared" si="89"/>
        <v>446</v>
      </c>
      <c r="BB506">
        <f t="shared" si="84"/>
        <v>201</v>
      </c>
      <c r="BC506">
        <f t="shared" si="85"/>
        <v>291</v>
      </c>
      <c r="BD506">
        <v>50</v>
      </c>
      <c r="BE506">
        <v>52</v>
      </c>
      <c r="BF506">
        <v>12</v>
      </c>
      <c r="BG506" t="s">
        <v>11</v>
      </c>
      <c r="BH506">
        <v>16</v>
      </c>
      <c r="BI506" t="s">
        <v>11</v>
      </c>
      <c r="BJ506">
        <v>42</v>
      </c>
      <c r="BK506" t="s">
        <v>11</v>
      </c>
      <c r="BL506">
        <v>22</v>
      </c>
      <c r="BM506" t="s">
        <v>11</v>
      </c>
      <c r="BN506">
        <v>27</v>
      </c>
      <c r="BO506" t="s">
        <v>11</v>
      </c>
      <c r="BP506">
        <f t="shared" si="80"/>
        <v>12</v>
      </c>
      <c r="BQ506" t="str">
        <f t="shared" si="90"/>
        <v>NoData</v>
      </c>
      <c r="BR506">
        <v>87</v>
      </c>
      <c r="BS506" t="s">
        <v>11</v>
      </c>
      <c r="BT506">
        <v>25</v>
      </c>
      <c r="BU506" t="s">
        <v>11</v>
      </c>
    </row>
    <row r="507" spans="1:73" x14ac:dyDescent="0.25">
      <c r="A507" s="5">
        <v>41214</v>
      </c>
      <c r="B507">
        <v>1325</v>
      </c>
      <c r="C507">
        <v>715</v>
      </c>
      <c r="D507">
        <v>13</v>
      </c>
      <c r="E507">
        <v>7</v>
      </c>
      <c r="F507">
        <v>2879</v>
      </c>
      <c r="G507">
        <v>1653</v>
      </c>
      <c r="H507">
        <v>1451</v>
      </c>
      <c r="I507">
        <v>782</v>
      </c>
      <c r="J507">
        <v>310</v>
      </c>
      <c r="K507" t="s">
        <v>11</v>
      </c>
      <c r="L507">
        <v>28690</v>
      </c>
      <c r="M507">
        <v>4547</v>
      </c>
      <c r="N507">
        <v>271</v>
      </c>
      <c r="O507">
        <v>185</v>
      </c>
      <c r="P507">
        <v>0</v>
      </c>
      <c r="Q507" t="s">
        <v>11</v>
      </c>
      <c r="R507">
        <v>1</v>
      </c>
      <c r="S507" t="s">
        <v>11</v>
      </c>
      <c r="T507" s="34">
        <v>51030</v>
      </c>
      <c r="U507" s="34">
        <v>7045</v>
      </c>
      <c r="V507" s="34">
        <v>3437</v>
      </c>
      <c r="W507">
        <v>574</v>
      </c>
      <c r="X507">
        <v>3816</v>
      </c>
      <c r="Y507">
        <v>637</v>
      </c>
      <c r="Z507">
        <v>3511</v>
      </c>
      <c r="AA507">
        <v>738</v>
      </c>
      <c r="AB507">
        <v>29307</v>
      </c>
      <c r="AC507">
        <v>14732</v>
      </c>
      <c r="AD507">
        <v>1845</v>
      </c>
      <c r="AE507">
        <v>1676</v>
      </c>
      <c r="AF507">
        <v>4365</v>
      </c>
      <c r="AG507">
        <v>2341</v>
      </c>
      <c r="AH507">
        <f t="shared" si="82"/>
        <v>1845</v>
      </c>
      <c r="AI507">
        <f t="shared" si="83"/>
        <v>1676</v>
      </c>
      <c r="AJ507">
        <v>10270</v>
      </c>
      <c r="AK507">
        <v>7678</v>
      </c>
      <c r="AL507">
        <v>20914</v>
      </c>
      <c r="AM507">
        <v>9699</v>
      </c>
      <c r="AN507" s="36">
        <v>47</v>
      </c>
      <c r="AO507">
        <v>148</v>
      </c>
      <c r="AP507">
        <v>520</v>
      </c>
      <c r="AQ507">
        <v>300</v>
      </c>
      <c r="AR507">
        <v>23</v>
      </c>
      <c r="AS507" t="s">
        <v>11</v>
      </c>
      <c r="AT507">
        <f t="shared" si="86"/>
        <v>520</v>
      </c>
      <c r="AU507">
        <f t="shared" si="87"/>
        <v>300</v>
      </c>
      <c r="AV507" t="s">
        <v>11</v>
      </c>
      <c r="AW507" t="s">
        <v>11</v>
      </c>
      <c r="AX507">
        <v>4</v>
      </c>
      <c r="AY507">
        <v>2</v>
      </c>
      <c r="AZ507">
        <f t="shared" si="88"/>
        <v>520</v>
      </c>
      <c r="BA507">
        <f t="shared" si="89"/>
        <v>300</v>
      </c>
      <c r="BB507">
        <f t="shared" si="84"/>
        <v>47</v>
      </c>
      <c r="BC507">
        <f t="shared" si="85"/>
        <v>148</v>
      </c>
      <c r="BD507">
        <v>25</v>
      </c>
      <c r="BE507">
        <v>66</v>
      </c>
      <c r="BF507">
        <v>8</v>
      </c>
      <c r="BG507" t="s">
        <v>11</v>
      </c>
      <c r="BH507">
        <v>11</v>
      </c>
      <c r="BI507" t="s">
        <v>11</v>
      </c>
      <c r="BJ507">
        <v>8</v>
      </c>
      <c r="BK507" t="s">
        <v>11</v>
      </c>
      <c r="BL507">
        <v>13</v>
      </c>
      <c r="BM507" t="s">
        <v>11</v>
      </c>
      <c r="BN507">
        <v>19</v>
      </c>
      <c r="BO507" t="s">
        <v>11</v>
      </c>
      <c r="BP507">
        <f t="shared" si="80"/>
        <v>8</v>
      </c>
      <c r="BQ507" t="str">
        <f t="shared" si="90"/>
        <v>NoData</v>
      </c>
      <c r="BR507">
        <v>37</v>
      </c>
      <c r="BS507" t="s">
        <v>11</v>
      </c>
      <c r="BT507">
        <v>26</v>
      </c>
      <c r="BU507" t="s">
        <v>11</v>
      </c>
    </row>
    <row r="508" spans="1:73" x14ac:dyDescent="0.25">
      <c r="A508" s="5">
        <v>41244</v>
      </c>
      <c r="B508">
        <v>402</v>
      </c>
      <c r="C508">
        <v>217</v>
      </c>
      <c r="D508">
        <v>10</v>
      </c>
      <c r="E508">
        <v>5</v>
      </c>
      <c r="F508">
        <v>782</v>
      </c>
      <c r="G508">
        <v>492</v>
      </c>
      <c r="H508">
        <v>1028</v>
      </c>
      <c r="I508">
        <v>554</v>
      </c>
      <c r="J508">
        <v>128</v>
      </c>
      <c r="K508" t="s">
        <v>11</v>
      </c>
      <c r="L508">
        <v>24410</v>
      </c>
      <c r="M508">
        <v>981</v>
      </c>
      <c r="N508">
        <v>267</v>
      </c>
      <c r="O508">
        <v>178</v>
      </c>
      <c r="P508">
        <v>0</v>
      </c>
      <c r="Q508" t="s">
        <v>11</v>
      </c>
      <c r="R508">
        <v>0</v>
      </c>
      <c r="S508" t="s">
        <v>11</v>
      </c>
      <c r="T508" s="34">
        <v>41190</v>
      </c>
      <c r="U508" s="34">
        <v>-989</v>
      </c>
      <c r="V508" s="34">
        <v>3395</v>
      </c>
      <c r="W508">
        <v>567</v>
      </c>
      <c r="X508">
        <v>397</v>
      </c>
      <c r="Y508">
        <v>66</v>
      </c>
      <c r="Z508">
        <v>2509</v>
      </c>
      <c r="AA508">
        <v>144</v>
      </c>
      <c r="AB508">
        <v>14957</v>
      </c>
      <c r="AC508">
        <v>3075</v>
      </c>
      <c r="AD508">
        <v>1350</v>
      </c>
      <c r="AE508">
        <v>1172</v>
      </c>
      <c r="AF508">
        <v>3425</v>
      </c>
      <c r="AG508">
        <v>1509</v>
      </c>
      <c r="AH508">
        <f t="shared" si="82"/>
        <v>1350</v>
      </c>
      <c r="AI508">
        <f t="shared" si="83"/>
        <v>1172</v>
      </c>
      <c r="AJ508">
        <v>8836</v>
      </c>
      <c r="AK508">
        <v>6258</v>
      </c>
      <c r="AL508">
        <v>16221</v>
      </c>
      <c r="AM508">
        <v>4178</v>
      </c>
      <c r="AN508" s="36">
        <v>0</v>
      </c>
      <c r="AO508">
        <v>116</v>
      </c>
      <c r="AP508">
        <v>325</v>
      </c>
      <c r="AQ508">
        <v>172</v>
      </c>
      <c r="AR508">
        <v>23</v>
      </c>
      <c r="AS508" t="s">
        <v>11</v>
      </c>
      <c r="AT508">
        <f t="shared" si="86"/>
        <v>325</v>
      </c>
      <c r="AU508">
        <f t="shared" si="87"/>
        <v>172</v>
      </c>
      <c r="AV508" t="s">
        <v>11</v>
      </c>
      <c r="AW508" t="s">
        <v>11</v>
      </c>
      <c r="AX508">
        <v>4</v>
      </c>
      <c r="AY508">
        <v>2</v>
      </c>
      <c r="AZ508">
        <f t="shared" si="88"/>
        <v>325</v>
      </c>
      <c r="BA508">
        <f t="shared" si="89"/>
        <v>172</v>
      </c>
      <c r="BB508">
        <f t="shared" si="84"/>
        <v>0</v>
      </c>
      <c r="BC508">
        <f t="shared" si="85"/>
        <v>116</v>
      </c>
      <c r="BD508">
        <v>17</v>
      </c>
      <c r="BE508">
        <v>21</v>
      </c>
      <c r="BF508">
        <v>8</v>
      </c>
      <c r="BG508" t="s">
        <v>11</v>
      </c>
      <c r="BH508">
        <v>11</v>
      </c>
      <c r="BI508" t="s">
        <v>11</v>
      </c>
      <c r="BJ508">
        <v>13</v>
      </c>
      <c r="BK508" t="s">
        <v>11</v>
      </c>
      <c r="BL508">
        <v>16</v>
      </c>
      <c r="BM508" t="s">
        <v>11</v>
      </c>
      <c r="BN508">
        <v>19</v>
      </c>
      <c r="BO508" t="s">
        <v>11</v>
      </c>
      <c r="BP508">
        <f t="shared" si="80"/>
        <v>8</v>
      </c>
      <c r="BQ508" t="str">
        <f t="shared" si="90"/>
        <v>NoData</v>
      </c>
      <c r="BR508">
        <v>80</v>
      </c>
      <c r="BS508" t="s">
        <v>11</v>
      </c>
      <c r="BT508">
        <v>27</v>
      </c>
      <c r="BU508" t="s">
        <v>11</v>
      </c>
    </row>
    <row r="509" spans="1:73" x14ac:dyDescent="0.25">
      <c r="A509" s="5">
        <v>41275</v>
      </c>
      <c r="B509">
        <v>808</v>
      </c>
      <c r="C509">
        <v>436</v>
      </c>
      <c r="D509">
        <v>20</v>
      </c>
      <c r="E509">
        <v>11</v>
      </c>
      <c r="F509">
        <v>845</v>
      </c>
      <c r="G509">
        <v>570</v>
      </c>
      <c r="H509">
        <v>428</v>
      </c>
      <c r="I509">
        <v>232</v>
      </c>
      <c r="J509">
        <v>121</v>
      </c>
      <c r="K509">
        <v>87</v>
      </c>
      <c r="L509">
        <v>16790</v>
      </c>
      <c r="M509">
        <v>-2397</v>
      </c>
      <c r="N509">
        <v>202</v>
      </c>
      <c r="O509">
        <v>138</v>
      </c>
      <c r="P509">
        <v>0</v>
      </c>
      <c r="Q509">
        <v>0</v>
      </c>
      <c r="R509">
        <v>10</v>
      </c>
      <c r="S509" t="s">
        <v>11</v>
      </c>
      <c r="T509" s="34">
        <v>38430</v>
      </c>
      <c r="U509" s="34">
        <v>5116</v>
      </c>
      <c r="V509" s="34">
        <v>1795</v>
      </c>
      <c r="W509">
        <v>305</v>
      </c>
      <c r="X509">
        <v>2726</v>
      </c>
      <c r="Y509">
        <v>455</v>
      </c>
      <c r="Z509">
        <v>2204</v>
      </c>
      <c r="AA509">
        <v>332</v>
      </c>
      <c r="AB509">
        <v>20216</v>
      </c>
      <c r="AC509">
        <v>8740</v>
      </c>
      <c r="AD509">
        <v>1209</v>
      </c>
      <c r="AE509">
        <v>916</v>
      </c>
      <c r="AF509">
        <v>3117</v>
      </c>
      <c r="AG509">
        <v>1628</v>
      </c>
      <c r="AH509">
        <f t="shared" si="82"/>
        <v>1209</v>
      </c>
      <c r="AI509">
        <f t="shared" si="83"/>
        <v>916</v>
      </c>
      <c r="AJ509">
        <v>10091</v>
      </c>
      <c r="AK509">
        <v>6522</v>
      </c>
      <c r="AL509">
        <v>18792</v>
      </c>
      <c r="AM509">
        <v>7013</v>
      </c>
      <c r="AN509" s="22">
        <v>0</v>
      </c>
      <c r="AO509">
        <v>76</v>
      </c>
      <c r="AP509">
        <v>399</v>
      </c>
      <c r="AQ509">
        <v>223</v>
      </c>
      <c r="AR509">
        <v>17</v>
      </c>
      <c r="AS509" t="s">
        <v>11</v>
      </c>
      <c r="AT509">
        <f t="shared" si="86"/>
        <v>399</v>
      </c>
      <c r="AU509">
        <f t="shared" si="87"/>
        <v>223</v>
      </c>
      <c r="AV509" t="s">
        <v>11</v>
      </c>
      <c r="AW509" t="s">
        <v>11</v>
      </c>
      <c r="AX509">
        <v>4</v>
      </c>
      <c r="AY509">
        <v>2</v>
      </c>
      <c r="AZ509">
        <f t="shared" si="88"/>
        <v>399</v>
      </c>
      <c r="BA509">
        <f t="shared" si="89"/>
        <v>223</v>
      </c>
      <c r="BB509">
        <f t="shared" si="84"/>
        <v>0</v>
      </c>
      <c r="BC509">
        <f t="shared" si="85"/>
        <v>76</v>
      </c>
      <c r="BD509">
        <v>29</v>
      </c>
      <c r="BE509">
        <v>33</v>
      </c>
      <c r="BF509">
        <v>3</v>
      </c>
      <c r="BG509" t="s">
        <v>11</v>
      </c>
      <c r="BH509">
        <v>10</v>
      </c>
      <c r="BI509" t="s">
        <v>11</v>
      </c>
      <c r="BJ509">
        <v>33</v>
      </c>
      <c r="BK509" t="s">
        <v>11</v>
      </c>
      <c r="BL509">
        <v>27</v>
      </c>
      <c r="BM509" t="s">
        <v>11</v>
      </c>
      <c r="BN509">
        <v>14</v>
      </c>
      <c r="BO509" t="s">
        <v>11</v>
      </c>
      <c r="BP509">
        <f t="shared" si="80"/>
        <v>3</v>
      </c>
      <c r="BQ509" t="str">
        <f t="shared" si="90"/>
        <v>NoData</v>
      </c>
      <c r="BR509">
        <v>59</v>
      </c>
      <c r="BS509" t="s">
        <v>11</v>
      </c>
      <c r="BT509">
        <v>20</v>
      </c>
      <c r="BU509" t="s">
        <v>11</v>
      </c>
    </row>
    <row r="510" spans="1:73" x14ac:dyDescent="0.25">
      <c r="A510" s="5">
        <v>41306</v>
      </c>
      <c r="B510">
        <v>657</v>
      </c>
      <c r="C510">
        <v>283</v>
      </c>
      <c r="D510">
        <v>11</v>
      </c>
      <c r="E510">
        <v>6</v>
      </c>
      <c r="F510">
        <v>5042</v>
      </c>
      <c r="G510">
        <v>2528</v>
      </c>
      <c r="H510">
        <v>629</v>
      </c>
      <c r="I510">
        <v>339</v>
      </c>
      <c r="J510">
        <v>370</v>
      </c>
      <c r="K510">
        <v>265</v>
      </c>
      <c r="L510">
        <v>34440</v>
      </c>
      <c r="M510">
        <v>14607</v>
      </c>
      <c r="N510">
        <v>253</v>
      </c>
      <c r="O510">
        <v>167</v>
      </c>
      <c r="P510">
        <v>647</v>
      </c>
      <c r="Q510">
        <v>463</v>
      </c>
      <c r="R510">
        <v>19</v>
      </c>
      <c r="S510" t="s">
        <v>11</v>
      </c>
      <c r="T510" s="34">
        <v>55930</v>
      </c>
      <c r="U510" s="34">
        <v>21068</v>
      </c>
      <c r="V510" s="34">
        <v>2497</v>
      </c>
      <c r="W510">
        <v>424</v>
      </c>
      <c r="X510">
        <v>2599</v>
      </c>
      <c r="Y510">
        <v>434</v>
      </c>
      <c r="Z510">
        <v>2513</v>
      </c>
      <c r="AA510">
        <v>547</v>
      </c>
      <c r="AB510">
        <v>23896</v>
      </c>
      <c r="AC510">
        <v>13080</v>
      </c>
      <c r="AD510">
        <v>1410</v>
      </c>
      <c r="AE510">
        <v>1026</v>
      </c>
      <c r="AF510">
        <v>3916</v>
      </c>
      <c r="AG510">
        <v>2204</v>
      </c>
      <c r="AH510">
        <f t="shared" si="82"/>
        <v>1410</v>
      </c>
      <c r="AI510">
        <f t="shared" si="83"/>
        <v>1026</v>
      </c>
      <c r="AJ510">
        <v>10021</v>
      </c>
      <c r="AK510">
        <v>6096</v>
      </c>
      <c r="AL510">
        <v>20203</v>
      </c>
      <c r="AM510">
        <v>9787</v>
      </c>
      <c r="AN510" s="22">
        <v>9</v>
      </c>
      <c r="AO510">
        <v>101</v>
      </c>
      <c r="AP510">
        <v>507</v>
      </c>
      <c r="AQ510">
        <v>290</v>
      </c>
      <c r="AR510">
        <v>21</v>
      </c>
      <c r="AS510" t="s">
        <v>11</v>
      </c>
      <c r="AT510">
        <f t="shared" si="86"/>
        <v>507</v>
      </c>
      <c r="AU510">
        <f t="shared" si="87"/>
        <v>290</v>
      </c>
      <c r="AV510" t="s">
        <v>11</v>
      </c>
      <c r="AW510" t="s">
        <v>11</v>
      </c>
      <c r="AX510">
        <v>4</v>
      </c>
      <c r="AY510">
        <v>2</v>
      </c>
      <c r="AZ510">
        <f t="shared" si="88"/>
        <v>507</v>
      </c>
      <c r="BA510">
        <f t="shared" si="89"/>
        <v>290</v>
      </c>
      <c r="BB510">
        <f t="shared" si="84"/>
        <v>9</v>
      </c>
      <c r="BC510">
        <f t="shared" si="85"/>
        <v>101</v>
      </c>
      <c r="BD510">
        <v>34</v>
      </c>
      <c r="BE510">
        <v>29</v>
      </c>
      <c r="BF510">
        <v>5</v>
      </c>
      <c r="BG510" t="s">
        <v>11</v>
      </c>
      <c r="BH510">
        <v>13</v>
      </c>
      <c r="BI510" t="s">
        <v>11</v>
      </c>
      <c r="BJ510">
        <v>36</v>
      </c>
      <c r="BK510" t="s">
        <v>11</v>
      </c>
      <c r="BL510">
        <v>68</v>
      </c>
      <c r="BM510" t="s">
        <v>11</v>
      </c>
      <c r="BN510">
        <v>17</v>
      </c>
      <c r="BO510" t="s">
        <v>11</v>
      </c>
      <c r="BP510">
        <f t="shared" si="80"/>
        <v>5</v>
      </c>
      <c r="BQ510" t="str">
        <f t="shared" si="90"/>
        <v>NoData</v>
      </c>
      <c r="BR510">
        <v>46</v>
      </c>
      <c r="BS510" t="s">
        <v>11</v>
      </c>
      <c r="BT510">
        <v>19</v>
      </c>
      <c r="BU510" t="s">
        <v>11</v>
      </c>
    </row>
    <row r="511" spans="1:73" x14ac:dyDescent="0.25">
      <c r="A511" s="5">
        <v>41334</v>
      </c>
      <c r="B511">
        <v>2541</v>
      </c>
      <c r="C511">
        <v>1223</v>
      </c>
      <c r="D511">
        <v>15</v>
      </c>
      <c r="E511">
        <v>8</v>
      </c>
      <c r="F511">
        <v>6047</v>
      </c>
      <c r="G511">
        <v>3206</v>
      </c>
      <c r="H511">
        <v>1759</v>
      </c>
      <c r="I511">
        <v>947</v>
      </c>
      <c r="J511">
        <v>1231</v>
      </c>
      <c r="K511">
        <v>880</v>
      </c>
      <c r="L511">
        <v>51590</v>
      </c>
      <c r="M511">
        <v>27836</v>
      </c>
      <c r="N511">
        <v>345</v>
      </c>
      <c r="O511">
        <v>227</v>
      </c>
      <c r="P511">
        <v>66</v>
      </c>
      <c r="Q511">
        <v>47</v>
      </c>
      <c r="R511">
        <v>31</v>
      </c>
      <c r="S511" t="s">
        <v>11</v>
      </c>
      <c r="T511" s="34">
        <v>83250</v>
      </c>
      <c r="U511" s="34">
        <v>39723</v>
      </c>
      <c r="V511" s="34">
        <v>4901</v>
      </c>
      <c r="W511">
        <v>828</v>
      </c>
      <c r="X511">
        <v>5407</v>
      </c>
      <c r="Y511">
        <v>903</v>
      </c>
      <c r="Z511">
        <v>4097</v>
      </c>
      <c r="AA511">
        <v>1172</v>
      </c>
      <c r="AB511">
        <v>36717</v>
      </c>
      <c r="AC511">
        <v>25131</v>
      </c>
      <c r="AD511">
        <v>1677</v>
      </c>
      <c r="AE511">
        <v>911</v>
      </c>
      <c r="AF511">
        <v>7002</v>
      </c>
      <c r="AG511">
        <v>3877</v>
      </c>
      <c r="AH511">
        <f t="shared" si="82"/>
        <v>1677</v>
      </c>
      <c r="AI511">
        <f t="shared" si="83"/>
        <v>911</v>
      </c>
      <c r="AJ511">
        <v>13658</v>
      </c>
      <c r="AK511">
        <v>6867</v>
      </c>
      <c r="AL511">
        <v>37154</v>
      </c>
      <c r="AM511">
        <v>25632</v>
      </c>
      <c r="AN511" s="22">
        <v>93</v>
      </c>
      <c r="AO511">
        <v>190</v>
      </c>
      <c r="AP511">
        <v>931</v>
      </c>
      <c r="AQ511">
        <v>538</v>
      </c>
      <c r="AR511">
        <v>29</v>
      </c>
      <c r="AS511" t="s">
        <v>11</v>
      </c>
      <c r="AT511">
        <f t="shared" si="86"/>
        <v>931</v>
      </c>
      <c r="AU511">
        <f t="shared" si="87"/>
        <v>538</v>
      </c>
      <c r="AV511" t="s">
        <v>11</v>
      </c>
      <c r="AW511" t="s">
        <v>11</v>
      </c>
      <c r="AX511">
        <v>4</v>
      </c>
      <c r="AY511">
        <v>2</v>
      </c>
      <c r="AZ511">
        <f t="shared" si="88"/>
        <v>931</v>
      </c>
      <c r="BA511">
        <f t="shared" si="89"/>
        <v>538</v>
      </c>
      <c r="BB511">
        <f t="shared" si="84"/>
        <v>93</v>
      </c>
      <c r="BC511">
        <f t="shared" si="85"/>
        <v>190</v>
      </c>
      <c r="BD511">
        <v>81</v>
      </c>
      <c r="BE511">
        <v>70</v>
      </c>
      <c r="BF511">
        <v>6</v>
      </c>
      <c r="BG511" t="s">
        <v>11</v>
      </c>
      <c r="BH511">
        <v>18</v>
      </c>
      <c r="BI511" t="s">
        <v>11</v>
      </c>
      <c r="BJ511">
        <v>33</v>
      </c>
      <c r="BK511" t="s">
        <v>11</v>
      </c>
      <c r="BL511">
        <v>177</v>
      </c>
      <c r="BM511" t="s">
        <v>11</v>
      </c>
      <c r="BN511">
        <v>24</v>
      </c>
      <c r="BO511" t="s">
        <v>11</v>
      </c>
      <c r="BP511">
        <f t="shared" ref="BP511:BP549" si="91">BF511</f>
        <v>6</v>
      </c>
      <c r="BQ511" t="str">
        <f t="shared" si="90"/>
        <v>NoData</v>
      </c>
      <c r="BR511">
        <v>41</v>
      </c>
      <c r="BS511" t="s">
        <v>11</v>
      </c>
      <c r="BT511">
        <v>23</v>
      </c>
      <c r="BU511" t="s">
        <v>11</v>
      </c>
    </row>
    <row r="512" spans="1:73" x14ac:dyDescent="0.25">
      <c r="A512" s="5">
        <v>41365</v>
      </c>
      <c r="B512">
        <v>2195</v>
      </c>
      <c r="C512">
        <v>1180</v>
      </c>
      <c r="D512">
        <v>17</v>
      </c>
      <c r="E512">
        <v>9</v>
      </c>
      <c r="F512">
        <v>4677</v>
      </c>
      <c r="G512">
        <v>2684</v>
      </c>
      <c r="H512">
        <v>1791</v>
      </c>
      <c r="I512">
        <v>966</v>
      </c>
      <c r="J512">
        <v>914</v>
      </c>
      <c r="K512">
        <v>654</v>
      </c>
      <c r="L512">
        <v>66500</v>
      </c>
      <c r="M512">
        <v>41394</v>
      </c>
      <c r="N512">
        <v>373</v>
      </c>
      <c r="O512">
        <v>246</v>
      </c>
      <c r="P512">
        <v>33</v>
      </c>
      <c r="Q512">
        <v>24</v>
      </c>
      <c r="R512">
        <v>22</v>
      </c>
      <c r="S512" t="s">
        <v>11</v>
      </c>
      <c r="T512" s="34">
        <v>89060</v>
      </c>
      <c r="U512" s="34">
        <v>44495</v>
      </c>
      <c r="V512" s="34">
        <v>7462</v>
      </c>
      <c r="W512">
        <v>1257</v>
      </c>
      <c r="X512">
        <v>6571</v>
      </c>
      <c r="Y512">
        <v>1097</v>
      </c>
      <c r="Z512">
        <v>5119</v>
      </c>
      <c r="AA512">
        <v>1880</v>
      </c>
      <c r="AB512">
        <v>49165</v>
      </c>
      <c r="AC512">
        <v>37967</v>
      </c>
      <c r="AD512">
        <v>2628</v>
      </c>
      <c r="AE512">
        <v>1823</v>
      </c>
      <c r="AF512">
        <v>9386</v>
      </c>
      <c r="AG512">
        <v>5510</v>
      </c>
      <c r="AH512">
        <f t="shared" si="82"/>
        <v>2628</v>
      </c>
      <c r="AI512">
        <f t="shared" si="83"/>
        <v>1823</v>
      </c>
      <c r="AJ512">
        <v>19797</v>
      </c>
      <c r="AK512">
        <v>11855</v>
      </c>
      <c r="AL512">
        <v>45653</v>
      </c>
      <c r="AM512">
        <v>34530</v>
      </c>
      <c r="AN512" s="22">
        <v>94</v>
      </c>
      <c r="AO512">
        <v>201</v>
      </c>
      <c r="AP512">
        <v>1193</v>
      </c>
      <c r="AQ512">
        <v>706</v>
      </c>
      <c r="AR512">
        <v>31</v>
      </c>
      <c r="AS512" t="s">
        <v>11</v>
      </c>
      <c r="AT512">
        <f t="shared" si="86"/>
        <v>1193</v>
      </c>
      <c r="AU512">
        <f t="shared" si="87"/>
        <v>706</v>
      </c>
      <c r="AV512" t="s">
        <v>11</v>
      </c>
      <c r="AW512" t="s">
        <v>11</v>
      </c>
      <c r="AX512">
        <v>4</v>
      </c>
      <c r="AY512">
        <v>2</v>
      </c>
      <c r="AZ512">
        <f t="shared" si="88"/>
        <v>1193</v>
      </c>
      <c r="BA512">
        <f t="shared" si="89"/>
        <v>706</v>
      </c>
      <c r="BB512">
        <f t="shared" si="84"/>
        <v>94</v>
      </c>
      <c r="BC512">
        <f t="shared" si="85"/>
        <v>201</v>
      </c>
      <c r="BD512">
        <v>150</v>
      </c>
      <c r="BE512">
        <v>151</v>
      </c>
      <c r="BF512">
        <v>8</v>
      </c>
      <c r="BG512" t="s">
        <v>11</v>
      </c>
      <c r="BH512">
        <v>19</v>
      </c>
      <c r="BI512" t="s">
        <v>11</v>
      </c>
      <c r="BJ512">
        <v>37</v>
      </c>
      <c r="BK512" t="s">
        <v>11</v>
      </c>
      <c r="BL512">
        <v>177</v>
      </c>
      <c r="BM512" t="s">
        <v>11</v>
      </c>
      <c r="BN512">
        <v>25</v>
      </c>
      <c r="BO512" t="s">
        <v>11</v>
      </c>
      <c r="BP512">
        <f t="shared" si="91"/>
        <v>8</v>
      </c>
      <c r="BQ512" t="str">
        <f t="shared" si="90"/>
        <v>NoData</v>
      </c>
      <c r="BR512">
        <v>95</v>
      </c>
      <c r="BS512" t="s">
        <v>11</v>
      </c>
      <c r="BT512">
        <v>29</v>
      </c>
      <c r="BU512" t="s">
        <v>11</v>
      </c>
    </row>
    <row r="513" spans="1:73" x14ac:dyDescent="0.25">
      <c r="A513" s="5">
        <v>41395</v>
      </c>
      <c r="B513">
        <v>3294</v>
      </c>
      <c r="C513">
        <v>1859</v>
      </c>
      <c r="D513">
        <v>20</v>
      </c>
      <c r="E513">
        <v>11</v>
      </c>
      <c r="F513">
        <v>7540</v>
      </c>
      <c r="G513">
        <v>4221</v>
      </c>
      <c r="H513">
        <v>1946</v>
      </c>
      <c r="I513">
        <v>1049</v>
      </c>
      <c r="J513">
        <v>1038</v>
      </c>
      <c r="K513">
        <v>742</v>
      </c>
      <c r="L513">
        <v>73670</v>
      </c>
      <c r="M513">
        <v>45943</v>
      </c>
      <c r="N513">
        <v>455</v>
      </c>
      <c r="O513">
        <v>299</v>
      </c>
      <c r="P513">
        <v>630</v>
      </c>
      <c r="Q513">
        <v>450</v>
      </c>
      <c r="R513">
        <v>28</v>
      </c>
      <c r="S513" t="s">
        <v>11</v>
      </c>
      <c r="T513" s="34">
        <v>116100</v>
      </c>
      <c r="U513" s="34">
        <v>65329</v>
      </c>
      <c r="V513" s="34">
        <v>5259</v>
      </c>
      <c r="W513">
        <v>891</v>
      </c>
      <c r="X513">
        <v>5319</v>
      </c>
      <c r="Y513">
        <v>888</v>
      </c>
      <c r="Z513">
        <v>5939</v>
      </c>
      <c r="AA513">
        <v>2011</v>
      </c>
      <c r="AB513">
        <v>41208</v>
      </c>
      <c r="AC513">
        <v>30241</v>
      </c>
      <c r="AD513">
        <v>3299</v>
      </c>
      <c r="AE513">
        <v>2480</v>
      </c>
      <c r="AF513">
        <v>8099</v>
      </c>
      <c r="AG513">
        <v>4726</v>
      </c>
      <c r="AH513">
        <f t="shared" si="82"/>
        <v>3299</v>
      </c>
      <c r="AI513">
        <f t="shared" si="83"/>
        <v>2480</v>
      </c>
      <c r="AJ513">
        <v>24017</v>
      </c>
      <c r="AK513">
        <v>15349</v>
      </c>
      <c r="AL513">
        <v>44440</v>
      </c>
      <c r="AM513">
        <v>33228</v>
      </c>
      <c r="AN513" s="22">
        <v>110</v>
      </c>
      <c r="AO513">
        <v>242</v>
      </c>
      <c r="AP513">
        <v>1317</v>
      </c>
      <c r="AQ513">
        <v>787</v>
      </c>
      <c r="AR513">
        <v>38</v>
      </c>
      <c r="AS513" t="s">
        <v>11</v>
      </c>
      <c r="AT513">
        <f t="shared" si="86"/>
        <v>1317</v>
      </c>
      <c r="AU513">
        <f t="shared" si="87"/>
        <v>787</v>
      </c>
      <c r="AV513" t="s">
        <v>11</v>
      </c>
      <c r="AW513" t="s">
        <v>11</v>
      </c>
      <c r="AX513">
        <v>4</v>
      </c>
      <c r="AY513">
        <v>2</v>
      </c>
      <c r="AZ513">
        <f t="shared" si="88"/>
        <v>1317</v>
      </c>
      <c r="BA513">
        <f t="shared" si="89"/>
        <v>787</v>
      </c>
      <c r="BB513">
        <f t="shared" si="84"/>
        <v>110</v>
      </c>
      <c r="BC513">
        <f t="shared" si="85"/>
        <v>242</v>
      </c>
      <c r="BD513">
        <v>191</v>
      </c>
      <c r="BE513">
        <v>169</v>
      </c>
      <c r="BF513">
        <v>8</v>
      </c>
      <c r="BG513" t="s">
        <v>11</v>
      </c>
      <c r="BH513">
        <v>23</v>
      </c>
      <c r="BI513" t="s">
        <v>11</v>
      </c>
      <c r="BJ513">
        <v>37</v>
      </c>
      <c r="BK513" t="s">
        <v>11</v>
      </c>
      <c r="BL513">
        <v>108</v>
      </c>
      <c r="BM513" t="s">
        <v>11</v>
      </c>
      <c r="BN513">
        <v>31</v>
      </c>
      <c r="BO513" t="s">
        <v>11</v>
      </c>
      <c r="BP513">
        <f t="shared" si="91"/>
        <v>8</v>
      </c>
      <c r="BQ513" t="str">
        <f t="shared" si="90"/>
        <v>NoData</v>
      </c>
      <c r="BR513">
        <v>73</v>
      </c>
      <c r="BS513" t="s">
        <v>11</v>
      </c>
      <c r="BT513">
        <v>18</v>
      </c>
      <c r="BU513" t="s">
        <v>11</v>
      </c>
    </row>
    <row r="514" spans="1:73" x14ac:dyDescent="0.25">
      <c r="A514" s="5">
        <v>41426</v>
      </c>
      <c r="B514">
        <v>3719</v>
      </c>
      <c r="C514">
        <v>2002</v>
      </c>
      <c r="D514">
        <v>24</v>
      </c>
      <c r="E514">
        <v>13</v>
      </c>
      <c r="F514">
        <v>11200</v>
      </c>
      <c r="G514">
        <v>6239</v>
      </c>
      <c r="H514">
        <v>2035</v>
      </c>
      <c r="I514">
        <v>1097</v>
      </c>
      <c r="J514">
        <v>1199</v>
      </c>
      <c r="K514">
        <v>857</v>
      </c>
      <c r="L514">
        <v>75080</v>
      </c>
      <c r="M514">
        <v>48884</v>
      </c>
      <c r="N514">
        <v>553</v>
      </c>
      <c r="O514">
        <v>359</v>
      </c>
      <c r="P514">
        <v>936</v>
      </c>
      <c r="Q514">
        <v>669</v>
      </c>
      <c r="R514">
        <v>42</v>
      </c>
      <c r="S514" t="s">
        <v>11</v>
      </c>
      <c r="T514" s="34">
        <v>117500</v>
      </c>
      <c r="U514" s="34">
        <v>67037</v>
      </c>
      <c r="V514" s="34">
        <v>3628</v>
      </c>
      <c r="W514">
        <v>621</v>
      </c>
      <c r="X514">
        <v>4946</v>
      </c>
      <c r="Y514">
        <v>826</v>
      </c>
      <c r="Z514">
        <v>5380</v>
      </c>
      <c r="AA514">
        <v>1823</v>
      </c>
      <c r="AB514">
        <v>31602</v>
      </c>
      <c r="AC514">
        <v>22240</v>
      </c>
      <c r="AD514">
        <v>3141</v>
      </c>
      <c r="AE514">
        <v>2166</v>
      </c>
      <c r="AF514">
        <v>6647</v>
      </c>
      <c r="AG514">
        <v>3634</v>
      </c>
      <c r="AH514">
        <f t="shared" si="82"/>
        <v>3141</v>
      </c>
      <c r="AI514">
        <f t="shared" si="83"/>
        <v>2166</v>
      </c>
      <c r="AJ514">
        <v>26448</v>
      </c>
      <c r="AK514">
        <v>16090</v>
      </c>
      <c r="AL514">
        <v>42402</v>
      </c>
      <c r="AM514">
        <v>31135</v>
      </c>
      <c r="AN514" s="22">
        <v>0</v>
      </c>
      <c r="AO514">
        <v>205</v>
      </c>
      <c r="AP514">
        <v>796</v>
      </c>
      <c r="AQ514">
        <v>457</v>
      </c>
      <c r="AR514">
        <v>47</v>
      </c>
      <c r="AS514" t="s">
        <v>11</v>
      </c>
      <c r="AT514">
        <f t="shared" si="86"/>
        <v>796</v>
      </c>
      <c r="AU514">
        <f t="shared" si="87"/>
        <v>457</v>
      </c>
      <c r="AV514" t="s">
        <v>11</v>
      </c>
      <c r="AW514" t="s">
        <v>11</v>
      </c>
      <c r="AX514">
        <v>4</v>
      </c>
      <c r="AY514">
        <v>2</v>
      </c>
      <c r="AZ514">
        <f t="shared" si="88"/>
        <v>796</v>
      </c>
      <c r="BA514">
        <f t="shared" si="89"/>
        <v>457</v>
      </c>
      <c r="BB514">
        <f t="shared" si="84"/>
        <v>0</v>
      </c>
      <c r="BC514">
        <f t="shared" si="85"/>
        <v>205</v>
      </c>
      <c r="BD514">
        <v>210</v>
      </c>
      <c r="BE514">
        <v>191</v>
      </c>
      <c r="BF514">
        <v>10</v>
      </c>
      <c r="BG514" t="s">
        <v>11</v>
      </c>
      <c r="BH514">
        <v>28</v>
      </c>
      <c r="BI514" t="s">
        <v>11</v>
      </c>
      <c r="BJ514">
        <v>75</v>
      </c>
      <c r="BK514" t="s">
        <v>11</v>
      </c>
      <c r="BL514">
        <v>83</v>
      </c>
      <c r="BM514" t="s">
        <v>11</v>
      </c>
      <c r="BN514">
        <v>38</v>
      </c>
      <c r="BO514" t="s">
        <v>11</v>
      </c>
      <c r="BP514">
        <f t="shared" si="91"/>
        <v>10</v>
      </c>
      <c r="BQ514" t="str">
        <f t="shared" si="90"/>
        <v>NoData</v>
      </c>
      <c r="BR514">
        <v>27</v>
      </c>
      <c r="BS514" t="s">
        <v>11</v>
      </c>
      <c r="BT514">
        <v>11</v>
      </c>
      <c r="BU514" t="s">
        <v>11</v>
      </c>
    </row>
    <row r="515" spans="1:73" x14ac:dyDescent="0.25">
      <c r="A515" s="5">
        <v>41456</v>
      </c>
      <c r="B515">
        <v>3780</v>
      </c>
      <c r="C515">
        <v>2043</v>
      </c>
      <c r="D515">
        <v>28</v>
      </c>
      <c r="E515">
        <v>15</v>
      </c>
      <c r="F515">
        <v>11094</v>
      </c>
      <c r="G515">
        <v>6240</v>
      </c>
      <c r="H515">
        <v>2180</v>
      </c>
      <c r="I515">
        <v>1176</v>
      </c>
      <c r="J515">
        <v>851</v>
      </c>
      <c r="K515">
        <v>608</v>
      </c>
      <c r="L515">
        <v>70220</v>
      </c>
      <c r="M515">
        <v>44116</v>
      </c>
      <c r="N515">
        <v>603</v>
      </c>
      <c r="O515">
        <v>388</v>
      </c>
      <c r="P515">
        <v>732</v>
      </c>
      <c r="Q515">
        <v>523</v>
      </c>
      <c r="R515">
        <v>44</v>
      </c>
      <c r="S515" t="s">
        <v>11</v>
      </c>
      <c r="T515" s="34">
        <v>109200</v>
      </c>
      <c r="U515" s="34">
        <v>56603</v>
      </c>
      <c r="V515" s="34">
        <v>2490</v>
      </c>
      <c r="W515">
        <v>433</v>
      </c>
      <c r="X515">
        <v>4760</v>
      </c>
      <c r="Y515">
        <v>795</v>
      </c>
      <c r="Z515">
        <v>5000</v>
      </c>
      <c r="AA515">
        <v>1594</v>
      </c>
      <c r="AB515">
        <v>27483</v>
      </c>
      <c r="AC515">
        <v>17619</v>
      </c>
      <c r="AD515">
        <v>3573</v>
      </c>
      <c r="AE515">
        <v>2624</v>
      </c>
      <c r="AF515">
        <v>5951</v>
      </c>
      <c r="AG515">
        <v>3113</v>
      </c>
      <c r="AH515">
        <f t="shared" si="82"/>
        <v>3573</v>
      </c>
      <c r="AI515">
        <f t="shared" si="83"/>
        <v>2624</v>
      </c>
      <c r="AJ515">
        <v>26815</v>
      </c>
      <c r="AK515">
        <v>16573</v>
      </c>
      <c r="AL515">
        <v>35848</v>
      </c>
      <c r="AM515">
        <v>23624</v>
      </c>
      <c r="AN515" s="22">
        <v>22</v>
      </c>
      <c r="AO515">
        <v>242</v>
      </c>
      <c r="AP515">
        <v>323</v>
      </c>
      <c r="AQ515">
        <v>181</v>
      </c>
      <c r="AR515">
        <v>51</v>
      </c>
      <c r="AS515" t="s">
        <v>11</v>
      </c>
      <c r="AT515">
        <f t="shared" si="86"/>
        <v>323</v>
      </c>
      <c r="AU515">
        <f t="shared" si="87"/>
        <v>181</v>
      </c>
      <c r="AV515" t="s">
        <v>11</v>
      </c>
      <c r="AW515" t="s">
        <v>11</v>
      </c>
      <c r="AX515">
        <v>4</v>
      </c>
      <c r="AY515">
        <v>2</v>
      </c>
      <c r="AZ515">
        <f t="shared" si="88"/>
        <v>323</v>
      </c>
      <c r="BA515">
        <f t="shared" si="89"/>
        <v>181</v>
      </c>
      <c r="BB515">
        <f t="shared" si="84"/>
        <v>22</v>
      </c>
      <c r="BC515">
        <f t="shared" si="85"/>
        <v>242</v>
      </c>
      <c r="BD515">
        <v>203</v>
      </c>
      <c r="BE515">
        <v>134</v>
      </c>
      <c r="BF515">
        <v>12</v>
      </c>
      <c r="BG515" t="s">
        <v>11</v>
      </c>
      <c r="BH515">
        <v>31</v>
      </c>
      <c r="BI515" t="s">
        <v>11</v>
      </c>
      <c r="BJ515">
        <v>77</v>
      </c>
      <c r="BK515" t="s">
        <v>11</v>
      </c>
      <c r="BL515">
        <v>68</v>
      </c>
      <c r="BM515" t="s">
        <v>11</v>
      </c>
      <c r="BN515">
        <v>41</v>
      </c>
      <c r="BO515" t="s">
        <v>11</v>
      </c>
      <c r="BP515">
        <f t="shared" si="91"/>
        <v>12</v>
      </c>
      <c r="BQ515" t="str">
        <f t="shared" si="90"/>
        <v>NoData</v>
      </c>
      <c r="BR515">
        <v>0</v>
      </c>
      <c r="BS515" t="s">
        <v>11</v>
      </c>
      <c r="BT515">
        <v>0</v>
      </c>
      <c r="BU515" t="s">
        <v>11</v>
      </c>
    </row>
    <row r="516" spans="1:73" x14ac:dyDescent="0.25">
      <c r="A516" s="5">
        <v>41487</v>
      </c>
      <c r="B516">
        <v>2848</v>
      </c>
      <c r="C516">
        <v>1513</v>
      </c>
      <c r="D516">
        <v>23</v>
      </c>
      <c r="E516">
        <v>12</v>
      </c>
      <c r="F516">
        <v>6705</v>
      </c>
      <c r="G516">
        <v>3808</v>
      </c>
      <c r="H516">
        <v>1132</v>
      </c>
      <c r="I516">
        <v>611</v>
      </c>
      <c r="J516">
        <v>753</v>
      </c>
      <c r="K516">
        <v>538</v>
      </c>
      <c r="L516">
        <v>69950</v>
      </c>
      <c r="M516">
        <v>43460</v>
      </c>
      <c r="N516">
        <v>580</v>
      </c>
      <c r="O516">
        <v>374</v>
      </c>
      <c r="P516">
        <v>560</v>
      </c>
      <c r="Q516">
        <v>400</v>
      </c>
      <c r="R516">
        <v>35</v>
      </c>
      <c r="S516" t="s">
        <v>11</v>
      </c>
      <c r="T516" s="34">
        <v>109400</v>
      </c>
      <c r="U516" s="34">
        <v>58503</v>
      </c>
      <c r="V516" s="34">
        <v>4550</v>
      </c>
      <c r="W516">
        <v>776</v>
      </c>
      <c r="X516">
        <v>4179</v>
      </c>
      <c r="Y516">
        <v>698</v>
      </c>
      <c r="Z516">
        <v>3430</v>
      </c>
      <c r="AA516">
        <v>733</v>
      </c>
      <c r="AB516">
        <v>24480</v>
      </c>
      <c r="AC516">
        <v>15357</v>
      </c>
      <c r="AD516">
        <v>3090</v>
      </c>
      <c r="AE516">
        <v>1865</v>
      </c>
      <c r="AF516">
        <v>5159</v>
      </c>
      <c r="AG516">
        <v>2499</v>
      </c>
      <c r="AH516">
        <f t="shared" si="82"/>
        <v>3090</v>
      </c>
      <c r="AI516">
        <f t="shared" si="83"/>
        <v>1865</v>
      </c>
      <c r="AJ516">
        <v>20390</v>
      </c>
      <c r="AK516">
        <v>9767</v>
      </c>
      <c r="AL516">
        <v>38497</v>
      </c>
      <c r="AM516">
        <v>25036</v>
      </c>
      <c r="AN516" s="22">
        <v>0</v>
      </c>
      <c r="AO516">
        <v>217</v>
      </c>
      <c r="AP516">
        <v>447</v>
      </c>
      <c r="AQ516">
        <v>232</v>
      </c>
      <c r="AR516">
        <v>49</v>
      </c>
      <c r="AS516" t="s">
        <v>11</v>
      </c>
      <c r="AT516">
        <f t="shared" si="86"/>
        <v>447</v>
      </c>
      <c r="AU516">
        <f t="shared" si="87"/>
        <v>232</v>
      </c>
      <c r="AV516" t="s">
        <v>11</v>
      </c>
      <c r="AW516" t="s">
        <v>11</v>
      </c>
      <c r="AX516">
        <v>4</v>
      </c>
      <c r="AY516">
        <v>2</v>
      </c>
      <c r="AZ516">
        <f t="shared" si="88"/>
        <v>447</v>
      </c>
      <c r="BA516">
        <f t="shared" si="89"/>
        <v>232</v>
      </c>
      <c r="BB516">
        <f t="shared" si="84"/>
        <v>0</v>
      </c>
      <c r="BC516">
        <f t="shared" si="85"/>
        <v>217</v>
      </c>
      <c r="BD516">
        <v>185</v>
      </c>
      <c r="BE516">
        <v>129</v>
      </c>
      <c r="BF516">
        <v>13</v>
      </c>
      <c r="BG516" t="s">
        <v>11</v>
      </c>
      <c r="BH516">
        <v>29</v>
      </c>
      <c r="BI516" t="s">
        <v>11</v>
      </c>
      <c r="BJ516">
        <v>37</v>
      </c>
      <c r="BK516" t="s">
        <v>11</v>
      </c>
      <c r="BL516">
        <v>45</v>
      </c>
      <c r="BM516" t="s">
        <v>11</v>
      </c>
      <c r="BN516">
        <v>40</v>
      </c>
      <c r="BO516" t="s">
        <v>11</v>
      </c>
      <c r="BP516">
        <f t="shared" si="91"/>
        <v>13</v>
      </c>
      <c r="BQ516" t="str">
        <f t="shared" si="90"/>
        <v>NoData</v>
      </c>
      <c r="BR516">
        <v>28</v>
      </c>
      <c r="BS516" t="s">
        <v>11</v>
      </c>
      <c r="BT516">
        <v>0</v>
      </c>
      <c r="BU516" t="s">
        <v>11</v>
      </c>
    </row>
    <row r="517" spans="1:73" x14ac:dyDescent="0.25">
      <c r="A517" s="5">
        <v>41518</v>
      </c>
      <c r="B517">
        <v>1411</v>
      </c>
      <c r="C517">
        <v>762</v>
      </c>
      <c r="D517">
        <v>20</v>
      </c>
      <c r="E517">
        <v>11</v>
      </c>
      <c r="F517">
        <v>3482</v>
      </c>
      <c r="G517">
        <v>1953</v>
      </c>
      <c r="H517">
        <v>389</v>
      </c>
      <c r="I517">
        <v>211</v>
      </c>
      <c r="J517">
        <v>769</v>
      </c>
      <c r="K517">
        <v>550</v>
      </c>
      <c r="L517">
        <v>45020</v>
      </c>
      <c r="M517">
        <v>22331</v>
      </c>
      <c r="N517">
        <v>456</v>
      </c>
      <c r="O517">
        <v>296</v>
      </c>
      <c r="P517">
        <v>552</v>
      </c>
      <c r="Q517">
        <v>395</v>
      </c>
      <c r="R517">
        <v>30</v>
      </c>
      <c r="S517" t="s">
        <v>11</v>
      </c>
      <c r="T517" s="34">
        <v>86740</v>
      </c>
      <c r="U517" s="34">
        <v>38503</v>
      </c>
      <c r="V517" s="34">
        <v>3044</v>
      </c>
      <c r="W517">
        <v>521</v>
      </c>
      <c r="X517">
        <v>3116</v>
      </c>
      <c r="Y517">
        <v>520</v>
      </c>
      <c r="Z517">
        <v>4023</v>
      </c>
      <c r="AA517">
        <v>1021</v>
      </c>
      <c r="AB517">
        <v>24442</v>
      </c>
      <c r="AC517">
        <v>15993</v>
      </c>
      <c r="AD517">
        <v>2644</v>
      </c>
      <c r="AE517">
        <v>1527</v>
      </c>
      <c r="AF517">
        <v>5355</v>
      </c>
      <c r="AG517">
        <v>2718</v>
      </c>
      <c r="AH517">
        <f t="shared" si="82"/>
        <v>2644</v>
      </c>
      <c r="AI517">
        <f t="shared" si="83"/>
        <v>1527</v>
      </c>
      <c r="AJ517">
        <v>17830</v>
      </c>
      <c r="AK517">
        <v>8375</v>
      </c>
      <c r="AL517">
        <v>34424</v>
      </c>
      <c r="AM517">
        <v>23379</v>
      </c>
      <c r="AN517" s="22">
        <v>0</v>
      </c>
      <c r="AO517">
        <v>169</v>
      </c>
      <c r="AP517">
        <v>376</v>
      </c>
      <c r="AQ517">
        <v>209</v>
      </c>
      <c r="AR517">
        <v>38</v>
      </c>
      <c r="AS517" t="s">
        <v>11</v>
      </c>
      <c r="AT517">
        <f t="shared" si="86"/>
        <v>376</v>
      </c>
      <c r="AU517">
        <f t="shared" si="87"/>
        <v>209</v>
      </c>
      <c r="AV517" t="s">
        <v>11</v>
      </c>
      <c r="AW517" t="s">
        <v>11</v>
      </c>
      <c r="AX517">
        <v>4</v>
      </c>
      <c r="AY517">
        <v>2</v>
      </c>
      <c r="AZ517">
        <f t="shared" si="88"/>
        <v>376</v>
      </c>
      <c r="BA517">
        <f t="shared" si="89"/>
        <v>209</v>
      </c>
      <c r="BB517">
        <f t="shared" si="84"/>
        <v>0</v>
      </c>
      <c r="BC517">
        <f t="shared" si="85"/>
        <v>169</v>
      </c>
      <c r="BD517">
        <v>136</v>
      </c>
      <c r="BE517">
        <v>133</v>
      </c>
      <c r="BF517">
        <v>13</v>
      </c>
      <c r="BG517" t="s">
        <v>11</v>
      </c>
      <c r="BH517">
        <v>23</v>
      </c>
      <c r="BI517" t="s">
        <v>11</v>
      </c>
      <c r="BJ517">
        <v>35</v>
      </c>
      <c r="BK517" t="s">
        <v>11</v>
      </c>
      <c r="BL517">
        <v>39</v>
      </c>
      <c r="BM517" t="s">
        <v>11</v>
      </c>
      <c r="BN517">
        <v>31</v>
      </c>
      <c r="BO517" t="s">
        <v>11</v>
      </c>
      <c r="BP517">
        <f t="shared" si="91"/>
        <v>13</v>
      </c>
      <c r="BQ517" t="str">
        <f t="shared" si="90"/>
        <v>NoData</v>
      </c>
      <c r="BR517">
        <v>41</v>
      </c>
      <c r="BS517" t="s">
        <v>11</v>
      </c>
      <c r="BT517">
        <v>74</v>
      </c>
      <c r="BU517" t="s">
        <v>11</v>
      </c>
    </row>
    <row r="518" spans="1:73" x14ac:dyDescent="0.25">
      <c r="A518" s="5">
        <v>41548</v>
      </c>
      <c r="B518">
        <v>2576</v>
      </c>
      <c r="C518">
        <v>1317</v>
      </c>
      <c r="D518">
        <v>18</v>
      </c>
      <c r="E518">
        <v>10</v>
      </c>
      <c r="F518">
        <v>2970</v>
      </c>
      <c r="G518">
        <v>1624</v>
      </c>
      <c r="H518">
        <v>566</v>
      </c>
      <c r="I518">
        <v>307</v>
      </c>
      <c r="J518">
        <v>476</v>
      </c>
      <c r="K518">
        <v>340</v>
      </c>
      <c r="L518">
        <v>44380</v>
      </c>
      <c r="M518">
        <v>18212</v>
      </c>
      <c r="N518">
        <v>382</v>
      </c>
      <c r="O518">
        <v>252</v>
      </c>
      <c r="P518">
        <v>525</v>
      </c>
      <c r="Q518">
        <v>375</v>
      </c>
      <c r="R518">
        <v>19</v>
      </c>
      <c r="S518" t="s">
        <v>11</v>
      </c>
      <c r="T518" s="34">
        <v>74800</v>
      </c>
      <c r="U518" s="34">
        <v>26068</v>
      </c>
      <c r="V518" s="34">
        <v>4817</v>
      </c>
      <c r="W518">
        <v>815</v>
      </c>
      <c r="X518">
        <v>4425</v>
      </c>
      <c r="Y518">
        <v>739</v>
      </c>
      <c r="Z518">
        <v>4929</v>
      </c>
      <c r="AA518">
        <v>958</v>
      </c>
      <c r="AB518">
        <v>39741</v>
      </c>
      <c r="AC518">
        <v>27475</v>
      </c>
      <c r="AD518">
        <v>2767</v>
      </c>
      <c r="AE518">
        <v>2137</v>
      </c>
      <c r="AF518">
        <v>5930</v>
      </c>
      <c r="AG518">
        <v>3223</v>
      </c>
      <c r="AH518">
        <f t="shared" ref="AH518:AH580" si="92">AD518</f>
        <v>2767</v>
      </c>
      <c r="AI518">
        <f t="shared" ref="AI518:AI580" si="93">AE518</f>
        <v>2137</v>
      </c>
      <c r="AJ518">
        <v>18990</v>
      </c>
      <c r="AK518">
        <v>12113</v>
      </c>
      <c r="AL518">
        <v>31915</v>
      </c>
      <c r="AM518">
        <v>21234</v>
      </c>
      <c r="AN518" s="22">
        <v>0</v>
      </c>
      <c r="AO518">
        <v>141</v>
      </c>
      <c r="AP518">
        <v>676</v>
      </c>
      <c r="AQ518">
        <v>383</v>
      </c>
      <c r="AR518">
        <v>32</v>
      </c>
      <c r="AS518" t="s">
        <v>11</v>
      </c>
      <c r="AT518">
        <f t="shared" si="86"/>
        <v>676</v>
      </c>
      <c r="AU518">
        <f t="shared" si="87"/>
        <v>383</v>
      </c>
      <c r="AV518" t="s">
        <v>11</v>
      </c>
      <c r="AW518" t="s">
        <v>11</v>
      </c>
      <c r="AX518">
        <v>4</v>
      </c>
      <c r="AY518">
        <v>2</v>
      </c>
      <c r="AZ518">
        <f t="shared" si="88"/>
        <v>676</v>
      </c>
      <c r="BA518">
        <f t="shared" si="89"/>
        <v>383</v>
      </c>
      <c r="BB518">
        <f t="shared" ref="BB518:BB580" si="94">AN518</f>
        <v>0</v>
      </c>
      <c r="BC518">
        <f t="shared" ref="BC518:BC580" si="95">AO518</f>
        <v>141</v>
      </c>
      <c r="BD518">
        <v>75</v>
      </c>
      <c r="BE518">
        <v>60</v>
      </c>
      <c r="BF518">
        <v>10</v>
      </c>
      <c r="BG518" t="s">
        <v>11</v>
      </c>
      <c r="BH518">
        <v>19</v>
      </c>
      <c r="BI518" t="s">
        <v>11</v>
      </c>
      <c r="BJ518">
        <v>40</v>
      </c>
      <c r="BK518" t="s">
        <v>11</v>
      </c>
      <c r="BL518">
        <v>62</v>
      </c>
      <c r="BM518" t="s">
        <v>11</v>
      </c>
      <c r="BN518">
        <v>26</v>
      </c>
      <c r="BO518" t="s">
        <v>11</v>
      </c>
      <c r="BP518">
        <f t="shared" si="91"/>
        <v>10</v>
      </c>
      <c r="BQ518" t="str">
        <f t="shared" si="90"/>
        <v>NoData</v>
      </c>
      <c r="BR518">
        <v>84</v>
      </c>
      <c r="BS518" t="s">
        <v>11</v>
      </c>
      <c r="BT518">
        <v>44</v>
      </c>
      <c r="BU518" t="s">
        <v>11</v>
      </c>
    </row>
    <row r="519" spans="1:73" x14ac:dyDescent="0.25">
      <c r="A519" s="5">
        <v>41579</v>
      </c>
      <c r="B519">
        <v>1752</v>
      </c>
      <c r="C519">
        <v>886</v>
      </c>
      <c r="D519">
        <v>16</v>
      </c>
      <c r="E519">
        <v>9</v>
      </c>
      <c r="F519">
        <v>548</v>
      </c>
      <c r="G519">
        <v>333</v>
      </c>
      <c r="H519">
        <v>1022</v>
      </c>
      <c r="I519">
        <v>551</v>
      </c>
      <c r="J519">
        <v>3</v>
      </c>
      <c r="K519">
        <v>2</v>
      </c>
      <c r="L519">
        <v>30700</v>
      </c>
      <c r="M519">
        <v>8717</v>
      </c>
      <c r="N519">
        <v>271</v>
      </c>
      <c r="O519">
        <v>180</v>
      </c>
      <c r="P519">
        <v>0</v>
      </c>
      <c r="Q519">
        <v>0</v>
      </c>
      <c r="R519">
        <v>1</v>
      </c>
      <c r="S519" t="s">
        <v>11</v>
      </c>
      <c r="T519" s="34">
        <v>42820</v>
      </c>
      <c r="U519" s="34">
        <v>695</v>
      </c>
      <c r="V519" s="34">
        <v>3316</v>
      </c>
      <c r="W519">
        <v>561</v>
      </c>
      <c r="X519">
        <v>2929</v>
      </c>
      <c r="Y519">
        <v>489</v>
      </c>
      <c r="Z519">
        <v>3298</v>
      </c>
      <c r="AA519">
        <v>155</v>
      </c>
      <c r="AB519">
        <v>25429</v>
      </c>
      <c r="AC519">
        <v>12731</v>
      </c>
      <c r="AD519">
        <v>1852</v>
      </c>
      <c r="AE519">
        <v>1616</v>
      </c>
      <c r="AF519">
        <v>3696</v>
      </c>
      <c r="AG519">
        <v>1833</v>
      </c>
      <c r="AH519">
        <f t="shared" si="92"/>
        <v>1852</v>
      </c>
      <c r="AI519">
        <f t="shared" si="93"/>
        <v>1616</v>
      </c>
      <c r="AJ519">
        <v>11523</v>
      </c>
      <c r="AK519">
        <v>8228</v>
      </c>
      <c r="AL519">
        <v>18448</v>
      </c>
      <c r="AM519">
        <v>8108</v>
      </c>
      <c r="AN519" s="22">
        <v>0</v>
      </c>
      <c r="AO519">
        <v>102</v>
      </c>
      <c r="AP519">
        <v>494</v>
      </c>
      <c r="AQ519">
        <v>269</v>
      </c>
      <c r="AR519">
        <v>23</v>
      </c>
      <c r="AS519" t="s">
        <v>11</v>
      </c>
      <c r="AT519">
        <f t="shared" si="86"/>
        <v>494</v>
      </c>
      <c r="AU519">
        <f t="shared" si="87"/>
        <v>269</v>
      </c>
      <c r="AV519" t="s">
        <v>11</v>
      </c>
      <c r="AW519" t="s">
        <v>11</v>
      </c>
      <c r="AX519">
        <v>4</v>
      </c>
      <c r="AY519">
        <v>2</v>
      </c>
      <c r="AZ519">
        <f t="shared" si="88"/>
        <v>494</v>
      </c>
      <c r="BA519">
        <f t="shared" si="89"/>
        <v>269</v>
      </c>
      <c r="BB519">
        <f t="shared" si="94"/>
        <v>0</v>
      </c>
      <c r="BC519">
        <f t="shared" si="95"/>
        <v>102</v>
      </c>
      <c r="BD519">
        <v>31</v>
      </c>
      <c r="BE519">
        <v>48</v>
      </c>
      <c r="BF519">
        <v>9</v>
      </c>
      <c r="BG519" t="s">
        <v>11</v>
      </c>
      <c r="BH519">
        <v>14</v>
      </c>
      <c r="BI519" t="s">
        <v>11</v>
      </c>
      <c r="BJ519">
        <v>39</v>
      </c>
      <c r="BK519" t="s">
        <v>11</v>
      </c>
      <c r="BL519">
        <v>52</v>
      </c>
      <c r="BM519" t="s">
        <v>11</v>
      </c>
      <c r="BN519">
        <v>19</v>
      </c>
      <c r="BO519" t="s">
        <v>11</v>
      </c>
      <c r="BP519">
        <f t="shared" si="91"/>
        <v>9</v>
      </c>
      <c r="BQ519" t="str">
        <f t="shared" si="90"/>
        <v>NoData</v>
      </c>
      <c r="BR519">
        <v>41</v>
      </c>
      <c r="BS519" t="s">
        <v>11</v>
      </c>
      <c r="BT519">
        <v>25</v>
      </c>
      <c r="BU519" t="s">
        <v>11</v>
      </c>
    </row>
    <row r="520" spans="1:73" x14ac:dyDescent="0.25">
      <c r="A520" s="5">
        <v>41609</v>
      </c>
      <c r="B520">
        <v>1212</v>
      </c>
      <c r="C520">
        <v>655</v>
      </c>
      <c r="D520">
        <v>14</v>
      </c>
      <c r="E520">
        <v>8</v>
      </c>
      <c r="F520">
        <v>816</v>
      </c>
      <c r="G520">
        <v>494</v>
      </c>
      <c r="H520">
        <v>1382</v>
      </c>
      <c r="I520">
        <v>744</v>
      </c>
      <c r="J520">
        <v>300</v>
      </c>
      <c r="K520">
        <v>214</v>
      </c>
      <c r="L520">
        <v>30630</v>
      </c>
      <c r="M520">
        <v>9556</v>
      </c>
      <c r="N520">
        <v>267</v>
      </c>
      <c r="O520">
        <v>174</v>
      </c>
      <c r="P520">
        <v>0</v>
      </c>
      <c r="Q520">
        <v>0</v>
      </c>
      <c r="R520">
        <v>0</v>
      </c>
      <c r="S520" t="s">
        <v>11</v>
      </c>
      <c r="T520" s="34">
        <v>49040</v>
      </c>
      <c r="U520" s="34">
        <v>10427</v>
      </c>
      <c r="V520" s="34">
        <v>2608</v>
      </c>
      <c r="W520">
        <v>443</v>
      </c>
      <c r="X520">
        <v>2535</v>
      </c>
      <c r="Y520">
        <v>423</v>
      </c>
      <c r="Z520">
        <v>2645</v>
      </c>
      <c r="AA520">
        <v>-21</v>
      </c>
      <c r="AB520">
        <v>19892</v>
      </c>
      <c r="AC520">
        <v>9797</v>
      </c>
      <c r="AD520">
        <v>1231</v>
      </c>
      <c r="AE520">
        <v>628</v>
      </c>
      <c r="AF520">
        <v>3314</v>
      </c>
      <c r="AG520">
        <v>1430</v>
      </c>
      <c r="AH520">
        <f t="shared" si="92"/>
        <v>1231</v>
      </c>
      <c r="AI520">
        <f t="shared" si="93"/>
        <v>628</v>
      </c>
      <c r="AJ520">
        <v>9331</v>
      </c>
      <c r="AK520">
        <v>4050</v>
      </c>
      <c r="AL520">
        <v>11118</v>
      </c>
      <c r="AM520">
        <v>1331</v>
      </c>
      <c r="AN520" s="22">
        <v>151</v>
      </c>
      <c r="AO520">
        <v>194</v>
      </c>
      <c r="AP520">
        <v>449</v>
      </c>
      <c r="AQ520">
        <v>229</v>
      </c>
      <c r="AR520">
        <v>23</v>
      </c>
      <c r="AS520" t="s">
        <v>11</v>
      </c>
      <c r="AT520">
        <f t="shared" si="86"/>
        <v>449</v>
      </c>
      <c r="AU520">
        <f t="shared" si="87"/>
        <v>229</v>
      </c>
      <c r="AV520" t="s">
        <v>11</v>
      </c>
      <c r="AW520" t="s">
        <v>11</v>
      </c>
      <c r="AX520">
        <v>4</v>
      </c>
      <c r="AY520">
        <v>2</v>
      </c>
      <c r="AZ520">
        <f t="shared" si="88"/>
        <v>449</v>
      </c>
      <c r="BA520">
        <f t="shared" si="89"/>
        <v>229</v>
      </c>
      <c r="BB520">
        <f t="shared" si="94"/>
        <v>151</v>
      </c>
      <c r="BC520">
        <f t="shared" si="95"/>
        <v>194</v>
      </c>
      <c r="BD520">
        <v>27</v>
      </c>
      <c r="BE520">
        <v>26</v>
      </c>
      <c r="BF520">
        <v>6</v>
      </c>
      <c r="BG520" t="s">
        <v>11</v>
      </c>
      <c r="BH520">
        <v>14</v>
      </c>
      <c r="BI520" t="s">
        <v>11</v>
      </c>
      <c r="BJ520">
        <v>0</v>
      </c>
      <c r="BK520" t="s">
        <v>11</v>
      </c>
      <c r="BL520">
        <v>14</v>
      </c>
      <c r="BM520" t="s">
        <v>11</v>
      </c>
      <c r="BN520">
        <v>18</v>
      </c>
      <c r="BO520" t="s">
        <v>11</v>
      </c>
      <c r="BP520">
        <f t="shared" si="91"/>
        <v>6</v>
      </c>
      <c r="BQ520" t="str">
        <f t="shared" si="90"/>
        <v>NoData</v>
      </c>
      <c r="BR520">
        <v>103</v>
      </c>
      <c r="BS520" t="s">
        <v>11</v>
      </c>
      <c r="BT520">
        <v>19</v>
      </c>
      <c r="BU520" t="s">
        <v>11</v>
      </c>
    </row>
    <row r="521" spans="1:73" x14ac:dyDescent="0.25">
      <c r="A521" s="5">
        <v>41640</v>
      </c>
      <c r="B521">
        <v>1943</v>
      </c>
      <c r="C521">
        <v>1049</v>
      </c>
      <c r="D521">
        <v>12</v>
      </c>
      <c r="E521">
        <v>6</v>
      </c>
      <c r="F521">
        <v>1852</v>
      </c>
      <c r="G521">
        <v>1064</v>
      </c>
      <c r="H521">
        <v>485</v>
      </c>
      <c r="I521">
        <v>263</v>
      </c>
      <c r="J521">
        <v>770</v>
      </c>
      <c r="K521">
        <v>551</v>
      </c>
      <c r="L521">
        <v>29640</v>
      </c>
      <c r="M521">
        <v>8304</v>
      </c>
      <c r="N521">
        <v>206</v>
      </c>
      <c r="O521">
        <v>139</v>
      </c>
      <c r="P521">
        <v>0</v>
      </c>
      <c r="Q521">
        <v>0</v>
      </c>
      <c r="R521">
        <v>8</v>
      </c>
      <c r="S521" t="s">
        <v>11</v>
      </c>
      <c r="T521" s="34">
        <v>43700</v>
      </c>
      <c r="U521" s="34">
        <v>7695</v>
      </c>
      <c r="V521" s="34">
        <v>2276</v>
      </c>
      <c r="W521">
        <v>386</v>
      </c>
      <c r="X521">
        <v>2966</v>
      </c>
      <c r="Y521">
        <v>495</v>
      </c>
      <c r="Z521">
        <v>2680</v>
      </c>
      <c r="AA521">
        <v>166</v>
      </c>
      <c r="AB521">
        <v>20644</v>
      </c>
      <c r="AC521">
        <v>13176</v>
      </c>
      <c r="AD521">
        <v>1524</v>
      </c>
      <c r="AE521">
        <v>342</v>
      </c>
      <c r="AF521">
        <v>3951</v>
      </c>
      <c r="AG521">
        <v>2017</v>
      </c>
      <c r="AH521">
        <f t="shared" si="92"/>
        <v>1524</v>
      </c>
      <c r="AI521">
        <f t="shared" si="93"/>
        <v>342</v>
      </c>
      <c r="AJ521">
        <v>11785</v>
      </c>
      <c r="AK521">
        <v>2922</v>
      </c>
      <c r="AL521">
        <v>21883</v>
      </c>
      <c r="AM521">
        <v>11348</v>
      </c>
      <c r="AN521" s="22">
        <v>106</v>
      </c>
      <c r="AO521">
        <v>136</v>
      </c>
      <c r="AP521">
        <v>542</v>
      </c>
      <c r="AQ521">
        <v>304</v>
      </c>
      <c r="AR521">
        <v>8</v>
      </c>
      <c r="AS521" t="s">
        <v>11</v>
      </c>
      <c r="AT521">
        <f t="shared" si="86"/>
        <v>542</v>
      </c>
      <c r="AU521">
        <f t="shared" si="87"/>
        <v>304</v>
      </c>
      <c r="AV521" t="s">
        <v>11</v>
      </c>
      <c r="AW521" t="s">
        <v>11</v>
      </c>
      <c r="AX521">
        <v>4</v>
      </c>
      <c r="AY521">
        <v>2</v>
      </c>
      <c r="AZ521">
        <f t="shared" si="88"/>
        <v>542</v>
      </c>
      <c r="BA521">
        <f t="shared" si="89"/>
        <v>304</v>
      </c>
      <c r="BB521">
        <f t="shared" si="94"/>
        <v>106</v>
      </c>
      <c r="BC521">
        <f t="shared" si="95"/>
        <v>136</v>
      </c>
      <c r="BD521">
        <v>37</v>
      </c>
      <c r="BE521">
        <v>37</v>
      </c>
      <c r="BF521">
        <v>6</v>
      </c>
      <c r="BG521" t="s">
        <v>11</v>
      </c>
      <c r="BH521">
        <v>10</v>
      </c>
      <c r="BI521" t="s">
        <v>11</v>
      </c>
      <c r="BJ521">
        <v>38</v>
      </c>
      <c r="BK521" t="s">
        <v>11</v>
      </c>
      <c r="BL521">
        <v>44</v>
      </c>
      <c r="BM521" t="s">
        <v>11</v>
      </c>
      <c r="BN521">
        <v>15</v>
      </c>
      <c r="BO521" t="s">
        <v>11</v>
      </c>
      <c r="BP521">
        <f t="shared" si="91"/>
        <v>6</v>
      </c>
      <c r="BQ521" t="str">
        <f t="shared" si="90"/>
        <v>NoData</v>
      </c>
      <c r="BR521">
        <v>104</v>
      </c>
      <c r="BS521" t="s">
        <v>11</v>
      </c>
      <c r="BT521">
        <v>19</v>
      </c>
      <c r="BU521" t="s">
        <v>11</v>
      </c>
    </row>
    <row r="522" spans="1:73" x14ac:dyDescent="0.25">
      <c r="A522" s="5">
        <v>41671</v>
      </c>
      <c r="B522">
        <v>1951</v>
      </c>
      <c r="C522">
        <v>990</v>
      </c>
      <c r="D522">
        <v>9</v>
      </c>
      <c r="E522">
        <v>5</v>
      </c>
      <c r="F522">
        <v>6022</v>
      </c>
      <c r="G522">
        <v>2969</v>
      </c>
      <c r="H522">
        <v>1097</v>
      </c>
      <c r="I522">
        <v>592</v>
      </c>
      <c r="J522">
        <v>814</v>
      </c>
      <c r="K522">
        <v>582</v>
      </c>
      <c r="L522">
        <v>37850</v>
      </c>
      <c r="M522">
        <v>17417</v>
      </c>
      <c r="N522">
        <v>257</v>
      </c>
      <c r="O522">
        <v>169</v>
      </c>
      <c r="P522">
        <v>656</v>
      </c>
      <c r="Q522">
        <v>469</v>
      </c>
      <c r="R522">
        <v>16</v>
      </c>
      <c r="S522" t="s">
        <v>11</v>
      </c>
      <c r="T522" s="34">
        <v>58150</v>
      </c>
      <c r="U522" s="34">
        <v>19634</v>
      </c>
      <c r="V522" s="34">
        <v>2820</v>
      </c>
      <c r="W522">
        <v>478</v>
      </c>
      <c r="X522">
        <v>2632</v>
      </c>
      <c r="Y522">
        <v>440</v>
      </c>
      <c r="Z522">
        <v>3332</v>
      </c>
      <c r="AA522">
        <v>606</v>
      </c>
      <c r="AB522">
        <v>23891</v>
      </c>
      <c r="AC522">
        <v>14618</v>
      </c>
      <c r="AD522">
        <v>1637</v>
      </c>
      <c r="AE522">
        <v>615</v>
      </c>
      <c r="AF522">
        <v>4730</v>
      </c>
      <c r="AG522">
        <v>2410</v>
      </c>
      <c r="AH522">
        <f t="shared" si="92"/>
        <v>1637</v>
      </c>
      <c r="AI522">
        <f t="shared" si="93"/>
        <v>615</v>
      </c>
      <c r="AJ522">
        <v>10921</v>
      </c>
      <c r="AK522">
        <v>3216</v>
      </c>
      <c r="AL522">
        <v>23213</v>
      </c>
      <c r="AM522">
        <v>13267</v>
      </c>
      <c r="AN522" s="22">
        <v>49</v>
      </c>
      <c r="AO522">
        <v>119</v>
      </c>
      <c r="AP522">
        <v>624</v>
      </c>
      <c r="AQ522">
        <v>344</v>
      </c>
      <c r="AR522">
        <v>11</v>
      </c>
      <c r="AS522" t="s">
        <v>11</v>
      </c>
      <c r="AT522">
        <f t="shared" si="86"/>
        <v>624</v>
      </c>
      <c r="AU522">
        <f t="shared" si="87"/>
        <v>344</v>
      </c>
      <c r="AV522" t="s">
        <v>11</v>
      </c>
      <c r="AW522" t="s">
        <v>11</v>
      </c>
      <c r="AX522">
        <v>4</v>
      </c>
      <c r="AY522">
        <v>2</v>
      </c>
      <c r="AZ522">
        <f t="shared" si="88"/>
        <v>624</v>
      </c>
      <c r="BA522">
        <f t="shared" si="89"/>
        <v>344</v>
      </c>
      <c r="BB522">
        <f t="shared" si="94"/>
        <v>49</v>
      </c>
      <c r="BC522">
        <f t="shared" si="95"/>
        <v>119</v>
      </c>
      <c r="BD522">
        <v>42</v>
      </c>
      <c r="BE522">
        <v>42</v>
      </c>
      <c r="BF522">
        <v>8</v>
      </c>
      <c r="BG522" t="s">
        <v>11</v>
      </c>
      <c r="BH522">
        <v>12</v>
      </c>
      <c r="BI522" t="s">
        <v>11</v>
      </c>
      <c r="BJ522">
        <v>33</v>
      </c>
      <c r="BK522" t="s">
        <v>11</v>
      </c>
      <c r="BL522">
        <v>35</v>
      </c>
      <c r="BM522" t="s">
        <v>11</v>
      </c>
      <c r="BN522">
        <v>18</v>
      </c>
      <c r="BO522" t="s">
        <v>11</v>
      </c>
      <c r="BP522">
        <f t="shared" si="91"/>
        <v>8</v>
      </c>
      <c r="BQ522" t="str">
        <f t="shared" si="90"/>
        <v>NoData</v>
      </c>
      <c r="BR522">
        <v>56</v>
      </c>
      <c r="BS522" t="s">
        <v>11</v>
      </c>
      <c r="BT522">
        <v>29</v>
      </c>
      <c r="BU522" t="s">
        <v>11</v>
      </c>
    </row>
    <row r="523" spans="1:73" x14ac:dyDescent="0.25">
      <c r="A523" s="5">
        <v>41699</v>
      </c>
      <c r="B523">
        <v>2924</v>
      </c>
      <c r="C523">
        <v>1408</v>
      </c>
      <c r="D523">
        <v>18</v>
      </c>
      <c r="E523">
        <v>10</v>
      </c>
      <c r="F523">
        <v>5343</v>
      </c>
      <c r="G523">
        <v>2857</v>
      </c>
      <c r="H523">
        <v>1800</v>
      </c>
      <c r="I523">
        <v>970</v>
      </c>
      <c r="J523">
        <v>1067</v>
      </c>
      <c r="K523">
        <v>763</v>
      </c>
      <c r="L523">
        <v>50870</v>
      </c>
      <c r="M523">
        <v>29448</v>
      </c>
      <c r="N523">
        <v>351</v>
      </c>
      <c r="O523">
        <v>227</v>
      </c>
      <c r="P523">
        <v>53</v>
      </c>
      <c r="Q523">
        <v>38</v>
      </c>
      <c r="R523">
        <v>28</v>
      </c>
      <c r="S523" t="s">
        <v>11</v>
      </c>
      <c r="T523" s="34">
        <v>80520</v>
      </c>
      <c r="U523" s="34">
        <v>36211</v>
      </c>
      <c r="V523" s="34">
        <v>5812</v>
      </c>
      <c r="W523">
        <v>980</v>
      </c>
      <c r="X523">
        <v>5442</v>
      </c>
      <c r="Y523">
        <v>909</v>
      </c>
      <c r="Z523">
        <v>3892</v>
      </c>
      <c r="AA523">
        <v>1107</v>
      </c>
      <c r="AB523">
        <v>37855</v>
      </c>
      <c r="AC523">
        <v>26614</v>
      </c>
      <c r="AD523">
        <v>1779</v>
      </c>
      <c r="AE523">
        <v>1121</v>
      </c>
      <c r="AF523">
        <v>7116</v>
      </c>
      <c r="AG523">
        <v>4043</v>
      </c>
      <c r="AH523">
        <f t="shared" si="92"/>
        <v>1779</v>
      </c>
      <c r="AI523">
        <f t="shared" si="93"/>
        <v>1121</v>
      </c>
      <c r="AJ523">
        <v>14277</v>
      </c>
      <c r="AK523">
        <v>8050</v>
      </c>
      <c r="AL523">
        <v>36153</v>
      </c>
      <c r="AM523">
        <v>24549</v>
      </c>
      <c r="AN523" s="22">
        <v>82</v>
      </c>
      <c r="AO523">
        <v>171</v>
      </c>
      <c r="AP523">
        <v>951</v>
      </c>
      <c r="AQ523">
        <v>558</v>
      </c>
      <c r="AR523">
        <v>14</v>
      </c>
      <c r="AS523" t="s">
        <v>11</v>
      </c>
      <c r="AT523">
        <f t="shared" si="86"/>
        <v>951</v>
      </c>
      <c r="AU523">
        <f t="shared" si="87"/>
        <v>558</v>
      </c>
      <c r="AV523" t="s">
        <v>11</v>
      </c>
      <c r="AW523" t="s">
        <v>11</v>
      </c>
      <c r="AX523">
        <v>4</v>
      </c>
      <c r="AY523">
        <v>2</v>
      </c>
      <c r="AZ523">
        <f t="shared" si="88"/>
        <v>951</v>
      </c>
      <c r="BA523">
        <f t="shared" si="89"/>
        <v>558</v>
      </c>
      <c r="BB523">
        <f t="shared" si="94"/>
        <v>82</v>
      </c>
      <c r="BC523">
        <f t="shared" si="95"/>
        <v>171</v>
      </c>
      <c r="BD523">
        <v>92</v>
      </c>
      <c r="BE523">
        <v>92</v>
      </c>
      <c r="BF523">
        <v>11</v>
      </c>
      <c r="BG523" t="s">
        <v>11</v>
      </c>
      <c r="BH523">
        <v>17</v>
      </c>
      <c r="BI523" t="s">
        <v>11</v>
      </c>
      <c r="BJ523">
        <v>27</v>
      </c>
      <c r="BK523" t="s">
        <v>11</v>
      </c>
      <c r="BL523">
        <v>189</v>
      </c>
      <c r="BM523" t="s">
        <v>11</v>
      </c>
      <c r="BN523">
        <v>25</v>
      </c>
      <c r="BO523" t="s">
        <v>11</v>
      </c>
      <c r="BP523">
        <f t="shared" si="91"/>
        <v>11</v>
      </c>
      <c r="BQ523" t="str">
        <f t="shared" si="90"/>
        <v>NoData</v>
      </c>
      <c r="BR523">
        <v>100</v>
      </c>
      <c r="BS523" t="s">
        <v>11</v>
      </c>
      <c r="BT523">
        <v>28</v>
      </c>
      <c r="BU523" t="s">
        <v>11</v>
      </c>
    </row>
    <row r="524" spans="1:73" x14ac:dyDescent="0.25">
      <c r="A524" s="5">
        <v>41730</v>
      </c>
      <c r="B524">
        <v>3375</v>
      </c>
      <c r="C524">
        <v>1878</v>
      </c>
      <c r="D524">
        <v>18</v>
      </c>
      <c r="E524">
        <v>10</v>
      </c>
      <c r="F524">
        <v>4421</v>
      </c>
      <c r="G524">
        <v>2449</v>
      </c>
      <c r="H524">
        <v>1808</v>
      </c>
      <c r="I524">
        <v>975</v>
      </c>
      <c r="J524">
        <v>715</v>
      </c>
      <c r="K524">
        <v>511</v>
      </c>
      <c r="L524">
        <v>62990</v>
      </c>
      <c r="M524">
        <v>39550</v>
      </c>
      <c r="N524">
        <v>379</v>
      </c>
      <c r="O524">
        <v>248</v>
      </c>
      <c r="P524">
        <v>119</v>
      </c>
      <c r="Q524">
        <v>85</v>
      </c>
      <c r="R524">
        <v>32</v>
      </c>
      <c r="S524" t="s">
        <v>11</v>
      </c>
      <c r="T524" s="34">
        <v>94280</v>
      </c>
      <c r="U524" s="34">
        <v>49298</v>
      </c>
      <c r="V524" s="34">
        <v>7720</v>
      </c>
      <c r="W524">
        <v>1300</v>
      </c>
      <c r="X524">
        <v>5721</v>
      </c>
      <c r="Y524">
        <v>955</v>
      </c>
      <c r="Z524">
        <v>4623</v>
      </c>
      <c r="AA524">
        <v>1632</v>
      </c>
      <c r="AB524">
        <v>45270</v>
      </c>
      <c r="AC524">
        <v>33767</v>
      </c>
      <c r="AD524">
        <v>2532</v>
      </c>
      <c r="AE524">
        <v>2094</v>
      </c>
      <c r="AF524">
        <v>8807</v>
      </c>
      <c r="AG524">
        <v>5303</v>
      </c>
      <c r="AH524">
        <f t="shared" si="92"/>
        <v>2532</v>
      </c>
      <c r="AI524">
        <f t="shared" si="93"/>
        <v>2094</v>
      </c>
      <c r="AJ524">
        <v>18083</v>
      </c>
      <c r="AK524">
        <v>12598</v>
      </c>
      <c r="AL524">
        <v>42778</v>
      </c>
      <c r="AM524">
        <v>32596</v>
      </c>
      <c r="AN524" s="22">
        <v>78</v>
      </c>
      <c r="AO524">
        <v>179</v>
      </c>
      <c r="AP524">
        <v>1331</v>
      </c>
      <c r="AQ524">
        <v>799</v>
      </c>
      <c r="AR524">
        <v>15</v>
      </c>
      <c r="AS524" t="s">
        <v>11</v>
      </c>
      <c r="AT524">
        <f t="shared" si="86"/>
        <v>1331</v>
      </c>
      <c r="AU524">
        <f t="shared" si="87"/>
        <v>799</v>
      </c>
      <c r="AV524" t="s">
        <v>11</v>
      </c>
      <c r="AW524" t="s">
        <v>11</v>
      </c>
      <c r="AX524">
        <v>4</v>
      </c>
      <c r="AY524">
        <v>2</v>
      </c>
      <c r="AZ524">
        <f t="shared" si="88"/>
        <v>1331</v>
      </c>
      <c r="BA524">
        <f t="shared" si="89"/>
        <v>799</v>
      </c>
      <c r="BB524">
        <f t="shared" si="94"/>
        <v>78</v>
      </c>
      <c r="BC524">
        <f t="shared" si="95"/>
        <v>179</v>
      </c>
      <c r="BD524">
        <v>131</v>
      </c>
      <c r="BE524">
        <v>131</v>
      </c>
      <c r="BF524">
        <v>12</v>
      </c>
      <c r="BG524" t="s">
        <v>11</v>
      </c>
      <c r="BH524">
        <v>18</v>
      </c>
      <c r="BI524" t="s">
        <v>11</v>
      </c>
      <c r="BJ524">
        <v>32</v>
      </c>
      <c r="BK524" t="s">
        <v>11</v>
      </c>
      <c r="BL524">
        <v>222</v>
      </c>
      <c r="BM524" t="s">
        <v>11</v>
      </c>
      <c r="BN524">
        <v>27</v>
      </c>
      <c r="BO524" t="s">
        <v>11</v>
      </c>
      <c r="BP524">
        <f t="shared" si="91"/>
        <v>12</v>
      </c>
      <c r="BQ524" t="str">
        <f t="shared" si="90"/>
        <v>NoData</v>
      </c>
      <c r="BR524">
        <v>63</v>
      </c>
      <c r="BS524" t="s">
        <v>11</v>
      </c>
      <c r="BT524">
        <v>12</v>
      </c>
      <c r="BU524" t="s">
        <v>11</v>
      </c>
    </row>
    <row r="525" spans="1:73" x14ac:dyDescent="0.25">
      <c r="A525" s="5">
        <v>41760</v>
      </c>
      <c r="B525">
        <v>3995</v>
      </c>
      <c r="C525">
        <v>2241</v>
      </c>
      <c r="D525">
        <v>23</v>
      </c>
      <c r="E525">
        <v>12</v>
      </c>
      <c r="F525">
        <v>8131</v>
      </c>
      <c r="G525">
        <v>4499</v>
      </c>
      <c r="H525">
        <v>1895</v>
      </c>
      <c r="I525">
        <v>1023</v>
      </c>
      <c r="J525">
        <v>1094</v>
      </c>
      <c r="K525">
        <v>782</v>
      </c>
      <c r="L525">
        <v>71500</v>
      </c>
      <c r="M525">
        <v>44652</v>
      </c>
      <c r="N525">
        <v>463</v>
      </c>
      <c r="O525">
        <v>303</v>
      </c>
      <c r="P525">
        <v>588</v>
      </c>
      <c r="Q525">
        <v>420</v>
      </c>
      <c r="R525">
        <v>28</v>
      </c>
      <c r="S525" t="s">
        <v>11</v>
      </c>
      <c r="T525" s="34">
        <v>112400</v>
      </c>
      <c r="U525" s="34">
        <v>63698</v>
      </c>
      <c r="V525" s="34">
        <v>5592</v>
      </c>
      <c r="W525">
        <v>947</v>
      </c>
      <c r="X525">
        <v>5373</v>
      </c>
      <c r="Y525">
        <v>897</v>
      </c>
      <c r="Z525">
        <v>5968</v>
      </c>
      <c r="AA525">
        <v>1981</v>
      </c>
      <c r="AB525">
        <v>34731</v>
      </c>
      <c r="AC525">
        <v>23744</v>
      </c>
      <c r="AD525">
        <v>2933</v>
      </c>
      <c r="AE525">
        <v>2617</v>
      </c>
      <c r="AF525">
        <v>7991</v>
      </c>
      <c r="AG525">
        <v>4725</v>
      </c>
      <c r="AH525">
        <f t="shared" si="92"/>
        <v>2933</v>
      </c>
      <c r="AI525">
        <f t="shared" si="93"/>
        <v>2617</v>
      </c>
      <c r="AJ525">
        <v>21689</v>
      </c>
      <c r="AK525">
        <v>16255</v>
      </c>
      <c r="AL525">
        <v>43781</v>
      </c>
      <c r="AM525">
        <v>32580</v>
      </c>
      <c r="AN525" s="22">
        <v>2</v>
      </c>
      <c r="AO525">
        <v>159</v>
      </c>
      <c r="AP525">
        <v>1171</v>
      </c>
      <c r="AQ525">
        <v>700</v>
      </c>
      <c r="AR525">
        <v>19</v>
      </c>
      <c r="AS525" t="s">
        <v>11</v>
      </c>
      <c r="AT525">
        <f t="shared" si="86"/>
        <v>1171</v>
      </c>
      <c r="AU525">
        <f t="shared" si="87"/>
        <v>700</v>
      </c>
      <c r="AV525" t="s">
        <v>11</v>
      </c>
      <c r="AW525" t="s">
        <v>11</v>
      </c>
      <c r="AX525">
        <v>4</v>
      </c>
      <c r="AY525">
        <v>2</v>
      </c>
      <c r="AZ525">
        <f t="shared" si="88"/>
        <v>1171</v>
      </c>
      <c r="BA525">
        <f t="shared" si="89"/>
        <v>700</v>
      </c>
      <c r="BB525">
        <f t="shared" si="94"/>
        <v>2</v>
      </c>
      <c r="BC525">
        <f t="shared" si="95"/>
        <v>159</v>
      </c>
      <c r="BD525">
        <v>157</v>
      </c>
      <c r="BE525">
        <v>157</v>
      </c>
      <c r="BF525">
        <v>15</v>
      </c>
      <c r="BG525" t="s">
        <v>11</v>
      </c>
      <c r="BH525">
        <v>23</v>
      </c>
      <c r="BI525" t="s">
        <v>11</v>
      </c>
      <c r="BJ525">
        <v>73</v>
      </c>
      <c r="BK525" t="s">
        <v>11</v>
      </c>
      <c r="BL525">
        <v>138</v>
      </c>
      <c r="BM525" t="s">
        <v>11</v>
      </c>
      <c r="BN525">
        <v>33</v>
      </c>
      <c r="BO525" t="s">
        <v>11</v>
      </c>
      <c r="BP525">
        <f t="shared" si="91"/>
        <v>15</v>
      </c>
      <c r="BQ525" t="str">
        <f t="shared" si="90"/>
        <v>NoData</v>
      </c>
      <c r="BR525">
        <v>148</v>
      </c>
      <c r="BS525" t="s">
        <v>11</v>
      </c>
      <c r="BT525">
        <v>4</v>
      </c>
      <c r="BU525" t="s">
        <v>11</v>
      </c>
    </row>
    <row r="526" spans="1:73" x14ac:dyDescent="0.25">
      <c r="A526" s="5">
        <v>41791</v>
      </c>
      <c r="B526">
        <v>4631</v>
      </c>
      <c r="C526">
        <v>2442</v>
      </c>
      <c r="D526">
        <v>32</v>
      </c>
      <c r="E526">
        <v>17</v>
      </c>
      <c r="F526">
        <v>10960</v>
      </c>
      <c r="G526">
        <v>5913</v>
      </c>
      <c r="H526">
        <v>1498</v>
      </c>
      <c r="I526">
        <v>810</v>
      </c>
      <c r="J526">
        <v>1370</v>
      </c>
      <c r="K526">
        <v>980</v>
      </c>
      <c r="L526">
        <v>66110</v>
      </c>
      <c r="M526">
        <v>42219</v>
      </c>
      <c r="N526">
        <v>562</v>
      </c>
      <c r="O526">
        <v>365</v>
      </c>
      <c r="P526">
        <v>961</v>
      </c>
      <c r="Q526">
        <v>687</v>
      </c>
      <c r="R526">
        <v>39</v>
      </c>
      <c r="S526" t="s">
        <v>11</v>
      </c>
      <c r="T526" s="34">
        <v>113700</v>
      </c>
      <c r="U526" s="34">
        <v>66360</v>
      </c>
      <c r="V526" s="34">
        <v>3194</v>
      </c>
      <c r="W526">
        <v>549</v>
      </c>
      <c r="X526">
        <v>5567</v>
      </c>
      <c r="Y526">
        <v>930</v>
      </c>
      <c r="Z526">
        <v>5025</v>
      </c>
      <c r="AA526">
        <v>1527</v>
      </c>
      <c r="AB526">
        <v>28514</v>
      </c>
      <c r="AC526">
        <v>20109</v>
      </c>
      <c r="AD526">
        <v>3418</v>
      </c>
      <c r="AE526">
        <v>2488</v>
      </c>
      <c r="AF526">
        <v>6279</v>
      </c>
      <c r="AG526">
        <v>3595</v>
      </c>
      <c r="AH526">
        <f t="shared" si="92"/>
        <v>3418</v>
      </c>
      <c r="AI526">
        <f t="shared" si="93"/>
        <v>2488</v>
      </c>
      <c r="AJ526">
        <v>22185</v>
      </c>
      <c r="AK526">
        <v>13238</v>
      </c>
      <c r="AL526">
        <v>40618</v>
      </c>
      <c r="AM526">
        <v>29738</v>
      </c>
      <c r="AN526" s="22">
        <v>0</v>
      </c>
      <c r="AO526">
        <v>191</v>
      </c>
      <c r="AP526">
        <v>552</v>
      </c>
      <c r="AQ526">
        <v>326</v>
      </c>
      <c r="AR526">
        <v>23</v>
      </c>
      <c r="AS526" t="s">
        <v>11</v>
      </c>
      <c r="AT526">
        <f t="shared" si="86"/>
        <v>552</v>
      </c>
      <c r="AU526">
        <f t="shared" si="87"/>
        <v>326</v>
      </c>
      <c r="AV526" t="s">
        <v>11</v>
      </c>
      <c r="AW526" t="s">
        <v>11</v>
      </c>
      <c r="AX526">
        <v>4</v>
      </c>
      <c r="AY526">
        <v>2</v>
      </c>
      <c r="AZ526">
        <f t="shared" si="88"/>
        <v>552</v>
      </c>
      <c r="BA526">
        <f t="shared" si="89"/>
        <v>326</v>
      </c>
      <c r="BB526">
        <f t="shared" si="94"/>
        <v>0</v>
      </c>
      <c r="BC526">
        <f t="shared" si="95"/>
        <v>191</v>
      </c>
      <c r="BD526">
        <v>185</v>
      </c>
      <c r="BE526">
        <v>185</v>
      </c>
      <c r="BF526">
        <v>18</v>
      </c>
      <c r="BG526" t="s">
        <v>11</v>
      </c>
      <c r="BH526">
        <v>27</v>
      </c>
      <c r="BI526" t="s">
        <v>11</v>
      </c>
      <c r="BJ526">
        <v>71</v>
      </c>
      <c r="BK526" t="s">
        <v>11</v>
      </c>
      <c r="BL526">
        <v>58</v>
      </c>
      <c r="BM526" t="s">
        <v>11</v>
      </c>
      <c r="BN526">
        <v>40</v>
      </c>
      <c r="BO526" t="s">
        <v>11</v>
      </c>
      <c r="BP526">
        <f t="shared" si="91"/>
        <v>18</v>
      </c>
      <c r="BQ526" t="str">
        <f t="shared" si="90"/>
        <v>NoData</v>
      </c>
      <c r="BR526">
        <v>24</v>
      </c>
      <c r="BS526" t="s">
        <v>11</v>
      </c>
      <c r="BT526">
        <v>15</v>
      </c>
      <c r="BU526" t="s">
        <v>11</v>
      </c>
    </row>
    <row r="527" spans="1:73" x14ac:dyDescent="0.25">
      <c r="A527" s="5">
        <v>41821</v>
      </c>
      <c r="B527">
        <v>3976</v>
      </c>
      <c r="C527">
        <v>2000</v>
      </c>
      <c r="D527">
        <v>32</v>
      </c>
      <c r="E527">
        <v>17</v>
      </c>
      <c r="F527">
        <v>10014</v>
      </c>
      <c r="G527">
        <v>5538</v>
      </c>
      <c r="H527">
        <v>1707</v>
      </c>
      <c r="I527">
        <v>921</v>
      </c>
      <c r="J527">
        <v>1187</v>
      </c>
      <c r="K527">
        <v>849</v>
      </c>
      <c r="L527">
        <v>75310</v>
      </c>
      <c r="M527">
        <v>50974</v>
      </c>
      <c r="N527">
        <v>613</v>
      </c>
      <c r="O527">
        <v>394</v>
      </c>
      <c r="P527">
        <v>902</v>
      </c>
      <c r="Q527">
        <v>645</v>
      </c>
      <c r="R527">
        <v>49</v>
      </c>
      <c r="S527" t="s">
        <v>11</v>
      </c>
      <c r="T527" s="34">
        <v>114200</v>
      </c>
      <c r="U527" s="34">
        <v>62985</v>
      </c>
      <c r="V527" s="34">
        <v>1992</v>
      </c>
      <c r="W527">
        <v>350</v>
      </c>
      <c r="X527">
        <v>4795</v>
      </c>
      <c r="Y527">
        <v>801</v>
      </c>
      <c r="Z527">
        <v>4711</v>
      </c>
      <c r="AA527">
        <v>1364</v>
      </c>
      <c r="AB527">
        <v>33687</v>
      </c>
      <c r="AC527">
        <v>23463</v>
      </c>
      <c r="AD527">
        <v>3811</v>
      </c>
      <c r="AE527">
        <v>2900</v>
      </c>
      <c r="AF527">
        <v>6151</v>
      </c>
      <c r="AG527">
        <v>3603</v>
      </c>
      <c r="AH527">
        <f t="shared" si="92"/>
        <v>3811</v>
      </c>
      <c r="AI527">
        <f t="shared" si="93"/>
        <v>2900</v>
      </c>
      <c r="AJ527">
        <v>24486</v>
      </c>
      <c r="AK527">
        <v>15316</v>
      </c>
      <c r="AL527">
        <v>39551</v>
      </c>
      <c r="AM527">
        <v>29146</v>
      </c>
      <c r="AN527" s="22">
        <v>0</v>
      </c>
      <c r="AO527">
        <v>209</v>
      </c>
      <c r="AP527">
        <v>358</v>
      </c>
      <c r="AQ527">
        <v>215</v>
      </c>
      <c r="AR527">
        <v>25</v>
      </c>
      <c r="AS527" t="s">
        <v>11</v>
      </c>
      <c r="AT527">
        <f t="shared" si="86"/>
        <v>358</v>
      </c>
      <c r="AU527">
        <f t="shared" si="87"/>
        <v>215</v>
      </c>
      <c r="AV527" t="s">
        <v>11</v>
      </c>
      <c r="AW527" t="s">
        <v>11</v>
      </c>
      <c r="AX527">
        <v>4</v>
      </c>
      <c r="AY527">
        <v>2</v>
      </c>
      <c r="AZ527">
        <f t="shared" si="88"/>
        <v>358</v>
      </c>
      <c r="BA527">
        <f t="shared" si="89"/>
        <v>215</v>
      </c>
      <c r="BB527">
        <f t="shared" si="94"/>
        <v>0</v>
      </c>
      <c r="BC527">
        <f t="shared" si="95"/>
        <v>209</v>
      </c>
      <c r="BD527">
        <v>158</v>
      </c>
      <c r="BE527">
        <v>158</v>
      </c>
      <c r="BF527">
        <v>19</v>
      </c>
      <c r="BG527" t="s">
        <v>11</v>
      </c>
      <c r="BH527">
        <v>30</v>
      </c>
      <c r="BI527" t="s">
        <v>11</v>
      </c>
      <c r="BJ527">
        <v>77</v>
      </c>
      <c r="BK527" t="s">
        <v>11</v>
      </c>
      <c r="BL527">
        <v>77</v>
      </c>
      <c r="BM527" t="s">
        <v>11</v>
      </c>
      <c r="BN527">
        <v>43</v>
      </c>
      <c r="BO527" t="s">
        <v>11</v>
      </c>
      <c r="BP527">
        <f t="shared" si="91"/>
        <v>19</v>
      </c>
      <c r="BQ527" t="str">
        <f t="shared" si="90"/>
        <v>NoData</v>
      </c>
      <c r="BR527">
        <v>0</v>
      </c>
      <c r="BS527" t="s">
        <v>11</v>
      </c>
      <c r="BT527">
        <v>16</v>
      </c>
      <c r="BU527" t="s">
        <v>11</v>
      </c>
    </row>
    <row r="528" spans="1:73" x14ac:dyDescent="0.25">
      <c r="A528" s="5">
        <v>41852</v>
      </c>
      <c r="B528">
        <v>3566</v>
      </c>
      <c r="C528">
        <v>1935</v>
      </c>
      <c r="D528">
        <v>33</v>
      </c>
      <c r="E528">
        <v>18</v>
      </c>
      <c r="F528">
        <v>6920</v>
      </c>
      <c r="G528">
        <v>3874</v>
      </c>
      <c r="H528">
        <v>1324</v>
      </c>
      <c r="I528">
        <v>714</v>
      </c>
      <c r="J528">
        <v>800</v>
      </c>
      <c r="K528">
        <v>572</v>
      </c>
      <c r="L528">
        <v>62460</v>
      </c>
      <c r="M528">
        <v>35147</v>
      </c>
      <c r="N528">
        <v>590</v>
      </c>
      <c r="O528">
        <v>375</v>
      </c>
      <c r="P528">
        <v>707</v>
      </c>
      <c r="Q528">
        <v>506</v>
      </c>
      <c r="R528">
        <v>29</v>
      </c>
      <c r="S528" t="s">
        <v>11</v>
      </c>
      <c r="T528" s="34">
        <v>80800</v>
      </c>
      <c r="U528" s="34">
        <v>34048</v>
      </c>
      <c r="V528" s="34">
        <v>5444</v>
      </c>
      <c r="W528">
        <v>925</v>
      </c>
      <c r="X528">
        <v>3918</v>
      </c>
      <c r="Y528">
        <v>654</v>
      </c>
      <c r="Z528">
        <v>2672</v>
      </c>
      <c r="AA528">
        <v>466</v>
      </c>
      <c r="AB528">
        <v>17390</v>
      </c>
      <c r="AC528">
        <v>10189</v>
      </c>
      <c r="AD528">
        <v>2934</v>
      </c>
      <c r="AE528">
        <v>2245</v>
      </c>
      <c r="AF528">
        <v>4386</v>
      </c>
      <c r="AG528">
        <v>2467</v>
      </c>
      <c r="AH528">
        <f t="shared" si="92"/>
        <v>2934</v>
      </c>
      <c r="AI528">
        <f t="shared" si="93"/>
        <v>2245</v>
      </c>
      <c r="AJ528">
        <v>19696</v>
      </c>
      <c r="AK528">
        <v>12546</v>
      </c>
      <c r="AL528">
        <v>28464</v>
      </c>
      <c r="AM528">
        <v>18065</v>
      </c>
      <c r="AN528" s="22">
        <v>0</v>
      </c>
      <c r="AO528">
        <v>201</v>
      </c>
      <c r="AP528">
        <v>348</v>
      </c>
      <c r="AQ528">
        <v>209</v>
      </c>
      <c r="AR528">
        <v>24</v>
      </c>
      <c r="AS528" t="s">
        <v>11</v>
      </c>
      <c r="AT528">
        <f t="shared" si="86"/>
        <v>348</v>
      </c>
      <c r="AU528">
        <f t="shared" si="87"/>
        <v>209</v>
      </c>
      <c r="AV528" t="s">
        <v>11</v>
      </c>
      <c r="AW528" t="s">
        <v>11</v>
      </c>
      <c r="AX528">
        <v>4</v>
      </c>
      <c r="AY528">
        <v>2</v>
      </c>
      <c r="AZ528">
        <f t="shared" si="88"/>
        <v>348</v>
      </c>
      <c r="BA528">
        <f t="shared" si="89"/>
        <v>209</v>
      </c>
      <c r="BB528">
        <f t="shared" si="94"/>
        <v>0</v>
      </c>
      <c r="BC528">
        <f t="shared" si="95"/>
        <v>201</v>
      </c>
      <c r="BD528">
        <v>157</v>
      </c>
      <c r="BE528">
        <v>157</v>
      </c>
      <c r="BF528">
        <v>19</v>
      </c>
      <c r="BG528" t="s">
        <v>11</v>
      </c>
      <c r="BH528">
        <v>29</v>
      </c>
      <c r="BI528" t="s">
        <v>11</v>
      </c>
      <c r="BJ528">
        <v>79</v>
      </c>
      <c r="BK528" t="s">
        <v>11</v>
      </c>
      <c r="BL528">
        <v>41</v>
      </c>
      <c r="BM528" t="s">
        <v>11</v>
      </c>
      <c r="BN528">
        <v>42</v>
      </c>
      <c r="BO528" t="s">
        <v>11</v>
      </c>
      <c r="BP528">
        <f t="shared" si="91"/>
        <v>19</v>
      </c>
      <c r="BQ528" t="str">
        <f t="shared" si="90"/>
        <v>NoData</v>
      </c>
      <c r="BR528">
        <v>96</v>
      </c>
      <c r="BS528" t="s">
        <v>11</v>
      </c>
      <c r="BT528">
        <v>9</v>
      </c>
      <c r="BU528" t="s">
        <v>11</v>
      </c>
    </row>
    <row r="529" spans="1:73" x14ac:dyDescent="0.25">
      <c r="A529" s="5">
        <v>41883</v>
      </c>
      <c r="B529">
        <v>3058</v>
      </c>
      <c r="C529">
        <v>1648</v>
      </c>
      <c r="D529">
        <v>17</v>
      </c>
      <c r="E529">
        <v>9</v>
      </c>
      <c r="F529">
        <v>4528</v>
      </c>
      <c r="G529">
        <v>2530</v>
      </c>
      <c r="H529">
        <v>1152</v>
      </c>
      <c r="I529">
        <v>622</v>
      </c>
      <c r="J529">
        <v>779</v>
      </c>
      <c r="K529">
        <v>557</v>
      </c>
      <c r="L529">
        <v>49470</v>
      </c>
      <c r="M529">
        <v>21303</v>
      </c>
      <c r="N529">
        <v>464</v>
      </c>
      <c r="O529">
        <v>302</v>
      </c>
      <c r="P529">
        <v>609</v>
      </c>
      <c r="Q529">
        <v>435</v>
      </c>
      <c r="R529">
        <v>22</v>
      </c>
      <c r="S529" t="s">
        <v>11</v>
      </c>
      <c r="T529" s="34">
        <v>88300</v>
      </c>
      <c r="U529" s="34">
        <v>44413</v>
      </c>
      <c r="V529" s="34">
        <v>2083</v>
      </c>
      <c r="W529">
        <v>361</v>
      </c>
      <c r="X529">
        <v>4490</v>
      </c>
      <c r="Y529">
        <v>750</v>
      </c>
      <c r="Z529">
        <v>3856</v>
      </c>
      <c r="AA529">
        <v>840</v>
      </c>
      <c r="AB529">
        <v>25189</v>
      </c>
      <c r="AC529">
        <v>17136</v>
      </c>
      <c r="AD529">
        <v>3129</v>
      </c>
      <c r="AE529">
        <v>2072</v>
      </c>
      <c r="AF529">
        <v>5695</v>
      </c>
      <c r="AG529">
        <v>3329</v>
      </c>
      <c r="AH529">
        <f t="shared" si="92"/>
        <v>3129</v>
      </c>
      <c r="AI529">
        <f t="shared" si="93"/>
        <v>2072</v>
      </c>
      <c r="AJ529">
        <v>17282</v>
      </c>
      <c r="AK529">
        <v>8539</v>
      </c>
      <c r="AL529">
        <v>36310</v>
      </c>
      <c r="AM529">
        <v>26421</v>
      </c>
      <c r="AN529" s="22">
        <v>0</v>
      </c>
      <c r="AO529">
        <v>158</v>
      </c>
      <c r="AP529">
        <v>393</v>
      </c>
      <c r="AQ529">
        <v>237</v>
      </c>
      <c r="AR529">
        <v>19</v>
      </c>
      <c r="AS529" t="s">
        <v>11</v>
      </c>
      <c r="AT529">
        <f t="shared" si="86"/>
        <v>393</v>
      </c>
      <c r="AU529">
        <f t="shared" si="87"/>
        <v>237</v>
      </c>
      <c r="AV529" t="s">
        <v>11</v>
      </c>
      <c r="AW529" t="s">
        <v>11</v>
      </c>
      <c r="AX529">
        <v>4</v>
      </c>
      <c r="AY529">
        <v>2</v>
      </c>
      <c r="AZ529">
        <f t="shared" si="88"/>
        <v>393</v>
      </c>
      <c r="BA529">
        <f t="shared" si="89"/>
        <v>237</v>
      </c>
      <c r="BB529">
        <f t="shared" si="94"/>
        <v>0</v>
      </c>
      <c r="BC529">
        <f t="shared" si="95"/>
        <v>158</v>
      </c>
      <c r="BD529">
        <v>111</v>
      </c>
      <c r="BE529">
        <v>111</v>
      </c>
      <c r="BF529">
        <v>15</v>
      </c>
      <c r="BG529" t="s">
        <v>11</v>
      </c>
      <c r="BH529">
        <v>23</v>
      </c>
      <c r="BI529" t="s">
        <v>11</v>
      </c>
      <c r="BJ529">
        <v>0</v>
      </c>
      <c r="BK529" t="s">
        <v>11</v>
      </c>
      <c r="BL529">
        <v>0</v>
      </c>
      <c r="BM529" t="s">
        <v>11</v>
      </c>
      <c r="BN529">
        <v>33</v>
      </c>
      <c r="BO529" t="s">
        <v>11</v>
      </c>
      <c r="BP529">
        <f t="shared" si="91"/>
        <v>15</v>
      </c>
      <c r="BQ529" t="str">
        <f t="shared" si="90"/>
        <v>NoData</v>
      </c>
      <c r="BR529">
        <v>56</v>
      </c>
      <c r="BS529" t="s">
        <v>11</v>
      </c>
      <c r="BT529">
        <v>55</v>
      </c>
      <c r="BU529" t="s">
        <v>11</v>
      </c>
    </row>
    <row r="530" spans="1:73" x14ac:dyDescent="0.25">
      <c r="A530" s="5">
        <v>41913</v>
      </c>
      <c r="B530">
        <v>2668</v>
      </c>
      <c r="C530">
        <v>1444</v>
      </c>
      <c r="D530">
        <v>18</v>
      </c>
      <c r="E530">
        <v>10</v>
      </c>
      <c r="F530">
        <v>3106</v>
      </c>
      <c r="G530">
        <v>1796</v>
      </c>
      <c r="H530">
        <v>1480</v>
      </c>
      <c r="I530">
        <v>798</v>
      </c>
      <c r="J530">
        <v>620</v>
      </c>
      <c r="K530">
        <v>443</v>
      </c>
      <c r="L530">
        <v>45930</v>
      </c>
      <c r="M530">
        <v>20058</v>
      </c>
      <c r="N530">
        <v>389</v>
      </c>
      <c r="O530">
        <v>255</v>
      </c>
      <c r="P530">
        <v>0</v>
      </c>
      <c r="Q530">
        <v>0</v>
      </c>
      <c r="R530">
        <v>17</v>
      </c>
      <c r="S530" t="s">
        <v>11</v>
      </c>
      <c r="T530" s="34">
        <v>68430</v>
      </c>
      <c r="U530" s="34">
        <v>24441</v>
      </c>
      <c r="V530" s="34">
        <v>4215</v>
      </c>
      <c r="W530">
        <v>715</v>
      </c>
      <c r="X530">
        <v>3985</v>
      </c>
      <c r="Y530">
        <v>665</v>
      </c>
      <c r="Z530">
        <v>5191</v>
      </c>
      <c r="AA530">
        <v>1325</v>
      </c>
      <c r="AB530">
        <v>39590</v>
      </c>
      <c r="AC530">
        <v>26750</v>
      </c>
      <c r="AD530">
        <v>2361</v>
      </c>
      <c r="AE530">
        <v>2081</v>
      </c>
      <c r="AF530">
        <v>6324</v>
      </c>
      <c r="AG530">
        <v>3715</v>
      </c>
      <c r="AH530">
        <f t="shared" si="92"/>
        <v>2361</v>
      </c>
      <c r="AI530">
        <f t="shared" si="93"/>
        <v>2081</v>
      </c>
      <c r="AJ530">
        <v>14390</v>
      </c>
      <c r="AK530">
        <v>10479</v>
      </c>
      <c r="AL530">
        <v>32884</v>
      </c>
      <c r="AM530">
        <v>22192</v>
      </c>
      <c r="AN530" s="22">
        <v>0</v>
      </c>
      <c r="AO530">
        <v>133</v>
      </c>
      <c r="AP530">
        <v>793</v>
      </c>
      <c r="AQ530">
        <v>481</v>
      </c>
      <c r="AR530">
        <v>16</v>
      </c>
      <c r="AS530" t="s">
        <v>11</v>
      </c>
      <c r="AT530">
        <f t="shared" si="86"/>
        <v>793</v>
      </c>
      <c r="AU530">
        <f t="shared" si="87"/>
        <v>481</v>
      </c>
      <c r="AV530" t="s">
        <v>11</v>
      </c>
      <c r="AW530" t="s">
        <v>11</v>
      </c>
      <c r="AX530">
        <v>4</v>
      </c>
      <c r="AY530">
        <v>2</v>
      </c>
      <c r="AZ530">
        <f t="shared" si="88"/>
        <v>793</v>
      </c>
      <c r="BA530">
        <f t="shared" si="89"/>
        <v>481</v>
      </c>
      <c r="BB530">
        <f t="shared" si="94"/>
        <v>0</v>
      </c>
      <c r="BC530">
        <f t="shared" si="95"/>
        <v>133</v>
      </c>
      <c r="BD530">
        <v>64</v>
      </c>
      <c r="BE530">
        <v>64</v>
      </c>
      <c r="BF530">
        <v>12</v>
      </c>
      <c r="BG530" t="s">
        <v>11</v>
      </c>
      <c r="BH530">
        <v>19</v>
      </c>
      <c r="BI530" t="s">
        <v>11</v>
      </c>
      <c r="BJ530">
        <v>49</v>
      </c>
      <c r="BK530" t="s">
        <v>11</v>
      </c>
      <c r="BL530">
        <v>27</v>
      </c>
      <c r="BM530" t="s">
        <v>11</v>
      </c>
      <c r="BN530">
        <v>28</v>
      </c>
      <c r="BO530" t="s">
        <v>11</v>
      </c>
      <c r="BP530">
        <f t="shared" si="91"/>
        <v>12</v>
      </c>
      <c r="BQ530" t="str">
        <f t="shared" si="90"/>
        <v>NoData</v>
      </c>
      <c r="BR530">
        <v>173</v>
      </c>
      <c r="BS530" t="s">
        <v>11</v>
      </c>
      <c r="BT530">
        <v>30</v>
      </c>
      <c r="BU530" t="s">
        <v>11</v>
      </c>
    </row>
    <row r="531" spans="1:73" x14ac:dyDescent="0.25">
      <c r="A531" s="5">
        <v>41944</v>
      </c>
      <c r="B531">
        <v>2319</v>
      </c>
      <c r="C531">
        <v>1205</v>
      </c>
      <c r="D531">
        <v>19</v>
      </c>
      <c r="E531">
        <v>10</v>
      </c>
      <c r="F531">
        <v>2742</v>
      </c>
      <c r="G531">
        <v>1582</v>
      </c>
      <c r="H531">
        <v>855</v>
      </c>
      <c r="I531">
        <v>461</v>
      </c>
      <c r="J531">
        <v>732</v>
      </c>
      <c r="K531">
        <v>523</v>
      </c>
      <c r="L531">
        <v>33790</v>
      </c>
      <c r="M531">
        <v>9454</v>
      </c>
      <c r="N531">
        <v>276</v>
      </c>
      <c r="O531">
        <v>188</v>
      </c>
      <c r="P531">
        <v>0</v>
      </c>
      <c r="Q531">
        <v>0</v>
      </c>
      <c r="R531">
        <v>4</v>
      </c>
      <c r="S531" t="s">
        <v>11</v>
      </c>
      <c r="T531" s="34">
        <v>49860</v>
      </c>
      <c r="U531" s="34">
        <v>10114</v>
      </c>
      <c r="V531" s="34">
        <v>3611</v>
      </c>
      <c r="W531">
        <v>611</v>
      </c>
      <c r="X531">
        <v>3728</v>
      </c>
      <c r="Y531">
        <v>623</v>
      </c>
      <c r="Z531">
        <v>4013</v>
      </c>
      <c r="AA531">
        <v>494</v>
      </c>
      <c r="AB531">
        <v>30578</v>
      </c>
      <c r="AC531">
        <v>16204</v>
      </c>
      <c r="AD531">
        <v>1745</v>
      </c>
      <c r="AE531">
        <v>1520</v>
      </c>
      <c r="AF531">
        <v>4748</v>
      </c>
      <c r="AG531">
        <v>2643</v>
      </c>
      <c r="AH531">
        <f t="shared" si="92"/>
        <v>1745</v>
      </c>
      <c r="AI531">
        <f t="shared" si="93"/>
        <v>1520</v>
      </c>
      <c r="AJ531">
        <v>10985</v>
      </c>
      <c r="AK531">
        <v>7903</v>
      </c>
      <c r="AL531">
        <v>22615</v>
      </c>
      <c r="AM531">
        <v>11828</v>
      </c>
      <c r="AN531" s="22">
        <v>0</v>
      </c>
      <c r="AO531">
        <v>94</v>
      </c>
      <c r="AP531">
        <v>565</v>
      </c>
      <c r="AQ531">
        <v>334</v>
      </c>
      <c r="AR531">
        <v>11</v>
      </c>
      <c r="AS531" t="s">
        <v>11</v>
      </c>
      <c r="AT531">
        <f t="shared" si="86"/>
        <v>565</v>
      </c>
      <c r="AU531">
        <f t="shared" si="87"/>
        <v>334</v>
      </c>
      <c r="AV531" t="s">
        <v>11</v>
      </c>
      <c r="AW531" t="s">
        <v>11</v>
      </c>
      <c r="AX531">
        <v>4</v>
      </c>
      <c r="AY531">
        <v>2</v>
      </c>
      <c r="AZ531">
        <f t="shared" si="88"/>
        <v>565</v>
      </c>
      <c r="BA531">
        <f t="shared" si="89"/>
        <v>334</v>
      </c>
      <c r="BB531">
        <f t="shared" si="94"/>
        <v>0</v>
      </c>
      <c r="BC531">
        <f t="shared" si="95"/>
        <v>94</v>
      </c>
      <c r="BD531">
        <v>57</v>
      </c>
      <c r="BE531">
        <v>57</v>
      </c>
      <c r="BF531">
        <v>9</v>
      </c>
      <c r="BG531" t="s">
        <v>11</v>
      </c>
      <c r="BH531">
        <v>13</v>
      </c>
      <c r="BI531" t="s">
        <v>11</v>
      </c>
      <c r="BJ531">
        <v>0</v>
      </c>
      <c r="BK531" t="s">
        <v>11</v>
      </c>
      <c r="BL531">
        <v>67</v>
      </c>
      <c r="BM531" t="s">
        <v>11</v>
      </c>
      <c r="BN531">
        <v>19</v>
      </c>
      <c r="BO531" t="s">
        <v>11</v>
      </c>
      <c r="BP531">
        <f t="shared" si="91"/>
        <v>9</v>
      </c>
      <c r="BQ531" t="str">
        <f t="shared" si="90"/>
        <v>NoData</v>
      </c>
      <c r="BR531">
        <v>107</v>
      </c>
      <c r="BS531" t="s">
        <v>11</v>
      </c>
      <c r="BT531">
        <v>29</v>
      </c>
      <c r="BU531" t="s">
        <v>11</v>
      </c>
    </row>
    <row r="532" spans="1:73" x14ac:dyDescent="0.25">
      <c r="A532" s="5">
        <v>41974</v>
      </c>
      <c r="B532">
        <v>686</v>
      </c>
      <c r="C532">
        <v>371</v>
      </c>
      <c r="D532">
        <v>15</v>
      </c>
      <c r="E532">
        <v>8</v>
      </c>
      <c r="F532">
        <v>696</v>
      </c>
      <c r="G532">
        <v>417</v>
      </c>
      <c r="H532">
        <v>1359</v>
      </c>
      <c r="I532">
        <v>732</v>
      </c>
      <c r="J532">
        <v>650</v>
      </c>
      <c r="K532">
        <v>465</v>
      </c>
      <c r="L532">
        <v>29590</v>
      </c>
      <c r="M532">
        <v>7864</v>
      </c>
      <c r="N532">
        <v>271</v>
      </c>
      <c r="O532">
        <v>176</v>
      </c>
      <c r="P532">
        <v>305</v>
      </c>
      <c r="Q532">
        <v>218</v>
      </c>
      <c r="R532">
        <v>11</v>
      </c>
      <c r="S532" t="s">
        <v>11</v>
      </c>
      <c r="T532" s="34">
        <v>44290</v>
      </c>
      <c r="U532" s="34">
        <v>5664</v>
      </c>
      <c r="V532" s="34">
        <v>2436</v>
      </c>
      <c r="W532">
        <v>414</v>
      </c>
      <c r="X532">
        <v>2463</v>
      </c>
      <c r="Y532">
        <v>411</v>
      </c>
      <c r="Z532">
        <v>2855</v>
      </c>
      <c r="AA532">
        <v>-58</v>
      </c>
      <c r="AB532">
        <v>20434</v>
      </c>
      <c r="AC532">
        <v>8488</v>
      </c>
      <c r="AD532">
        <v>892</v>
      </c>
      <c r="AE532">
        <v>274</v>
      </c>
      <c r="AF532">
        <v>3399</v>
      </c>
      <c r="AG532">
        <v>1505</v>
      </c>
      <c r="AH532">
        <f t="shared" si="92"/>
        <v>892</v>
      </c>
      <c r="AI532">
        <f t="shared" si="93"/>
        <v>274</v>
      </c>
      <c r="AJ532">
        <v>8025</v>
      </c>
      <c r="AK532">
        <v>2800</v>
      </c>
      <c r="AL532">
        <v>16836</v>
      </c>
      <c r="AM532">
        <v>4593</v>
      </c>
      <c r="AN532" s="22">
        <v>85</v>
      </c>
      <c r="AO532">
        <v>143</v>
      </c>
      <c r="AP532">
        <v>317</v>
      </c>
      <c r="AQ532">
        <v>165</v>
      </c>
      <c r="AR532">
        <v>11</v>
      </c>
      <c r="AS532" t="s">
        <v>11</v>
      </c>
      <c r="AT532">
        <f t="shared" si="86"/>
        <v>317</v>
      </c>
      <c r="AU532">
        <f t="shared" si="87"/>
        <v>165</v>
      </c>
      <c r="AV532" t="s">
        <v>11</v>
      </c>
      <c r="AW532" t="s">
        <v>11</v>
      </c>
      <c r="AX532">
        <v>4</v>
      </c>
      <c r="AY532">
        <v>2</v>
      </c>
      <c r="AZ532">
        <f t="shared" si="88"/>
        <v>317</v>
      </c>
      <c r="BA532">
        <f t="shared" si="89"/>
        <v>165</v>
      </c>
      <c r="BB532">
        <f t="shared" si="94"/>
        <v>85</v>
      </c>
      <c r="BC532">
        <f t="shared" si="95"/>
        <v>143</v>
      </c>
      <c r="BD532">
        <v>27</v>
      </c>
      <c r="BE532">
        <v>27</v>
      </c>
      <c r="BF532">
        <v>8</v>
      </c>
      <c r="BG532" t="s">
        <v>11</v>
      </c>
      <c r="BH532">
        <v>13</v>
      </c>
      <c r="BI532" t="s">
        <v>11</v>
      </c>
      <c r="BJ532">
        <v>0</v>
      </c>
      <c r="BK532" t="s">
        <v>11</v>
      </c>
      <c r="BL532">
        <v>19</v>
      </c>
      <c r="BM532" t="s">
        <v>11</v>
      </c>
      <c r="BN532">
        <v>19</v>
      </c>
      <c r="BO532" t="s">
        <v>11</v>
      </c>
      <c r="BP532">
        <f t="shared" si="91"/>
        <v>8</v>
      </c>
      <c r="BQ532" t="str">
        <f t="shared" si="90"/>
        <v>NoData</v>
      </c>
      <c r="BR532">
        <v>73</v>
      </c>
      <c r="BS532" t="s">
        <v>11</v>
      </c>
      <c r="BT532">
        <v>20</v>
      </c>
      <c r="BU532" t="s">
        <v>11</v>
      </c>
    </row>
    <row r="533" spans="1:73" x14ac:dyDescent="0.25">
      <c r="A533" s="5">
        <v>42005</v>
      </c>
      <c r="B533">
        <v>1393</v>
      </c>
      <c r="C533">
        <v>752</v>
      </c>
      <c r="D533">
        <v>12</v>
      </c>
      <c r="E533">
        <v>6</v>
      </c>
      <c r="F533">
        <v>1709</v>
      </c>
      <c r="G533">
        <v>950</v>
      </c>
      <c r="H533">
        <v>511</v>
      </c>
      <c r="I533">
        <v>278</v>
      </c>
      <c r="J533">
        <v>273</v>
      </c>
      <c r="K533">
        <v>195</v>
      </c>
      <c r="L533">
        <v>27680</v>
      </c>
      <c r="M533">
        <v>6731</v>
      </c>
      <c r="N533">
        <v>193</v>
      </c>
      <c r="O533">
        <v>132</v>
      </c>
      <c r="P533">
        <v>284</v>
      </c>
      <c r="Q533">
        <v>203</v>
      </c>
      <c r="R533">
        <v>11</v>
      </c>
      <c r="S533" t="s">
        <v>11</v>
      </c>
      <c r="T533" s="34">
        <v>35630</v>
      </c>
      <c r="U533" s="34">
        <v>3236</v>
      </c>
      <c r="V533" s="34">
        <v>1718</v>
      </c>
      <c r="W533">
        <v>293</v>
      </c>
      <c r="X533">
        <v>2331</v>
      </c>
      <c r="Y533">
        <v>389</v>
      </c>
      <c r="Z533">
        <v>1950</v>
      </c>
      <c r="AA533">
        <v>-91</v>
      </c>
      <c r="AB533">
        <v>20949</v>
      </c>
      <c r="AC533">
        <v>9470</v>
      </c>
      <c r="AD533">
        <v>1173</v>
      </c>
      <c r="AE533">
        <v>750</v>
      </c>
      <c r="AF533">
        <v>2988</v>
      </c>
      <c r="AG533">
        <v>1394</v>
      </c>
      <c r="AH533">
        <f t="shared" si="92"/>
        <v>1173</v>
      </c>
      <c r="AI533">
        <f t="shared" si="93"/>
        <v>750</v>
      </c>
      <c r="AJ533">
        <v>8888</v>
      </c>
      <c r="AK533">
        <v>4800</v>
      </c>
      <c r="AL533">
        <v>17614</v>
      </c>
      <c r="AM533">
        <v>5954</v>
      </c>
      <c r="AN533" s="22">
        <v>0</v>
      </c>
      <c r="AO533">
        <v>65</v>
      </c>
      <c r="AP533">
        <v>253</v>
      </c>
      <c r="AQ533">
        <v>137</v>
      </c>
      <c r="AR533">
        <v>13</v>
      </c>
      <c r="AS533" t="s">
        <v>11</v>
      </c>
      <c r="AT533">
        <f t="shared" si="86"/>
        <v>253</v>
      </c>
      <c r="AU533">
        <f t="shared" si="87"/>
        <v>137</v>
      </c>
      <c r="AV533" t="s">
        <v>11</v>
      </c>
      <c r="AW533" t="s">
        <v>11</v>
      </c>
      <c r="AX533">
        <v>4</v>
      </c>
      <c r="AY533">
        <v>2</v>
      </c>
      <c r="AZ533">
        <f t="shared" si="88"/>
        <v>253</v>
      </c>
      <c r="BA533">
        <f t="shared" si="89"/>
        <v>137</v>
      </c>
      <c r="BB533">
        <f t="shared" si="94"/>
        <v>0</v>
      </c>
      <c r="BC533">
        <f t="shared" si="95"/>
        <v>65</v>
      </c>
      <c r="BD533">
        <v>54</v>
      </c>
      <c r="BE533">
        <v>40</v>
      </c>
      <c r="BF533">
        <v>5</v>
      </c>
      <c r="BG533" t="s">
        <v>11</v>
      </c>
      <c r="BH533">
        <v>10</v>
      </c>
      <c r="BI533" t="s">
        <v>11</v>
      </c>
      <c r="BJ533">
        <v>31</v>
      </c>
      <c r="BK533" t="s">
        <v>11</v>
      </c>
      <c r="BL533">
        <v>17</v>
      </c>
      <c r="BM533" t="s">
        <v>11</v>
      </c>
      <c r="BN533">
        <v>14</v>
      </c>
      <c r="BO533" t="s">
        <v>11</v>
      </c>
      <c r="BP533">
        <f t="shared" si="91"/>
        <v>5</v>
      </c>
      <c r="BQ533" t="str">
        <f t="shared" si="90"/>
        <v>NoData</v>
      </c>
      <c r="BR533">
        <v>104</v>
      </c>
      <c r="BS533" t="s">
        <v>11</v>
      </c>
      <c r="BT533">
        <v>29</v>
      </c>
      <c r="BU533" t="s">
        <v>11</v>
      </c>
    </row>
    <row r="534" spans="1:73" x14ac:dyDescent="0.25">
      <c r="A534" s="5">
        <v>42036</v>
      </c>
      <c r="B534">
        <v>1901</v>
      </c>
      <c r="C534">
        <v>984</v>
      </c>
      <c r="D534">
        <v>11</v>
      </c>
      <c r="E534">
        <v>6</v>
      </c>
      <c r="F534">
        <v>5578</v>
      </c>
      <c r="G534">
        <v>2932</v>
      </c>
      <c r="H534">
        <v>1005</v>
      </c>
      <c r="I534">
        <v>542</v>
      </c>
      <c r="J534">
        <v>909</v>
      </c>
      <c r="K534">
        <v>650</v>
      </c>
      <c r="L534">
        <v>36820</v>
      </c>
      <c r="M534">
        <v>14577</v>
      </c>
      <c r="N534">
        <v>241</v>
      </c>
      <c r="O534">
        <v>158</v>
      </c>
      <c r="P534">
        <v>523</v>
      </c>
      <c r="Q534">
        <v>374</v>
      </c>
      <c r="R534">
        <v>18</v>
      </c>
      <c r="S534" t="s">
        <v>11</v>
      </c>
      <c r="T534" s="34">
        <v>52620</v>
      </c>
      <c r="U534" s="34">
        <v>20962</v>
      </c>
      <c r="V534" s="34">
        <v>3261</v>
      </c>
      <c r="W534">
        <v>552</v>
      </c>
      <c r="X534">
        <v>3136</v>
      </c>
      <c r="Y534">
        <v>524</v>
      </c>
      <c r="Z534">
        <v>3300</v>
      </c>
      <c r="AA534">
        <v>897</v>
      </c>
      <c r="AB534">
        <v>26883</v>
      </c>
      <c r="AC534">
        <v>16565</v>
      </c>
      <c r="AD534">
        <v>1544</v>
      </c>
      <c r="AE534">
        <v>991</v>
      </c>
      <c r="AF534">
        <v>4977</v>
      </c>
      <c r="AG534">
        <v>2834</v>
      </c>
      <c r="AH534">
        <f t="shared" si="92"/>
        <v>1544</v>
      </c>
      <c r="AI534">
        <f t="shared" si="93"/>
        <v>991</v>
      </c>
      <c r="AJ534">
        <v>9823</v>
      </c>
      <c r="AK534">
        <v>5068</v>
      </c>
      <c r="AL534">
        <v>24128</v>
      </c>
      <c r="AM534">
        <v>14104</v>
      </c>
      <c r="AN534" s="22">
        <v>103</v>
      </c>
      <c r="AO534">
        <v>145</v>
      </c>
      <c r="AP534">
        <v>522</v>
      </c>
      <c r="AQ534">
        <v>308</v>
      </c>
      <c r="AR534">
        <v>17</v>
      </c>
      <c r="AS534" t="s">
        <v>11</v>
      </c>
      <c r="AT534">
        <f t="shared" si="86"/>
        <v>522</v>
      </c>
      <c r="AU534">
        <f t="shared" si="87"/>
        <v>308</v>
      </c>
      <c r="AV534" t="s">
        <v>11</v>
      </c>
      <c r="AW534" t="s">
        <v>11</v>
      </c>
      <c r="AX534">
        <v>4</v>
      </c>
      <c r="AY534">
        <v>2</v>
      </c>
      <c r="AZ534">
        <f t="shared" si="88"/>
        <v>522</v>
      </c>
      <c r="BA534">
        <f t="shared" si="89"/>
        <v>308</v>
      </c>
      <c r="BB534">
        <f t="shared" si="94"/>
        <v>103</v>
      </c>
      <c r="BC534">
        <f t="shared" si="95"/>
        <v>145</v>
      </c>
      <c r="BD534">
        <v>106</v>
      </c>
      <c r="BE534">
        <v>86</v>
      </c>
      <c r="BF534">
        <v>6</v>
      </c>
      <c r="BG534" t="s">
        <v>11</v>
      </c>
      <c r="BH534">
        <v>13</v>
      </c>
      <c r="BI534" t="s">
        <v>11</v>
      </c>
      <c r="BJ534">
        <v>77</v>
      </c>
      <c r="BK534" t="s">
        <v>11</v>
      </c>
      <c r="BL534">
        <v>14</v>
      </c>
      <c r="BM534" t="s">
        <v>11</v>
      </c>
      <c r="BN534">
        <v>17</v>
      </c>
      <c r="BO534" t="s">
        <v>11</v>
      </c>
      <c r="BP534">
        <f t="shared" si="91"/>
        <v>6</v>
      </c>
      <c r="BQ534" t="str">
        <f t="shared" si="90"/>
        <v>NoData</v>
      </c>
      <c r="BR534">
        <v>11</v>
      </c>
      <c r="BS534" t="s">
        <v>11</v>
      </c>
      <c r="BT534">
        <v>22</v>
      </c>
      <c r="BU534" t="s">
        <v>11</v>
      </c>
    </row>
    <row r="535" spans="1:73" x14ac:dyDescent="0.25">
      <c r="A535" s="5">
        <v>42064</v>
      </c>
      <c r="B535">
        <v>2604</v>
      </c>
      <c r="C535">
        <v>1392</v>
      </c>
      <c r="D535">
        <v>15</v>
      </c>
      <c r="E535">
        <v>8</v>
      </c>
      <c r="F535">
        <v>5964</v>
      </c>
      <c r="G535">
        <v>3278</v>
      </c>
      <c r="H535">
        <v>2005</v>
      </c>
      <c r="I535">
        <v>1080</v>
      </c>
      <c r="J535">
        <v>1045</v>
      </c>
      <c r="K535">
        <v>747</v>
      </c>
      <c r="L535">
        <v>49190</v>
      </c>
      <c r="M535">
        <v>23822</v>
      </c>
      <c r="N535">
        <v>329</v>
      </c>
      <c r="O535">
        <v>213</v>
      </c>
      <c r="P535">
        <v>759</v>
      </c>
      <c r="Q535">
        <v>543</v>
      </c>
      <c r="R535">
        <v>32</v>
      </c>
      <c r="S535" t="s">
        <v>11</v>
      </c>
      <c r="T535" s="34">
        <v>69160</v>
      </c>
      <c r="U535" s="34">
        <v>31930</v>
      </c>
      <c r="V535" s="34">
        <v>6287</v>
      </c>
      <c r="W535">
        <v>1060</v>
      </c>
      <c r="X535">
        <v>6065</v>
      </c>
      <c r="Y535">
        <v>1013</v>
      </c>
      <c r="Z535">
        <v>4868</v>
      </c>
      <c r="AA535">
        <v>1508</v>
      </c>
      <c r="AB535">
        <v>39708</v>
      </c>
      <c r="AC535">
        <v>28344</v>
      </c>
      <c r="AD535">
        <v>2054</v>
      </c>
      <c r="AE535">
        <v>1580</v>
      </c>
      <c r="AF535">
        <v>7499</v>
      </c>
      <c r="AG535">
        <v>4344</v>
      </c>
      <c r="AH535">
        <f t="shared" si="92"/>
        <v>2054</v>
      </c>
      <c r="AI535">
        <f t="shared" si="93"/>
        <v>1580</v>
      </c>
      <c r="AJ535">
        <v>14355</v>
      </c>
      <c r="AK535">
        <v>9235</v>
      </c>
      <c r="AL535">
        <v>38324</v>
      </c>
      <c r="AM535">
        <v>26964</v>
      </c>
      <c r="AN535" s="22">
        <v>84</v>
      </c>
      <c r="AO535">
        <v>163</v>
      </c>
      <c r="AP535">
        <v>774</v>
      </c>
      <c r="AQ535">
        <v>454</v>
      </c>
      <c r="AR535">
        <v>23</v>
      </c>
      <c r="AS535" t="s">
        <v>11</v>
      </c>
      <c r="AT535">
        <f t="shared" si="86"/>
        <v>774</v>
      </c>
      <c r="AU535">
        <f t="shared" si="87"/>
        <v>454</v>
      </c>
      <c r="AV535" t="s">
        <v>11</v>
      </c>
      <c r="AW535" t="s">
        <v>11</v>
      </c>
      <c r="AX535">
        <v>4</v>
      </c>
      <c r="AY535">
        <v>2</v>
      </c>
      <c r="AZ535">
        <f t="shared" si="88"/>
        <v>774</v>
      </c>
      <c r="BA535">
        <f t="shared" si="89"/>
        <v>454</v>
      </c>
      <c r="BB535">
        <f t="shared" si="94"/>
        <v>84</v>
      </c>
      <c r="BC535">
        <f t="shared" si="95"/>
        <v>163</v>
      </c>
      <c r="BD535">
        <v>132</v>
      </c>
      <c r="BE535">
        <v>130</v>
      </c>
      <c r="BF535">
        <v>8</v>
      </c>
      <c r="BG535" t="s">
        <v>11</v>
      </c>
      <c r="BH535">
        <v>17</v>
      </c>
      <c r="BI535" t="s">
        <v>11</v>
      </c>
      <c r="BJ535">
        <v>110</v>
      </c>
      <c r="BK535" t="s">
        <v>11</v>
      </c>
      <c r="BL535">
        <v>174</v>
      </c>
      <c r="BM535" t="s">
        <v>11</v>
      </c>
      <c r="BN535">
        <v>23</v>
      </c>
      <c r="BO535" t="s">
        <v>11</v>
      </c>
      <c r="BP535">
        <f t="shared" si="91"/>
        <v>8</v>
      </c>
      <c r="BQ535" t="str">
        <f t="shared" si="90"/>
        <v>NoData</v>
      </c>
      <c r="BR535">
        <v>23</v>
      </c>
      <c r="BS535" t="s">
        <v>11</v>
      </c>
      <c r="BT535">
        <v>40</v>
      </c>
      <c r="BU535" t="s">
        <v>11</v>
      </c>
    </row>
    <row r="536" spans="1:73" x14ac:dyDescent="0.25">
      <c r="A536" s="5">
        <v>42095</v>
      </c>
      <c r="B536">
        <v>3057</v>
      </c>
      <c r="C536">
        <v>1658</v>
      </c>
      <c r="D536">
        <v>14</v>
      </c>
      <c r="E536">
        <v>8</v>
      </c>
      <c r="F536">
        <v>5934</v>
      </c>
      <c r="G536">
        <v>3258</v>
      </c>
      <c r="H536">
        <v>2317</v>
      </c>
      <c r="I536">
        <v>1249</v>
      </c>
      <c r="J536">
        <v>1503</v>
      </c>
      <c r="K536">
        <v>1075</v>
      </c>
      <c r="L536">
        <v>69320</v>
      </c>
      <c r="M536">
        <v>41243</v>
      </c>
      <c r="N536">
        <v>355</v>
      </c>
      <c r="O536">
        <v>233</v>
      </c>
      <c r="P536">
        <v>813</v>
      </c>
      <c r="Q536">
        <v>510</v>
      </c>
      <c r="R536">
        <v>28</v>
      </c>
      <c r="S536" t="s">
        <v>11</v>
      </c>
      <c r="T536" s="34">
        <v>93500</v>
      </c>
      <c r="U536" s="34">
        <v>52312</v>
      </c>
      <c r="V536" s="34">
        <v>8316</v>
      </c>
      <c r="W536">
        <v>1399</v>
      </c>
      <c r="X536">
        <v>6518</v>
      </c>
      <c r="Y536">
        <v>1089</v>
      </c>
      <c r="Z536">
        <v>5670</v>
      </c>
      <c r="AA536">
        <v>2000</v>
      </c>
      <c r="AB536">
        <v>49143</v>
      </c>
      <c r="AC536">
        <v>37269</v>
      </c>
      <c r="AD536">
        <v>2918</v>
      </c>
      <c r="AE536">
        <v>2207</v>
      </c>
      <c r="AF536">
        <v>9446</v>
      </c>
      <c r="AG536">
        <v>5338</v>
      </c>
      <c r="AH536">
        <f t="shared" si="92"/>
        <v>2918</v>
      </c>
      <c r="AI536">
        <f t="shared" si="93"/>
        <v>2207</v>
      </c>
      <c r="AJ536">
        <v>17979</v>
      </c>
      <c r="AK536">
        <v>10959</v>
      </c>
      <c r="AL536">
        <v>45810</v>
      </c>
      <c r="AM536">
        <v>34489</v>
      </c>
      <c r="AN536" s="22">
        <v>42</v>
      </c>
      <c r="AO536">
        <v>146</v>
      </c>
      <c r="AP536">
        <v>992</v>
      </c>
      <c r="AQ536">
        <v>564</v>
      </c>
      <c r="AR536">
        <v>25</v>
      </c>
      <c r="AS536" t="s">
        <v>11</v>
      </c>
      <c r="AT536">
        <f t="shared" si="86"/>
        <v>992</v>
      </c>
      <c r="AU536">
        <f t="shared" si="87"/>
        <v>564</v>
      </c>
      <c r="AV536" t="s">
        <v>11</v>
      </c>
      <c r="AW536" t="s">
        <v>11</v>
      </c>
      <c r="AX536">
        <v>4</v>
      </c>
      <c r="AY536">
        <v>2</v>
      </c>
      <c r="AZ536">
        <f t="shared" si="88"/>
        <v>992</v>
      </c>
      <c r="BA536">
        <f t="shared" si="89"/>
        <v>564</v>
      </c>
      <c r="BB536">
        <f t="shared" si="94"/>
        <v>42</v>
      </c>
      <c r="BC536">
        <f t="shared" si="95"/>
        <v>146</v>
      </c>
      <c r="BD536">
        <v>80</v>
      </c>
      <c r="BE536">
        <v>91</v>
      </c>
      <c r="BF536">
        <v>8</v>
      </c>
      <c r="BG536" t="s">
        <v>11</v>
      </c>
      <c r="BH536">
        <v>19</v>
      </c>
      <c r="BI536" t="s">
        <v>11</v>
      </c>
      <c r="BJ536">
        <v>80</v>
      </c>
      <c r="BK536" t="s">
        <v>11</v>
      </c>
      <c r="BL536">
        <v>150</v>
      </c>
      <c r="BM536" t="s">
        <v>11</v>
      </c>
      <c r="BN536">
        <v>25</v>
      </c>
      <c r="BO536" t="s">
        <v>11</v>
      </c>
      <c r="BP536">
        <f t="shared" si="91"/>
        <v>8</v>
      </c>
      <c r="BQ536" t="str">
        <f t="shared" si="90"/>
        <v>NoData</v>
      </c>
      <c r="BR536">
        <v>81</v>
      </c>
      <c r="BS536" t="s">
        <v>11</v>
      </c>
      <c r="BT536">
        <v>30</v>
      </c>
      <c r="BU536" t="s">
        <v>11</v>
      </c>
    </row>
    <row r="537" spans="1:73" x14ac:dyDescent="0.25">
      <c r="A537" s="5">
        <v>42125</v>
      </c>
      <c r="B537">
        <v>3222</v>
      </c>
      <c r="C537">
        <v>1742</v>
      </c>
      <c r="D537">
        <v>23</v>
      </c>
      <c r="E537">
        <v>12</v>
      </c>
      <c r="F537">
        <v>8018</v>
      </c>
      <c r="G537">
        <v>4435</v>
      </c>
      <c r="H537">
        <v>1571</v>
      </c>
      <c r="I537">
        <v>847</v>
      </c>
      <c r="J537">
        <v>969</v>
      </c>
      <c r="K537">
        <v>693</v>
      </c>
      <c r="L537">
        <v>61640</v>
      </c>
      <c r="M537">
        <v>34677</v>
      </c>
      <c r="N537">
        <v>435</v>
      </c>
      <c r="O537">
        <v>283</v>
      </c>
      <c r="P537">
        <v>360</v>
      </c>
      <c r="Q537">
        <v>257</v>
      </c>
      <c r="R537">
        <v>18</v>
      </c>
      <c r="S537" t="s">
        <v>11</v>
      </c>
      <c r="T537" s="34">
        <v>88680</v>
      </c>
      <c r="U537" s="34">
        <v>46457</v>
      </c>
      <c r="V537" s="34">
        <v>4164</v>
      </c>
      <c r="W537">
        <v>708</v>
      </c>
      <c r="X537">
        <v>5362</v>
      </c>
      <c r="Y537">
        <v>895</v>
      </c>
      <c r="Z537">
        <v>4585</v>
      </c>
      <c r="AA537">
        <v>1454</v>
      </c>
      <c r="AB537">
        <v>31033</v>
      </c>
      <c r="AC537">
        <v>19802</v>
      </c>
      <c r="AD537">
        <v>2759</v>
      </c>
      <c r="AE537">
        <v>2277</v>
      </c>
      <c r="AF537">
        <v>7176</v>
      </c>
      <c r="AG537">
        <v>3949</v>
      </c>
      <c r="AH537">
        <f t="shared" si="92"/>
        <v>2759</v>
      </c>
      <c r="AI537">
        <f t="shared" si="93"/>
        <v>2277</v>
      </c>
      <c r="AJ537">
        <v>17286</v>
      </c>
      <c r="AK537">
        <v>11676</v>
      </c>
      <c r="AL537">
        <v>35634</v>
      </c>
      <c r="AM537">
        <v>24019</v>
      </c>
      <c r="AN537" s="22">
        <v>0</v>
      </c>
      <c r="AO537">
        <v>145</v>
      </c>
      <c r="AP537">
        <v>647</v>
      </c>
      <c r="AQ537">
        <v>371</v>
      </c>
      <c r="AR537">
        <v>30</v>
      </c>
      <c r="AS537" t="s">
        <v>11</v>
      </c>
      <c r="AT537">
        <f t="shared" si="86"/>
        <v>647</v>
      </c>
      <c r="AU537">
        <f t="shared" si="87"/>
        <v>371</v>
      </c>
      <c r="AV537" t="s">
        <v>11</v>
      </c>
      <c r="AW537" t="s">
        <v>11</v>
      </c>
      <c r="AX537">
        <v>4</v>
      </c>
      <c r="AY537">
        <v>2</v>
      </c>
      <c r="AZ537">
        <f t="shared" si="88"/>
        <v>647</v>
      </c>
      <c r="BA537">
        <f t="shared" si="89"/>
        <v>371</v>
      </c>
      <c r="BB537">
        <f t="shared" si="94"/>
        <v>0</v>
      </c>
      <c r="BC537">
        <f t="shared" si="95"/>
        <v>145</v>
      </c>
      <c r="BD537">
        <v>107</v>
      </c>
      <c r="BE537">
        <v>74</v>
      </c>
      <c r="BF537">
        <v>10</v>
      </c>
      <c r="BG537" t="s">
        <v>11</v>
      </c>
      <c r="BH537">
        <v>23</v>
      </c>
      <c r="BI537" t="s">
        <v>11</v>
      </c>
      <c r="BJ537">
        <v>0</v>
      </c>
      <c r="BK537" t="s">
        <v>11</v>
      </c>
      <c r="BL537">
        <v>91</v>
      </c>
      <c r="BM537" t="s">
        <v>11</v>
      </c>
      <c r="BN537">
        <v>31</v>
      </c>
      <c r="BO537" t="s">
        <v>11</v>
      </c>
      <c r="BP537">
        <f t="shared" si="91"/>
        <v>10</v>
      </c>
      <c r="BQ537" t="str">
        <f t="shared" si="90"/>
        <v>NoData</v>
      </c>
      <c r="BR537">
        <v>47</v>
      </c>
      <c r="BS537" t="s">
        <v>11</v>
      </c>
      <c r="BT537">
        <v>21</v>
      </c>
      <c r="BU537" t="s">
        <v>11</v>
      </c>
    </row>
    <row r="538" spans="1:73" x14ac:dyDescent="0.25">
      <c r="A538" s="5">
        <v>42156</v>
      </c>
      <c r="B538">
        <v>3975</v>
      </c>
      <c r="C538">
        <v>2153</v>
      </c>
      <c r="D538">
        <v>25</v>
      </c>
      <c r="E538">
        <v>13</v>
      </c>
      <c r="F538">
        <v>9721</v>
      </c>
      <c r="G538">
        <v>5432</v>
      </c>
      <c r="H538">
        <v>1443</v>
      </c>
      <c r="I538">
        <v>779</v>
      </c>
      <c r="J538">
        <v>890</v>
      </c>
      <c r="K538">
        <v>636</v>
      </c>
      <c r="L538">
        <v>66160</v>
      </c>
      <c r="M538">
        <v>39292</v>
      </c>
      <c r="N538">
        <v>527</v>
      </c>
      <c r="O538">
        <v>342</v>
      </c>
      <c r="P538">
        <v>305</v>
      </c>
      <c r="Q538">
        <v>218</v>
      </c>
      <c r="R538">
        <v>34</v>
      </c>
      <c r="S538" t="s">
        <v>11</v>
      </c>
      <c r="T538" s="34">
        <v>97070</v>
      </c>
      <c r="U538" s="34">
        <v>54203</v>
      </c>
      <c r="V538" s="34">
        <v>1824</v>
      </c>
      <c r="W538">
        <v>320</v>
      </c>
      <c r="X538">
        <v>3517</v>
      </c>
      <c r="Y538">
        <v>587</v>
      </c>
      <c r="Z538">
        <v>3978</v>
      </c>
      <c r="AA538">
        <v>1209</v>
      </c>
      <c r="AB538">
        <v>26758</v>
      </c>
      <c r="AC538">
        <v>16836</v>
      </c>
      <c r="AD538">
        <v>3119</v>
      </c>
      <c r="AE538">
        <v>2120</v>
      </c>
      <c r="AF538">
        <v>5420</v>
      </c>
      <c r="AG538">
        <v>3082</v>
      </c>
      <c r="AH538">
        <f t="shared" si="92"/>
        <v>3119</v>
      </c>
      <c r="AI538">
        <f t="shared" si="93"/>
        <v>2120</v>
      </c>
      <c r="AJ538">
        <v>20740</v>
      </c>
      <c r="AK538">
        <v>11557</v>
      </c>
      <c r="AL538">
        <v>33762</v>
      </c>
      <c r="AM538">
        <v>22698</v>
      </c>
      <c r="AN538" s="22">
        <v>0</v>
      </c>
      <c r="AO538">
        <v>176</v>
      </c>
      <c r="AP538">
        <v>283</v>
      </c>
      <c r="AQ538">
        <v>162</v>
      </c>
      <c r="AR538">
        <v>36</v>
      </c>
      <c r="AS538" t="s">
        <v>11</v>
      </c>
      <c r="AT538">
        <f t="shared" si="86"/>
        <v>283</v>
      </c>
      <c r="AU538">
        <f t="shared" si="87"/>
        <v>162</v>
      </c>
      <c r="AV538" t="s">
        <v>11</v>
      </c>
      <c r="AW538" t="s">
        <v>11</v>
      </c>
      <c r="AX538">
        <v>4</v>
      </c>
      <c r="AY538">
        <v>2</v>
      </c>
      <c r="AZ538">
        <f t="shared" si="88"/>
        <v>283</v>
      </c>
      <c r="BA538">
        <f t="shared" si="89"/>
        <v>162</v>
      </c>
      <c r="BB538">
        <f t="shared" si="94"/>
        <v>0</v>
      </c>
      <c r="BC538">
        <f t="shared" si="95"/>
        <v>176</v>
      </c>
      <c r="BD538">
        <v>152</v>
      </c>
      <c r="BE538">
        <v>106</v>
      </c>
      <c r="BF538">
        <v>12</v>
      </c>
      <c r="BG538" t="s">
        <v>11</v>
      </c>
      <c r="BH538">
        <v>28</v>
      </c>
      <c r="BI538" t="s">
        <v>11</v>
      </c>
      <c r="BJ538">
        <v>0</v>
      </c>
      <c r="BK538" t="s">
        <v>11</v>
      </c>
      <c r="BL538">
        <v>152</v>
      </c>
      <c r="BM538" t="s">
        <v>11</v>
      </c>
      <c r="BN538">
        <v>37</v>
      </c>
      <c r="BO538" t="s">
        <v>11</v>
      </c>
      <c r="BP538">
        <f t="shared" si="91"/>
        <v>12</v>
      </c>
      <c r="BQ538" t="str">
        <f t="shared" si="90"/>
        <v>NoData</v>
      </c>
      <c r="BR538">
        <v>0</v>
      </c>
      <c r="BS538" t="s">
        <v>11</v>
      </c>
      <c r="BT538">
        <v>20</v>
      </c>
      <c r="BU538" t="s">
        <v>11</v>
      </c>
    </row>
    <row r="539" spans="1:73" x14ac:dyDescent="0.25">
      <c r="A539" s="5">
        <v>42186</v>
      </c>
      <c r="B539">
        <v>3439</v>
      </c>
      <c r="C539">
        <v>1858</v>
      </c>
      <c r="D539">
        <v>20</v>
      </c>
      <c r="E539">
        <v>11</v>
      </c>
      <c r="F539">
        <v>9251</v>
      </c>
      <c r="G539">
        <v>5227</v>
      </c>
      <c r="H539">
        <v>1087</v>
      </c>
      <c r="I539">
        <v>587</v>
      </c>
      <c r="J539">
        <v>1277</v>
      </c>
      <c r="K539">
        <v>913</v>
      </c>
      <c r="L539">
        <v>66090</v>
      </c>
      <c r="M539">
        <v>37551</v>
      </c>
      <c r="N539">
        <v>575</v>
      </c>
      <c r="O539">
        <v>371</v>
      </c>
      <c r="P539">
        <v>362</v>
      </c>
      <c r="Q539">
        <v>259</v>
      </c>
      <c r="R539">
        <v>47</v>
      </c>
      <c r="S539" t="s">
        <v>11</v>
      </c>
      <c r="T539" s="34">
        <v>100000</v>
      </c>
      <c r="U539" s="34">
        <v>55124</v>
      </c>
      <c r="V539" s="34">
        <v>1321</v>
      </c>
      <c r="W539">
        <v>237</v>
      </c>
      <c r="X539">
        <v>3251</v>
      </c>
      <c r="Y539">
        <v>543</v>
      </c>
      <c r="Z539">
        <v>3846</v>
      </c>
      <c r="AA539">
        <v>1302</v>
      </c>
      <c r="AB539">
        <v>32307</v>
      </c>
      <c r="AC539">
        <v>24258</v>
      </c>
      <c r="AD539">
        <v>3586</v>
      </c>
      <c r="AE539">
        <v>1976</v>
      </c>
      <c r="AF539">
        <v>6845</v>
      </c>
      <c r="AG539">
        <v>4042</v>
      </c>
      <c r="AH539">
        <f t="shared" si="92"/>
        <v>3586</v>
      </c>
      <c r="AI539">
        <f t="shared" si="93"/>
        <v>1976</v>
      </c>
      <c r="AJ539">
        <v>22245</v>
      </c>
      <c r="AK539">
        <v>9492</v>
      </c>
      <c r="AL539">
        <v>30943</v>
      </c>
      <c r="AM539">
        <v>20900</v>
      </c>
      <c r="AN539" s="22">
        <v>0</v>
      </c>
      <c r="AO539">
        <v>192</v>
      </c>
      <c r="AP539">
        <v>302</v>
      </c>
      <c r="AQ539">
        <v>179</v>
      </c>
      <c r="AR539">
        <v>40</v>
      </c>
      <c r="AS539" t="s">
        <v>11</v>
      </c>
      <c r="AT539">
        <f t="shared" si="86"/>
        <v>302</v>
      </c>
      <c r="AU539">
        <f t="shared" si="87"/>
        <v>179</v>
      </c>
      <c r="AV539" t="s">
        <v>11</v>
      </c>
      <c r="AW539" t="s">
        <v>11</v>
      </c>
      <c r="AX539">
        <v>4</v>
      </c>
      <c r="AY539">
        <v>2</v>
      </c>
      <c r="AZ539">
        <f t="shared" si="88"/>
        <v>302</v>
      </c>
      <c r="BA539">
        <f t="shared" si="89"/>
        <v>179</v>
      </c>
      <c r="BB539">
        <f t="shared" si="94"/>
        <v>0</v>
      </c>
      <c r="BC539">
        <f t="shared" si="95"/>
        <v>192</v>
      </c>
      <c r="BD539">
        <v>135</v>
      </c>
      <c r="BE539">
        <v>80</v>
      </c>
      <c r="BF539">
        <v>13</v>
      </c>
      <c r="BG539" t="s">
        <v>11</v>
      </c>
      <c r="BH539">
        <v>31</v>
      </c>
      <c r="BI539" t="s">
        <v>11</v>
      </c>
      <c r="BJ539">
        <v>22</v>
      </c>
      <c r="BK539" t="s">
        <v>11</v>
      </c>
      <c r="BL539">
        <v>163</v>
      </c>
      <c r="BM539" t="s">
        <v>11</v>
      </c>
      <c r="BN539">
        <v>40</v>
      </c>
      <c r="BO539" t="s">
        <v>11</v>
      </c>
      <c r="BP539">
        <f t="shared" si="91"/>
        <v>13</v>
      </c>
      <c r="BQ539" t="str">
        <f t="shared" si="90"/>
        <v>NoData</v>
      </c>
      <c r="BR539">
        <v>0</v>
      </c>
      <c r="BS539" t="s">
        <v>11</v>
      </c>
      <c r="BT539">
        <v>20</v>
      </c>
      <c r="BU539" t="s">
        <v>11</v>
      </c>
    </row>
    <row r="540" spans="1:73" x14ac:dyDescent="0.25">
      <c r="A540" s="5">
        <v>42217</v>
      </c>
      <c r="B540">
        <v>4055</v>
      </c>
      <c r="C540">
        <v>2187</v>
      </c>
      <c r="D540">
        <v>26</v>
      </c>
      <c r="E540">
        <v>14</v>
      </c>
      <c r="F540">
        <v>9507</v>
      </c>
      <c r="G540">
        <v>5390</v>
      </c>
      <c r="H540">
        <v>2008</v>
      </c>
      <c r="I540">
        <v>1082</v>
      </c>
      <c r="J540">
        <v>1326</v>
      </c>
      <c r="K540">
        <v>948</v>
      </c>
      <c r="L540">
        <v>65980</v>
      </c>
      <c r="M540">
        <v>40936</v>
      </c>
      <c r="N540">
        <v>554</v>
      </c>
      <c r="O540">
        <v>365</v>
      </c>
      <c r="P540">
        <v>436</v>
      </c>
      <c r="Q540">
        <v>3142</v>
      </c>
      <c r="R540">
        <v>28</v>
      </c>
      <c r="S540" t="s">
        <v>11</v>
      </c>
      <c r="T540" s="34">
        <v>94830</v>
      </c>
      <c r="U540" s="34">
        <v>52560</v>
      </c>
      <c r="V540" s="34">
        <v>5543</v>
      </c>
      <c r="W540">
        <v>942</v>
      </c>
      <c r="X540">
        <v>3900</v>
      </c>
      <c r="Y540">
        <v>651</v>
      </c>
      <c r="Z540">
        <v>2639</v>
      </c>
      <c r="AA540">
        <v>764</v>
      </c>
      <c r="AB540">
        <v>21279</v>
      </c>
      <c r="AC540">
        <v>13716</v>
      </c>
      <c r="AD540">
        <v>3464</v>
      </c>
      <c r="AE540">
        <v>1983</v>
      </c>
      <c r="AF540">
        <v>3796</v>
      </c>
      <c r="AG540">
        <v>2072</v>
      </c>
      <c r="AH540">
        <f t="shared" si="92"/>
        <v>3464</v>
      </c>
      <c r="AI540">
        <f t="shared" si="93"/>
        <v>1983</v>
      </c>
      <c r="AJ540">
        <v>20159</v>
      </c>
      <c r="AK540">
        <v>8509</v>
      </c>
      <c r="AL540">
        <v>32972</v>
      </c>
      <c r="AM540">
        <v>22575</v>
      </c>
      <c r="AN540" s="22">
        <v>0</v>
      </c>
      <c r="AO540">
        <v>185</v>
      </c>
      <c r="AP540">
        <v>502</v>
      </c>
      <c r="AQ540">
        <v>292</v>
      </c>
      <c r="AR540">
        <v>38</v>
      </c>
      <c r="AS540" t="s">
        <v>11</v>
      </c>
      <c r="AT540">
        <f t="shared" si="86"/>
        <v>502</v>
      </c>
      <c r="AU540">
        <f t="shared" si="87"/>
        <v>292</v>
      </c>
      <c r="AV540" t="s">
        <v>11</v>
      </c>
      <c r="AW540" t="s">
        <v>11</v>
      </c>
      <c r="AX540">
        <v>4</v>
      </c>
      <c r="AY540">
        <v>2</v>
      </c>
      <c r="AZ540">
        <f t="shared" si="88"/>
        <v>502</v>
      </c>
      <c r="BA540">
        <f t="shared" si="89"/>
        <v>292</v>
      </c>
      <c r="BB540">
        <f t="shared" si="94"/>
        <v>0</v>
      </c>
      <c r="BC540">
        <f t="shared" si="95"/>
        <v>185</v>
      </c>
      <c r="BD540">
        <v>161</v>
      </c>
      <c r="BE540">
        <v>110</v>
      </c>
      <c r="BF540">
        <v>13</v>
      </c>
      <c r="BG540" t="s">
        <v>11</v>
      </c>
      <c r="BH540">
        <v>29</v>
      </c>
      <c r="BI540" t="s">
        <v>11</v>
      </c>
      <c r="BJ540">
        <v>0</v>
      </c>
      <c r="BK540" t="s">
        <v>11</v>
      </c>
      <c r="BL540">
        <v>45</v>
      </c>
      <c r="BM540" t="s">
        <v>11</v>
      </c>
      <c r="BN540">
        <v>39</v>
      </c>
      <c r="BO540" t="s">
        <v>11</v>
      </c>
      <c r="BP540">
        <f t="shared" si="91"/>
        <v>13</v>
      </c>
      <c r="BQ540" t="str">
        <f t="shared" si="90"/>
        <v>NoData</v>
      </c>
      <c r="BR540">
        <v>69</v>
      </c>
      <c r="BS540" t="s">
        <v>11</v>
      </c>
      <c r="BT540">
        <v>24</v>
      </c>
      <c r="BU540" t="s">
        <v>11</v>
      </c>
    </row>
    <row r="541" spans="1:73" x14ac:dyDescent="0.25">
      <c r="A541" s="5">
        <v>42248</v>
      </c>
      <c r="B541">
        <v>3686</v>
      </c>
      <c r="C541">
        <v>1933</v>
      </c>
      <c r="D541">
        <v>14</v>
      </c>
      <c r="E541">
        <v>8</v>
      </c>
      <c r="F541">
        <v>4982</v>
      </c>
      <c r="G541">
        <v>2738</v>
      </c>
      <c r="H541">
        <v>2116</v>
      </c>
      <c r="I541">
        <v>1141</v>
      </c>
      <c r="J541">
        <v>912</v>
      </c>
      <c r="K541">
        <v>652</v>
      </c>
      <c r="L541">
        <v>48690</v>
      </c>
      <c r="M541">
        <v>25503</v>
      </c>
      <c r="N541">
        <v>435</v>
      </c>
      <c r="O541">
        <v>288</v>
      </c>
      <c r="P541">
        <v>430</v>
      </c>
      <c r="Q541">
        <v>307</v>
      </c>
      <c r="R541">
        <v>24</v>
      </c>
      <c r="S541" t="s">
        <v>11</v>
      </c>
      <c r="T541" s="34">
        <v>77680</v>
      </c>
      <c r="U541" s="34">
        <v>36980</v>
      </c>
      <c r="V541" s="34">
        <v>3150</v>
      </c>
      <c r="W541">
        <v>539</v>
      </c>
      <c r="X541">
        <v>3566</v>
      </c>
      <c r="Y541">
        <v>596</v>
      </c>
      <c r="Z541">
        <v>3460</v>
      </c>
      <c r="AA541">
        <v>1116</v>
      </c>
      <c r="AB541">
        <v>21549</v>
      </c>
      <c r="AC541">
        <v>10031</v>
      </c>
      <c r="AD541">
        <v>2202</v>
      </c>
      <c r="AE541">
        <v>1593</v>
      </c>
      <c r="AF541">
        <v>6031</v>
      </c>
      <c r="AG541">
        <v>3518</v>
      </c>
      <c r="AH541">
        <f t="shared" si="92"/>
        <v>2202</v>
      </c>
      <c r="AI541">
        <f t="shared" si="93"/>
        <v>1593</v>
      </c>
      <c r="AJ541">
        <v>14977</v>
      </c>
      <c r="AK541">
        <v>9042</v>
      </c>
      <c r="AL541">
        <v>37475</v>
      </c>
      <c r="AM541">
        <v>26960</v>
      </c>
      <c r="AN541" s="22">
        <v>3</v>
      </c>
      <c r="AO541">
        <v>147</v>
      </c>
      <c r="AP541">
        <v>525</v>
      </c>
      <c r="AQ541">
        <v>313</v>
      </c>
      <c r="AR541">
        <v>30</v>
      </c>
      <c r="AS541" t="s">
        <v>11</v>
      </c>
      <c r="AT541">
        <f t="shared" si="86"/>
        <v>525</v>
      </c>
      <c r="AU541">
        <f t="shared" si="87"/>
        <v>313</v>
      </c>
      <c r="AV541" t="s">
        <v>11</v>
      </c>
      <c r="AW541" t="s">
        <v>11</v>
      </c>
      <c r="AX541">
        <v>4</v>
      </c>
      <c r="AY541">
        <v>2</v>
      </c>
      <c r="AZ541">
        <f t="shared" si="88"/>
        <v>525</v>
      </c>
      <c r="BA541">
        <f t="shared" si="89"/>
        <v>313</v>
      </c>
      <c r="BB541">
        <f t="shared" si="94"/>
        <v>3</v>
      </c>
      <c r="BC541">
        <f t="shared" si="95"/>
        <v>147</v>
      </c>
      <c r="BD541">
        <v>109</v>
      </c>
      <c r="BE541">
        <v>110</v>
      </c>
      <c r="BF541">
        <v>10</v>
      </c>
      <c r="BG541" t="s">
        <v>11</v>
      </c>
      <c r="BH541">
        <v>23</v>
      </c>
      <c r="BI541" t="s">
        <v>11</v>
      </c>
      <c r="BJ541">
        <v>43</v>
      </c>
      <c r="BK541" t="s">
        <v>11</v>
      </c>
      <c r="BL541">
        <v>38</v>
      </c>
      <c r="BM541" t="s">
        <v>11</v>
      </c>
      <c r="BN541">
        <v>31</v>
      </c>
      <c r="BO541" t="s">
        <v>11</v>
      </c>
      <c r="BP541">
        <f t="shared" si="91"/>
        <v>10</v>
      </c>
      <c r="BQ541" t="str">
        <f t="shared" si="90"/>
        <v>NoData</v>
      </c>
      <c r="BR541">
        <v>107</v>
      </c>
      <c r="BS541" t="s">
        <v>11</v>
      </c>
      <c r="BT541">
        <v>28</v>
      </c>
      <c r="BU541" t="s">
        <v>11</v>
      </c>
    </row>
    <row r="542" spans="1:73" x14ac:dyDescent="0.25">
      <c r="A542" s="5">
        <v>42278</v>
      </c>
      <c r="B542">
        <v>1682</v>
      </c>
      <c r="C542">
        <v>902</v>
      </c>
      <c r="D542">
        <v>11</v>
      </c>
      <c r="E542">
        <v>6</v>
      </c>
      <c r="F542">
        <v>2057</v>
      </c>
      <c r="G542">
        <v>1193</v>
      </c>
      <c r="H542">
        <v>579</v>
      </c>
      <c r="I542">
        <v>314</v>
      </c>
      <c r="J542">
        <v>564</v>
      </c>
      <c r="K542">
        <v>403</v>
      </c>
      <c r="L542">
        <v>34400</v>
      </c>
      <c r="M542">
        <v>12823</v>
      </c>
      <c r="N542">
        <v>364</v>
      </c>
      <c r="O542">
        <v>241</v>
      </c>
      <c r="P542">
        <v>277</v>
      </c>
      <c r="Q542">
        <v>198</v>
      </c>
      <c r="R542">
        <v>15</v>
      </c>
      <c r="S542" t="s">
        <v>11</v>
      </c>
      <c r="T542" s="34">
        <v>61460</v>
      </c>
      <c r="U542" s="34">
        <v>21537</v>
      </c>
      <c r="V542" s="34">
        <v>4810</v>
      </c>
      <c r="W542">
        <v>814</v>
      </c>
      <c r="X542">
        <v>4257</v>
      </c>
      <c r="Y542">
        <v>711</v>
      </c>
      <c r="Z542">
        <v>4068</v>
      </c>
      <c r="AA542">
        <v>1132</v>
      </c>
      <c r="AB542">
        <v>37925</v>
      </c>
      <c r="AC542">
        <v>25337</v>
      </c>
      <c r="AD542">
        <v>2186</v>
      </c>
      <c r="AE542">
        <v>2074</v>
      </c>
      <c r="AF542">
        <v>6481</v>
      </c>
      <c r="AG542">
        <v>3621</v>
      </c>
      <c r="AH542">
        <f t="shared" si="92"/>
        <v>2186</v>
      </c>
      <c r="AI542">
        <f t="shared" si="93"/>
        <v>2074</v>
      </c>
      <c r="AJ542">
        <v>13649</v>
      </c>
      <c r="AK542">
        <v>10773</v>
      </c>
      <c r="AL542">
        <v>33343</v>
      </c>
      <c r="AM542">
        <v>22334</v>
      </c>
      <c r="AN542" s="22">
        <v>0</v>
      </c>
      <c r="AO542">
        <v>121</v>
      </c>
      <c r="AP542">
        <v>289</v>
      </c>
      <c r="AQ542">
        <v>170</v>
      </c>
      <c r="AR542">
        <v>25</v>
      </c>
      <c r="AS542" t="s">
        <v>11</v>
      </c>
      <c r="AT542">
        <f t="shared" si="86"/>
        <v>289</v>
      </c>
      <c r="AU542">
        <f t="shared" si="87"/>
        <v>170</v>
      </c>
      <c r="AV542" t="s">
        <v>11</v>
      </c>
      <c r="AW542" t="s">
        <v>11</v>
      </c>
      <c r="AX542">
        <v>4</v>
      </c>
      <c r="AY542">
        <v>2</v>
      </c>
      <c r="AZ542">
        <f t="shared" si="88"/>
        <v>289</v>
      </c>
      <c r="BA542">
        <f t="shared" si="89"/>
        <v>170</v>
      </c>
      <c r="BB542">
        <f t="shared" si="94"/>
        <v>0</v>
      </c>
      <c r="BC542">
        <f t="shared" si="95"/>
        <v>121</v>
      </c>
      <c r="BD542">
        <v>67</v>
      </c>
      <c r="BE542">
        <v>71</v>
      </c>
      <c r="BF542">
        <v>8</v>
      </c>
      <c r="BG542" t="s">
        <v>11</v>
      </c>
      <c r="BH542">
        <v>19</v>
      </c>
      <c r="BI542" t="s">
        <v>11</v>
      </c>
      <c r="BJ542">
        <v>35</v>
      </c>
      <c r="BK542" t="s">
        <v>11</v>
      </c>
      <c r="BL542">
        <v>26</v>
      </c>
      <c r="BM542" t="s">
        <v>11</v>
      </c>
      <c r="BN542">
        <v>26</v>
      </c>
      <c r="BO542" t="s">
        <v>11</v>
      </c>
      <c r="BP542">
        <f t="shared" si="91"/>
        <v>8</v>
      </c>
      <c r="BQ542" t="str">
        <f t="shared" si="90"/>
        <v>NoData</v>
      </c>
      <c r="BR542">
        <v>151</v>
      </c>
      <c r="BS542" t="s">
        <v>11</v>
      </c>
      <c r="BT542">
        <v>40</v>
      </c>
      <c r="BU542" t="s">
        <v>11</v>
      </c>
    </row>
    <row r="543" spans="1:73" x14ac:dyDescent="0.25">
      <c r="A543" s="5">
        <v>42309</v>
      </c>
      <c r="B543">
        <v>1605</v>
      </c>
      <c r="C543">
        <v>867</v>
      </c>
      <c r="D543">
        <v>10</v>
      </c>
      <c r="E543">
        <v>5</v>
      </c>
      <c r="F543">
        <v>2756</v>
      </c>
      <c r="G543">
        <v>1521</v>
      </c>
      <c r="H543">
        <v>346</v>
      </c>
      <c r="I543">
        <v>188</v>
      </c>
      <c r="J543">
        <v>508</v>
      </c>
      <c r="K543">
        <v>363</v>
      </c>
      <c r="L543">
        <v>31140</v>
      </c>
      <c r="M543">
        <v>12134</v>
      </c>
      <c r="N543">
        <v>259</v>
      </c>
      <c r="O543">
        <v>175</v>
      </c>
      <c r="P543">
        <v>281</v>
      </c>
      <c r="Q543">
        <v>201</v>
      </c>
      <c r="R543">
        <v>14</v>
      </c>
      <c r="S543" t="s">
        <v>11</v>
      </c>
      <c r="T543" s="34">
        <v>50320</v>
      </c>
      <c r="U543" s="34">
        <v>13624</v>
      </c>
      <c r="V543" s="34">
        <v>3958</v>
      </c>
      <c r="W543">
        <v>669</v>
      </c>
      <c r="X543">
        <v>3807</v>
      </c>
      <c r="Y543">
        <v>636</v>
      </c>
      <c r="Z543">
        <v>3376</v>
      </c>
      <c r="AA543">
        <v>680</v>
      </c>
      <c r="AB543">
        <v>29443</v>
      </c>
      <c r="AC543">
        <v>17131</v>
      </c>
      <c r="AD543">
        <v>2056</v>
      </c>
      <c r="AE543">
        <v>1432</v>
      </c>
      <c r="AF543">
        <v>5068</v>
      </c>
      <c r="AG543">
        <v>2712</v>
      </c>
      <c r="AH543">
        <f t="shared" si="92"/>
        <v>2056</v>
      </c>
      <c r="AI543">
        <f t="shared" si="93"/>
        <v>1432</v>
      </c>
      <c r="AJ543">
        <v>11778</v>
      </c>
      <c r="AK543">
        <v>6348</v>
      </c>
      <c r="AL543">
        <v>21569</v>
      </c>
      <c r="AM543">
        <v>12964</v>
      </c>
      <c r="AN543" s="22">
        <v>0</v>
      </c>
      <c r="AO543">
        <v>86</v>
      </c>
      <c r="AP543">
        <v>340</v>
      </c>
      <c r="AQ543">
        <v>1947</v>
      </c>
      <c r="AR543">
        <v>18</v>
      </c>
      <c r="AS543" t="s">
        <v>11</v>
      </c>
      <c r="AT543">
        <f t="shared" si="86"/>
        <v>340</v>
      </c>
      <c r="AU543">
        <f t="shared" si="87"/>
        <v>1947</v>
      </c>
      <c r="AV543" t="s">
        <v>11</v>
      </c>
      <c r="AW543" t="s">
        <v>11</v>
      </c>
      <c r="AX543">
        <v>4</v>
      </c>
      <c r="AY543">
        <v>2</v>
      </c>
      <c r="AZ543">
        <f t="shared" si="88"/>
        <v>340</v>
      </c>
      <c r="BA543">
        <f t="shared" si="89"/>
        <v>1947</v>
      </c>
      <c r="BB543">
        <f t="shared" si="94"/>
        <v>0</v>
      </c>
      <c r="BC543">
        <f t="shared" si="95"/>
        <v>86</v>
      </c>
      <c r="BD543">
        <v>107</v>
      </c>
      <c r="BE543">
        <v>80</v>
      </c>
      <c r="BF543">
        <v>6</v>
      </c>
      <c r="BG543" t="s">
        <v>11</v>
      </c>
      <c r="BH543">
        <v>14</v>
      </c>
      <c r="BI543" t="s">
        <v>11</v>
      </c>
      <c r="BJ543">
        <v>15</v>
      </c>
      <c r="BK543" t="s">
        <v>11</v>
      </c>
      <c r="BL543">
        <v>25</v>
      </c>
      <c r="BM543" t="s">
        <v>11</v>
      </c>
      <c r="BN543">
        <v>18</v>
      </c>
      <c r="BO543" t="s">
        <v>11</v>
      </c>
      <c r="BP543">
        <f t="shared" si="91"/>
        <v>6</v>
      </c>
      <c r="BQ543" t="str">
        <f t="shared" si="90"/>
        <v>NoData</v>
      </c>
      <c r="BR543">
        <v>58</v>
      </c>
      <c r="BS543" t="s">
        <v>11</v>
      </c>
      <c r="BT543">
        <v>24</v>
      </c>
      <c r="BU543" t="s">
        <v>11</v>
      </c>
    </row>
    <row r="544" spans="1:73" x14ac:dyDescent="0.25">
      <c r="A544" s="5">
        <v>42339</v>
      </c>
      <c r="B544">
        <v>1021</v>
      </c>
      <c r="C544">
        <v>551</v>
      </c>
      <c r="D544">
        <v>40</v>
      </c>
      <c r="E544">
        <v>22</v>
      </c>
      <c r="F544">
        <v>1597</v>
      </c>
      <c r="G544">
        <v>921</v>
      </c>
      <c r="H544">
        <v>127</v>
      </c>
      <c r="I544">
        <v>70</v>
      </c>
      <c r="J544">
        <v>378</v>
      </c>
      <c r="K544">
        <v>270</v>
      </c>
      <c r="L544">
        <v>33070</v>
      </c>
      <c r="M544">
        <v>11571</v>
      </c>
      <c r="N544">
        <v>255</v>
      </c>
      <c r="O544">
        <v>169</v>
      </c>
      <c r="P544">
        <v>151</v>
      </c>
      <c r="Q544">
        <v>108</v>
      </c>
      <c r="R544">
        <v>12</v>
      </c>
      <c r="S544" t="s">
        <v>11</v>
      </c>
      <c r="T544" s="34">
        <v>45890</v>
      </c>
      <c r="U544" s="34">
        <v>10106</v>
      </c>
      <c r="V544" s="34">
        <v>2695</v>
      </c>
      <c r="W544">
        <v>458</v>
      </c>
      <c r="X544">
        <v>2851</v>
      </c>
      <c r="Y544">
        <v>476</v>
      </c>
      <c r="Z544">
        <v>2342</v>
      </c>
      <c r="AA544">
        <v>331</v>
      </c>
      <c r="AB544">
        <v>21741</v>
      </c>
      <c r="AC544">
        <v>9559</v>
      </c>
      <c r="AD544">
        <v>1222</v>
      </c>
      <c r="AE544">
        <v>557</v>
      </c>
      <c r="AF544">
        <v>3562</v>
      </c>
      <c r="AG544">
        <v>1907</v>
      </c>
      <c r="AH544">
        <f t="shared" si="92"/>
        <v>1222</v>
      </c>
      <c r="AI544">
        <f t="shared" si="93"/>
        <v>557</v>
      </c>
      <c r="AJ544">
        <v>9272</v>
      </c>
      <c r="AK544">
        <v>3842</v>
      </c>
      <c r="AL544">
        <v>19333</v>
      </c>
      <c r="AM544">
        <v>10602</v>
      </c>
      <c r="AN544" s="22">
        <v>49</v>
      </c>
      <c r="AO544">
        <v>113</v>
      </c>
      <c r="AP544">
        <v>591</v>
      </c>
      <c r="AQ544">
        <v>336</v>
      </c>
      <c r="AR544">
        <v>18</v>
      </c>
      <c r="AS544" t="s">
        <v>11</v>
      </c>
      <c r="AT544">
        <f t="shared" si="86"/>
        <v>591</v>
      </c>
      <c r="AU544">
        <f t="shared" si="87"/>
        <v>336</v>
      </c>
      <c r="AV544" t="s">
        <v>11</v>
      </c>
      <c r="AW544" t="s">
        <v>11</v>
      </c>
      <c r="AX544">
        <v>4</v>
      </c>
      <c r="AY544">
        <v>2</v>
      </c>
      <c r="AZ544">
        <f t="shared" si="88"/>
        <v>591</v>
      </c>
      <c r="BA544">
        <f t="shared" si="89"/>
        <v>336</v>
      </c>
      <c r="BB544">
        <f t="shared" si="94"/>
        <v>49</v>
      </c>
      <c r="BC544">
        <f t="shared" si="95"/>
        <v>113</v>
      </c>
      <c r="BD544">
        <v>34</v>
      </c>
      <c r="BE544">
        <v>39</v>
      </c>
      <c r="BF544">
        <v>6</v>
      </c>
      <c r="BG544" t="s">
        <v>11</v>
      </c>
      <c r="BH544">
        <v>14</v>
      </c>
      <c r="BI544" t="s">
        <v>11</v>
      </c>
      <c r="BJ544">
        <v>29</v>
      </c>
      <c r="BK544" t="s">
        <v>11</v>
      </c>
      <c r="BL544">
        <v>22</v>
      </c>
      <c r="BM544" t="s">
        <v>11</v>
      </c>
      <c r="BN544">
        <v>18</v>
      </c>
      <c r="BO544" t="s">
        <v>11</v>
      </c>
      <c r="BP544">
        <f t="shared" si="91"/>
        <v>6</v>
      </c>
      <c r="BQ544" t="str">
        <f t="shared" si="90"/>
        <v>NoData</v>
      </c>
      <c r="BR544">
        <v>107</v>
      </c>
      <c r="BS544" t="s">
        <v>11</v>
      </c>
      <c r="BT544">
        <v>30</v>
      </c>
      <c r="BU544" t="s">
        <v>11</v>
      </c>
    </row>
    <row r="545" spans="1:73" x14ac:dyDescent="0.25">
      <c r="A545" s="5">
        <v>42370</v>
      </c>
      <c r="B545">
        <v>1288</v>
      </c>
      <c r="C545">
        <v>696</v>
      </c>
      <c r="D545">
        <v>14</v>
      </c>
      <c r="E545">
        <v>8</v>
      </c>
      <c r="F545">
        <v>1725</v>
      </c>
      <c r="G545">
        <v>850</v>
      </c>
      <c r="H545">
        <v>13</v>
      </c>
      <c r="I545">
        <v>10</v>
      </c>
      <c r="J545">
        <v>300</v>
      </c>
      <c r="K545">
        <v>214</v>
      </c>
      <c r="L545">
        <v>14210</v>
      </c>
      <c r="M545">
        <v>-4229</v>
      </c>
      <c r="N545">
        <v>199</v>
      </c>
      <c r="O545">
        <v>135</v>
      </c>
      <c r="P545">
        <v>33</v>
      </c>
      <c r="Q545">
        <v>24</v>
      </c>
      <c r="R545">
        <v>10</v>
      </c>
      <c r="S545">
        <v>6</v>
      </c>
      <c r="T545" s="34">
        <v>25610</v>
      </c>
      <c r="U545" s="34">
        <v>-3769</v>
      </c>
      <c r="V545" s="34">
        <v>1302</v>
      </c>
      <c r="W545" t="s">
        <v>11</v>
      </c>
      <c r="X545">
        <v>1706</v>
      </c>
      <c r="Y545" t="s">
        <v>11</v>
      </c>
      <c r="Z545">
        <v>1405</v>
      </c>
      <c r="AA545">
        <v>28</v>
      </c>
      <c r="AB545">
        <v>15402</v>
      </c>
      <c r="AC545">
        <v>6000</v>
      </c>
      <c r="AD545">
        <v>26</v>
      </c>
      <c r="AE545">
        <v>219</v>
      </c>
      <c r="AF545">
        <v>2681</v>
      </c>
      <c r="AG545">
        <v>1389</v>
      </c>
      <c r="AH545">
        <f t="shared" si="92"/>
        <v>26</v>
      </c>
      <c r="AI545">
        <f t="shared" si="93"/>
        <v>219</v>
      </c>
      <c r="AJ545">
        <v>7443</v>
      </c>
      <c r="AK545">
        <v>2060</v>
      </c>
      <c r="AL545">
        <v>14423</v>
      </c>
      <c r="AM545">
        <v>10380</v>
      </c>
      <c r="AN545" s="22">
        <v>0</v>
      </c>
      <c r="AO545">
        <v>67</v>
      </c>
      <c r="AP545">
        <v>377</v>
      </c>
      <c r="AQ545">
        <v>213</v>
      </c>
      <c r="AR545">
        <v>9</v>
      </c>
      <c r="AS545">
        <v>6</v>
      </c>
      <c r="AT545">
        <f t="shared" si="86"/>
        <v>377</v>
      </c>
      <c r="AU545">
        <f t="shared" si="87"/>
        <v>213</v>
      </c>
      <c r="AV545" t="s">
        <v>11</v>
      </c>
      <c r="AW545" t="s">
        <v>11</v>
      </c>
      <c r="AX545">
        <v>4</v>
      </c>
      <c r="AY545">
        <v>2</v>
      </c>
      <c r="AZ545">
        <f t="shared" si="88"/>
        <v>377</v>
      </c>
      <c r="BA545">
        <f t="shared" si="89"/>
        <v>213</v>
      </c>
      <c r="BB545">
        <f t="shared" si="94"/>
        <v>0</v>
      </c>
      <c r="BC545">
        <f t="shared" si="95"/>
        <v>67</v>
      </c>
      <c r="BD545">
        <v>84</v>
      </c>
      <c r="BE545">
        <v>71</v>
      </c>
      <c r="BF545">
        <v>5</v>
      </c>
      <c r="BG545">
        <v>3</v>
      </c>
      <c r="BH545">
        <v>9</v>
      </c>
      <c r="BI545">
        <v>6</v>
      </c>
      <c r="BJ545">
        <v>23</v>
      </c>
      <c r="BK545">
        <v>15</v>
      </c>
      <c r="BL545">
        <v>46</v>
      </c>
      <c r="BM545">
        <v>30</v>
      </c>
      <c r="BN545" t="s">
        <v>11</v>
      </c>
      <c r="BO545" t="s">
        <v>11</v>
      </c>
      <c r="BP545">
        <f t="shared" si="91"/>
        <v>5</v>
      </c>
      <c r="BQ545">
        <f t="shared" si="90"/>
        <v>3</v>
      </c>
      <c r="BR545">
        <v>83</v>
      </c>
      <c r="BS545">
        <v>54</v>
      </c>
      <c r="BT545">
        <v>18</v>
      </c>
      <c r="BU545">
        <v>12</v>
      </c>
    </row>
    <row r="546" spans="1:73" x14ac:dyDescent="0.25">
      <c r="A546" s="5">
        <v>42401</v>
      </c>
      <c r="B546">
        <v>2082</v>
      </c>
      <c r="C546">
        <v>1071</v>
      </c>
      <c r="D546">
        <v>12</v>
      </c>
      <c r="E546">
        <v>6</v>
      </c>
      <c r="F546">
        <v>5797</v>
      </c>
      <c r="G546">
        <v>3041</v>
      </c>
      <c r="H546">
        <v>464</v>
      </c>
      <c r="I546">
        <v>251</v>
      </c>
      <c r="J546">
        <v>308</v>
      </c>
      <c r="K546">
        <v>220</v>
      </c>
      <c r="L546">
        <v>41010</v>
      </c>
      <c r="M546">
        <v>22393</v>
      </c>
      <c r="N546">
        <v>248</v>
      </c>
      <c r="O546">
        <v>163</v>
      </c>
      <c r="P546">
        <v>481</v>
      </c>
      <c r="Q546">
        <v>344</v>
      </c>
      <c r="R546">
        <v>18</v>
      </c>
      <c r="S546">
        <v>11</v>
      </c>
      <c r="T546" s="34">
        <v>45260</v>
      </c>
      <c r="U546" s="34">
        <v>14455</v>
      </c>
      <c r="V546" s="34">
        <v>3098</v>
      </c>
      <c r="W546" t="s">
        <v>11</v>
      </c>
      <c r="X546">
        <v>3124</v>
      </c>
      <c r="Y546" t="s">
        <v>11</v>
      </c>
      <c r="Z546">
        <v>2596</v>
      </c>
      <c r="AA546">
        <v>715</v>
      </c>
      <c r="AB546">
        <v>24242</v>
      </c>
      <c r="AC546">
        <v>14476</v>
      </c>
      <c r="AD546">
        <v>1712</v>
      </c>
      <c r="AE546">
        <v>1029</v>
      </c>
      <c r="AF546">
        <v>4811</v>
      </c>
      <c r="AG546">
        <v>2740</v>
      </c>
      <c r="AH546">
        <f t="shared" si="92"/>
        <v>1712</v>
      </c>
      <c r="AI546">
        <f t="shared" si="93"/>
        <v>1029</v>
      </c>
      <c r="AJ546">
        <v>11001</v>
      </c>
      <c r="AK546">
        <v>5290</v>
      </c>
      <c r="AL546">
        <v>27893</v>
      </c>
      <c r="AM546">
        <v>17157</v>
      </c>
      <c r="AN546" s="22">
        <v>49</v>
      </c>
      <c r="AO546">
        <v>115</v>
      </c>
      <c r="AP546">
        <v>648</v>
      </c>
      <c r="AQ546">
        <v>375</v>
      </c>
      <c r="AR546">
        <v>11</v>
      </c>
      <c r="AS546">
        <v>7</v>
      </c>
      <c r="AT546">
        <f t="shared" si="86"/>
        <v>648</v>
      </c>
      <c r="AU546">
        <f t="shared" si="87"/>
        <v>375</v>
      </c>
      <c r="AV546" t="s">
        <v>11</v>
      </c>
      <c r="AW546" t="s">
        <v>11</v>
      </c>
      <c r="AX546">
        <v>4</v>
      </c>
      <c r="AY546">
        <v>2</v>
      </c>
      <c r="AZ546">
        <f t="shared" si="88"/>
        <v>648</v>
      </c>
      <c r="BA546">
        <f t="shared" si="89"/>
        <v>375</v>
      </c>
      <c r="BB546">
        <f t="shared" si="94"/>
        <v>49</v>
      </c>
      <c r="BC546">
        <f t="shared" si="95"/>
        <v>115</v>
      </c>
      <c r="BD546">
        <v>56</v>
      </c>
      <c r="BE546">
        <v>78</v>
      </c>
      <c r="BF546">
        <v>6</v>
      </c>
      <c r="BG546">
        <v>4</v>
      </c>
      <c r="BH546">
        <v>11</v>
      </c>
      <c r="BI546">
        <v>7</v>
      </c>
      <c r="BJ546">
        <v>13</v>
      </c>
      <c r="BK546">
        <v>9</v>
      </c>
      <c r="BL546">
        <v>70</v>
      </c>
      <c r="BM546">
        <v>46</v>
      </c>
      <c r="BN546" t="s">
        <v>11</v>
      </c>
      <c r="BO546" t="s">
        <v>11</v>
      </c>
      <c r="BP546">
        <f t="shared" si="91"/>
        <v>6</v>
      </c>
      <c r="BQ546">
        <f t="shared" si="90"/>
        <v>4</v>
      </c>
      <c r="BR546">
        <v>23</v>
      </c>
      <c r="BS546">
        <v>15</v>
      </c>
      <c r="BT546">
        <v>36</v>
      </c>
      <c r="BU546">
        <v>23</v>
      </c>
    </row>
    <row r="547" spans="1:73" x14ac:dyDescent="0.25">
      <c r="A547" s="5">
        <v>42430</v>
      </c>
      <c r="B547">
        <v>3616</v>
      </c>
      <c r="C547">
        <v>1734</v>
      </c>
      <c r="D547">
        <v>14</v>
      </c>
      <c r="E547">
        <v>8</v>
      </c>
      <c r="F547">
        <v>5439</v>
      </c>
      <c r="G547">
        <v>2781</v>
      </c>
      <c r="H547">
        <v>1433</v>
      </c>
      <c r="I547">
        <v>773</v>
      </c>
      <c r="J547">
        <v>623</v>
      </c>
      <c r="K547">
        <v>445</v>
      </c>
      <c r="L547">
        <v>55920</v>
      </c>
      <c r="M547">
        <v>33362</v>
      </c>
      <c r="N547">
        <v>339</v>
      </c>
      <c r="O547">
        <v>225</v>
      </c>
      <c r="P547">
        <v>270</v>
      </c>
      <c r="Q547">
        <v>193</v>
      </c>
      <c r="R547">
        <v>34</v>
      </c>
      <c r="S547">
        <v>22</v>
      </c>
      <c r="T547" s="34">
        <v>62710</v>
      </c>
      <c r="U547" s="34">
        <v>29260</v>
      </c>
      <c r="V547" s="34">
        <v>5848</v>
      </c>
      <c r="W547" t="s">
        <v>11</v>
      </c>
      <c r="X547">
        <v>5041</v>
      </c>
      <c r="Y547" t="s">
        <v>11</v>
      </c>
      <c r="Z547">
        <v>4061</v>
      </c>
      <c r="AA547">
        <v>1268</v>
      </c>
      <c r="AB547">
        <v>36136</v>
      </c>
      <c r="AC547">
        <v>26641</v>
      </c>
      <c r="AD547">
        <v>2021</v>
      </c>
      <c r="AE547">
        <v>1186</v>
      </c>
      <c r="AF547">
        <v>8094</v>
      </c>
      <c r="AG547">
        <v>4229</v>
      </c>
      <c r="AH547">
        <f t="shared" si="92"/>
        <v>2021</v>
      </c>
      <c r="AI547">
        <f t="shared" si="93"/>
        <v>1186</v>
      </c>
      <c r="AJ547">
        <v>16297</v>
      </c>
      <c r="AK547">
        <v>8393</v>
      </c>
      <c r="AL547">
        <v>39880</v>
      </c>
      <c r="AM547">
        <v>27555</v>
      </c>
      <c r="AN547" s="22">
        <v>86</v>
      </c>
      <c r="AO547">
        <v>169</v>
      </c>
      <c r="AP547">
        <v>996</v>
      </c>
      <c r="AQ547">
        <v>540</v>
      </c>
      <c r="AR547">
        <v>15</v>
      </c>
      <c r="AS547">
        <v>10</v>
      </c>
      <c r="AT547">
        <f t="shared" si="86"/>
        <v>996</v>
      </c>
      <c r="AU547">
        <f t="shared" si="87"/>
        <v>540</v>
      </c>
      <c r="AV547" t="s">
        <v>11</v>
      </c>
      <c r="AW547" t="s">
        <v>11</v>
      </c>
      <c r="AX547">
        <v>4</v>
      </c>
      <c r="AY547">
        <v>2</v>
      </c>
      <c r="AZ547">
        <f t="shared" si="88"/>
        <v>996</v>
      </c>
      <c r="BA547">
        <f t="shared" si="89"/>
        <v>540</v>
      </c>
      <c r="BB547">
        <f t="shared" si="94"/>
        <v>86</v>
      </c>
      <c r="BC547">
        <f t="shared" si="95"/>
        <v>169</v>
      </c>
      <c r="BD547">
        <v>85</v>
      </c>
      <c r="BE547">
        <v>110</v>
      </c>
      <c r="BF547">
        <v>9</v>
      </c>
      <c r="BG547">
        <v>6</v>
      </c>
      <c r="BH547">
        <v>15</v>
      </c>
      <c r="BI547">
        <v>10</v>
      </c>
      <c r="BJ547">
        <v>25</v>
      </c>
      <c r="BK547">
        <v>16</v>
      </c>
      <c r="BL547">
        <v>95</v>
      </c>
      <c r="BM547">
        <v>62</v>
      </c>
      <c r="BN547" t="s">
        <v>11</v>
      </c>
      <c r="BO547" t="s">
        <v>11</v>
      </c>
      <c r="BP547">
        <f t="shared" si="91"/>
        <v>9</v>
      </c>
      <c r="BQ547">
        <f t="shared" si="90"/>
        <v>6</v>
      </c>
      <c r="BR547">
        <v>38</v>
      </c>
      <c r="BS547">
        <v>25</v>
      </c>
      <c r="BT547">
        <v>26</v>
      </c>
      <c r="BU547">
        <v>17</v>
      </c>
    </row>
    <row r="548" spans="1:73" x14ac:dyDescent="0.25">
      <c r="A548" s="5">
        <v>42461</v>
      </c>
      <c r="B548">
        <v>2457</v>
      </c>
      <c r="C548">
        <v>1320</v>
      </c>
      <c r="D548">
        <v>15</v>
      </c>
      <c r="E548">
        <v>8</v>
      </c>
      <c r="F548">
        <v>5260</v>
      </c>
      <c r="G548">
        <v>2846</v>
      </c>
      <c r="H548">
        <v>1046</v>
      </c>
      <c r="I548">
        <v>565</v>
      </c>
      <c r="J548">
        <v>2233</v>
      </c>
      <c r="K548">
        <v>1597</v>
      </c>
      <c r="L548">
        <v>56130</v>
      </c>
      <c r="M548">
        <v>31815</v>
      </c>
      <c r="N548">
        <v>366</v>
      </c>
      <c r="O548">
        <v>240</v>
      </c>
      <c r="P548">
        <v>285</v>
      </c>
      <c r="Q548">
        <v>204</v>
      </c>
      <c r="R548">
        <v>26</v>
      </c>
      <c r="S548">
        <v>17</v>
      </c>
      <c r="T548" s="34">
        <v>67820</v>
      </c>
      <c r="U548" s="34">
        <v>34447</v>
      </c>
      <c r="V548" s="34">
        <v>7289</v>
      </c>
      <c r="W548" t="s">
        <v>11</v>
      </c>
      <c r="X548">
        <v>4927</v>
      </c>
      <c r="Y548" t="s">
        <v>11</v>
      </c>
      <c r="Z548">
        <v>4151</v>
      </c>
      <c r="AA548">
        <v>1416</v>
      </c>
      <c r="AB548">
        <v>43243</v>
      </c>
      <c r="AC548">
        <v>33444</v>
      </c>
      <c r="AD548">
        <v>2231</v>
      </c>
      <c r="AE548">
        <v>1487</v>
      </c>
      <c r="AF548">
        <v>9346</v>
      </c>
      <c r="AG548">
        <v>5112</v>
      </c>
      <c r="AH548">
        <f t="shared" si="92"/>
        <v>2231</v>
      </c>
      <c r="AI548">
        <f t="shared" si="93"/>
        <v>1487</v>
      </c>
      <c r="AJ548">
        <v>16814</v>
      </c>
      <c r="AK548">
        <v>9477</v>
      </c>
      <c r="AL548">
        <v>40794</v>
      </c>
      <c r="AM548">
        <v>28573</v>
      </c>
      <c r="AN548" s="22">
        <v>78</v>
      </c>
      <c r="AO548">
        <v>173</v>
      </c>
      <c r="AP548">
        <v>546</v>
      </c>
      <c r="AQ548">
        <v>301</v>
      </c>
      <c r="AR548">
        <v>16</v>
      </c>
      <c r="AS548">
        <v>10</v>
      </c>
      <c r="AT548">
        <f t="shared" si="86"/>
        <v>546</v>
      </c>
      <c r="AU548">
        <f t="shared" si="87"/>
        <v>301</v>
      </c>
      <c r="AV548" t="s">
        <v>11</v>
      </c>
      <c r="AW548" t="s">
        <v>11</v>
      </c>
      <c r="AX548">
        <v>4</v>
      </c>
      <c r="AY548">
        <v>2</v>
      </c>
      <c r="AZ548">
        <f t="shared" si="88"/>
        <v>546</v>
      </c>
      <c r="BA548">
        <f t="shared" si="89"/>
        <v>301</v>
      </c>
      <c r="BB548">
        <f t="shared" si="94"/>
        <v>78</v>
      </c>
      <c r="BC548">
        <f t="shared" si="95"/>
        <v>173</v>
      </c>
      <c r="BD548">
        <v>117</v>
      </c>
      <c r="BE548">
        <v>127</v>
      </c>
      <c r="BF548">
        <v>9</v>
      </c>
      <c r="BG548">
        <v>6</v>
      </c>
      <c r="BH548">
        <v>16</v>
      </c>
      <c r="BI548">
        <v>10</v>
      </c>
      <c r="BJ548">
        <v>35</v>
      </c>
      <c r="BK548">
        <v>23</v>
      </c>
      <c r="BL548">
        <v>47</v>
      </c>
      <c r="BM548">
        <v>30</v>
      </c>
      <c r="BN548" t="s">
        <v>11</v>
      </c>
      <c r="BO548" t="s">
        <v>11</v>
      </c>
      <c r="BP548">
        <f t="shared" si="91"/>
        <v>9</v>
      </c>
      <c r="BQ548">
        <f t="shared" si="90"/>
        <v>6</v>
      </c>
      <c r="BR548">
        <v>88</v>
      </c>
      <c r="BS548">
        <v>57</v>
      </c>
      <c r="BT548">
        <v>19</v>
      </c>
      <c r="BU548">
        <v>13</v>
      </c>
    </row>
    <row r="549" spans="1:73" x14ac:dyDescent="0.25">
      <c r="A549" s="5">
        <v>42491</v>
      </c>
      <c r="B549">
        <v>3885</v>
      </c>
      <c r="C549">
        <v>2120</v>
      </c>
      <c r="D549">
        <v>26</v>
      </c>
      <c r="E549">
        <v>14</v>
      </c>
      <c r="F549">
        <v>6712</v>
      </c>
      <c r="G549">
        <v>2690</v>
      </c>
      <c r="H549">
        <v>1444</v>
      </c>
      <c r="I549">
        <v>779</v>
      </c>
      <c r="J549">
        <v>945</v>
      </c>
      <c r="K549">
        <v>676</v>
      </c>
      <c r="L549">
        <v>65160</v>
      </c>
      <c r="M549">
        <v>41542</v>
      </c>
      <c r="N549">
        <v>447</v>
      </c>
      <c r="O549">
        <v>295</v>
      </c>
      <c r="P549">
        <v>573</v>
      </c>
      <c r="Q549">
        <v>410</v>
      </c>
      <c r="R549">
        <v>21</v>
      </c>
      <c r="S549">
        <v>14</v>
      </c>
      <c r="T549" s="34">
        <v>85960</v>
      </c>
      <c r="U549" s="34">
        <v>46233</v>
      </c>
      <c r="V549" s="34">
        <v>5532</v>
      </c>
      <c r="W549" t="s">
        <v>11</v>
      </c>
      <c r="X549">
        <v>4856</v>
      </c>
      <c r="Y549" t="s">
        <v>11</v>
      </c>
      <c r="Z549">
        <v>4814</v>
      </c>
      <c r="AA549">
        <v>1751</v>
      </c>
      <c r="AB549">
        <v>36188</v>
      </c>
      <c r="AC549">
        <v>25268</v>
      </c>
      <c r="AD549">
        <v>2928</v>
      </c>
      <c r="AE549">
        <v>2328</v>
      </c>
      <c r="AF549">
        <v>8760</v>
      </c>
      <c r="AG549">
        <v>4931</v>
      </c>
      <c r="AH549">
        <f t="shared" si="92"/>
        <v>2928</v>
      </c>
      <c r="AI549">
        <f t="shared" si="93"/>
        <v>2328</v>
      </c>
      <c r="AJ549">
        <v>19703</v>
      </c>
      <c r="AK549">
        <v>12909</v>
      </c>
      <c r="AL549">
        <v>38912</v>
      </c>
      <c r="AM549">
        <v>26977</v>
      </c>
      <c r="AN549" s="22">
        <v>0</v>
      </c>
      <c r="AO549">
        <v>150</v>
      </c>
      <c r="AP549">
        <v>293</v>
      </c>
      <c r="AQ549">
        <v>167</v>
      </c>
      <c r="AR549">
        <v>20</v>
      </c>
      <c r="AS549">
        <v>13</v>
      </c>
      <c r="AT549">
        <f t="shared" si="86"/>
        <v>293</v>
      </c>
      <c r="AU549">
        <f t="shared" si="87"/>
        <v>167</v>
      </c>
      <c r="AV549" t="s">
        <v>11</v>
      </c>
      <c r="AW549" t="s">
        <v>11</v>
      </c>
      <c r="AX549">
        <v>4</v>
      </c>
      <c r="AY549">
        <v>2</v>
      </c>
      <c r="AZ549">
        <f t="shared" si="88"/>
        <v>293</v>
      </c>
      <c r="BA549">
        <f t="shared" si="89"/>
        <v>167</v>
      </c>
      <c r="BB549">
        <f t="shared" si="94"/>
        <v>0</v>
      </c>
      <c r="BC549">
        <f t="shared" si="95"/>
        <v>150</v>
      </c>
      <c r="BD549">
        <v>111</v>
      </c>
      <c r="BE549">
        <v>76</v>
      </c>
      <c r="BF549">
        <v>11</v>
      </c>
      <c r="BG549">
        <v>7</v>
      </c>
      <c r="BH549">
        <v>20</v>
      </c>
      <c r="BI549">
        <v>13</v>
      </c>
      <c r="BJ549">
        <v>42</v>
      </c>
      <c r="BK549">
        <v>27</v>
      </c>
      <c r="BL549">
        <v>143</v>
      </c>
      <c r="BM549">
        <v>93</v>
      </c>
      <c r="BN549" t="s">
        <v>11</v>
      </c>
      <c r="BO549" t="s">
        <v>11</v>
      </c>
      <c r="BP549">
        <f t="shared" si="91"/>
        <v>11</v>
      </c>
      <c r="BQ549">
        <f t="shared" si="90"/>
        <v>7</v>
      </c>
      <c r="BR549">
        <v>46</v>
      </c>
      <c r="BS549">
        <v>30</v>
      </c>
      <c r="BT549">
        <v>24</v>
      </c>
      <c r="BU549">
        <v>16</v>
      </c>
    </row>
    <row r="550" spans="1:73" x14ac:dyDescent="0.25">
      <c r="A550" s="5">
        <v>42522</v>
      </c>
      <c r="B550">
        <v>4873</v>
      </c>
      <c r="C550">
        <v>2653</v>
      </c>
      <c r="D550">
        <v>30</v>
      </c>
      <c r="E550">
        <v>16</v>
      </c>
      <c r="F550">
        <v>8553</v>
      </c>
      <c r="G550">
        <v>4676</v>
      </c>
      <c r="H550">
        <v>1633</v>
      </c>
      <c r="I550">
        <v>881</v>
      </c>
      <c r="J550">
        <v>1310</v>
      </c>
      <c r="K550">
        <v>937</v>
      </c>
      <c r="L550">
        <v>65590</v>
      </c>
      <c r="M550">
        <v>44262</v>
      </c>
      <c r="N550">
        <v>542</v>
      </c>
      <c r="O550">
        <v>355</v>
      </c>
      <c r="P550">
        <v>751</v>
      </c>
      <c r="Q550">
        <v>537</v>
      </c>
      <c r="R550">
        <v>35</v>
      </c>
      <c r="S550">
        <v>23</v>
      </c>
      <c r="T550" s="34">
        <v>91900</v>
      </c>
      <c r="U550" s="34">
        <v>51387</v>
      </c>
      <c r="V550" s="34">
        <v>3542</v>
      </c>
      <c r="W550" t="s">
        <v>11</v>
      </c>
      <c r="X550">
        <v>4673</v>
      </c>
      <c r="Y550" t="s">
        <v>11</v>
      </c>
      <c r="Z550">
        <v>5073</v>
      </c>
      <c r="AA550">
        <v>1747</v>
      </c>
      <c r="AB550">
        <v>29140</v>
      </c>
      <c r="AC550">
        <v>19614</v>
      </c>
      <c r="AD550">
        <v>3395</v>
      </c>
      <c r="AE550">
        <v>2561</v>
      </c>
      <c r="AF550">
        <v>6033</v>
      </c>
      <c r="AG550">
        <v>3386</v>
      </c>
      <c r="AH550">
        <f t="shared" si="92"/>
        <v>3395</v>
      </c>
      <c r="AI550">
        <f t="shared" si="93"/>
        <v>2561</v>
      </c>
      <c r="AJ550">
        <v>23381</v>
      </c>
      <c r="AK550">
        <v>14659</v>
      </c>
      <c r="AL550">
        <v>37553</v>
      </c>
      <c r="AM550">
        <v>27320</v>
      </c>
      <c r="AN550" s="22">
        <v>0</v>
      </c>
      <c r="AO550">
        <v>181</v>
      </c>
      <c r="AP550">
        <v>586</v>
      </c>
      <c r="AQ550">
        <v>339</v>
      </c>
      <c r="AR550">
        <v>24</v>
      </c>
      <c r="AS550">
        <v>16</v>
      </c>
      <c r="AT550">
        <f t="shared" si="86"/>
        <v>586</v>
      </c>
      <c r="AU550">
        <f t="shared" si="87"/>
        <v>339</v>
      </c>
      <c r="AV550" t="s">
        <v>11</v>
      </c>
      <c r="AW550" t="s">
        <v>11</v>
      </c>
      <c r="AX550">
        <v>4</v>
      </c>
      <c r="AY550">
        <v>2</v>
      </c>
      <c r="AZ550">
        <f t="shared" si="88"/>
        <v>586</v>
      </c>
      <c r="BA550">
        <f t="shared" si="89"/>
        <v>339</v>
      </c>
      <c r="BB550">
        <f t="shared" si="94"/>
        <v>0</v>
      </c>
      <c r="BC550">
        <f t="shared" si="95"/>
        <v>181</v>
      </c>
      <c r="BD550">
        <v>161</v>
      </c>
      <c r="BE550">
        <v>110</v>
      </c>
      <c r="BF550">
        <v>14</v>
      </c>
      <c r="BG550">
        <v>9</v>
      </c>
      <c r="BH550">
        <v>24</v>
      </c>
      <c r="BI550">
        <v>16</v>
      </c>
      <c r="BJ550">
        <v>89</v>
      </c>
      <c r="BK550">
        <v>58</v>
      </c>
      <c r="BL550">
        <v>131</v>
      </c>
      <c r="BM550">
        <v>85</v>
      </c>
      <c r="BN550" t="s">
        <v>11</v>
      </c>
      <c r="BO550" t="s">
        <v>11</v>
      </c>
      <c r="BP550">
        <f t="shared" ref="BP550:BP580" si="96">BF550</f>
        <v>14</v>
      </c>
      <c r="BQ550">
        <f t="shared" ref="BQ550:BQ580" si="97">BG550</f>
        <v>9</v>
      </c>
      <c r="BR550">
        <v>0</v>
      </c>
      <c r="BS550">
        <v>0</v>
      </c>
      <c r="BT550">
        <v>6</v>
      </c>
      <c r="BU550">
        <v>4</v>
      </c>
    </row>
    <row r="551" spans="1:73" x14ac:dyDescent="0.25">
      <c r="A551" s="5">
        <v>42552</v>
      </c>
      <c r="B551">
        <v>4303</v>
      </c>
      <c r="C551">
        <v>2417</v>
      </c>
      <c r="D551">
        <v>18</v>
      </c>
      <c r="E551">
        <v>10</v>
      </c>
      <c r="F551">
        <v>8667</v>
      </c>
      <c r="G551">
        <v>4815</v>
      </c>
      <c r="H551">
        <v>889</v>
      </c>
      <c r="I551">
        <v>481</v>
      </c>
      <c r="J551">
        <v>1156</v>
      </c>
      <c r="K551">
        <v>827</v>
      </c>
      <c r="L551">
        <v>68350</v>
      </c>
      <c r="M551">
        <v>45792</v>
      </c>
      <c r="N551">
        <v>592</v>
      </c>
      <c r="O551">
        <v>387</v>
      </c>
      <c r="P551">
        <v>631</v>
      </c>
      <c r="Q551">
        <v>451</v>
      </c>
      <c r="R551">
        <v>43</v>
      </c>
      <c r="S551">
        <v>28</v>
      </c>
      <c r="T551" s="34">
        <v>96870</v>
      </c>
      <c r="U551" s="34">
        <v>51955</v>
      </c>
      <c r="V551" s="34">
        <v>3266</v>
      </c>
      <c r="W551" t="s">
        <v>11</v>
      </c>
      <c r="X551">
        <v>6280</v>
      </c>
      <c r="Y551" t="s">
        <v>11</v>
      </c>
      <c r="Z551">
        <v>4443</v>
      </c>
      <c r="AA551">
        <v>1398</v>
      </c>
      <c r="AB551">
        <v>31981</v>
      </c>
      <c r="AC551">
        <v>22591</v>
      </c>
      <c r="AD551">
        <v>3400</v>
      </c>
      <c r="AE551">
        <v>2614</v>
      </c>
      <c r="AF551">
        <v>6791</v>
      </c>
      <c r="AG551">
        <v>3905</v>
      </c>
      <c r="AH551">
        <f t="shared" si="92"/>
        <v>3400</v>
      </c>
      <c r="AI551">
        <f t="shared" si="93"/>
        <v>2614</v>
      </c>
      <c r="AJ551">
        <v>22805</v>
      </c>
      <c r="AK551">
        <v>14493</v>
      </c>
      <c r="AL551">
        <v>36101</v>
      </c>
      <c r="AM551">
        <v>25616</v>
      </c>
      <c r="AN551" s="22">
        <v>0</v>
      </c>
      <c r="AO551">
        <v>198</v>
      </c>
      <c r="AP551">
        <v>572</v>
      </c>
      <c r="AQ551">
        <v>333</v>
      </c>
      <c r="AR551">
        <v>26</v>
      </c>
      <c r="AS551">
        <v>17</v>
      </c>
      <c r="AT551">
        <f t="shared" si="86"/>
        <v>572</v>
      </c>
      <c r="AU551">
        <f t="shared" si="87"/>
        <v>333</v>
      </c>
      <c r="AV551" t="s">
        <v>11</v>
      </c>
      <c r="AW551" t="s">
        <v>11</v>
      </c>
      <c r="AX551">
        <v>4</v>
      </c>
      <c r="AY551">
        <v>2</v>
      </c>
      <c r="AZ551">
        <f t="shared" si="88"/>
        <v>572</v>
      </c>
      <c r="BA551">
        <f t="shared" si="89"/>
        <v>333</v>
      </c>
      <c r="BB551">
        <f t="shared" si="94"/>
        <v>0</v>
      </c>
      <c r="BC551">
        <f t="shared" si="95"/>
        <v>198</v>
      </c>
      <c r="BD551">
        <v>140</v>
      </c>
      <c r="BE551">
        <v>100</v>
      </c>
      <c r="BF551">
        <v>15</v>
      </c>
      <c r="BG551">
        <v>10</v>
      </c>
      <c r="BH551">
        <v>26</v>
      </c>
      <c r="BI551">
        <v>17</v>
      </c>
      <c r="BJ551">
        <v>52</v>
      </c>
      <c r="BK551">
        <v>34</v>
      </c>
      <c r="BL551">
        <v>87</v>
      </c>
      <c r="BM551">
        <v>56</v>
      </c>
      <c r="BN551" t="s">
        <v>11</v>
      </c>
      <c r="BO551" t="s">
        <v>11</v>
      </c>
      <c r="BP551">
        <f t="shared" si="96"/>
        <v>15</v>
      </c>
      <c r="BQ551">
        <f t="shared" si="97"/>
        <v>10</v>
      </c>
      <c r="BR551">
        <v>0</v>
      </c>
      <c r="BS551">
        <v>0</v>
      </c>
      <c r="BT551">
        <v>0</v>
      </c>
      <c r="BU551">
        <v>0</v>
      </c>
    </row>
    <row r="552" spans="1:73" x14ac:dyDescent="0.25">
      <c r="A552" s="5">
        <v>42583</v>
      </c>
      <c r="B552">
        <v>4087</v>
      </c>
      <c r="C552">
        <v>2201</v>
      </c>
      <c r="D552">
        <v>30</v>
      </c>
      <c r="E552">
        <v>17</v>
      </c>
      <c r="F552">
        <v>8036</v>
      </c>
      <c r="G552">
        <v>4370</v>
      </c>
      <c r="H552">
        <v>1791</v>
      </c>
      <c r="I552">
        <v>966</v>
      </c>
      <c r="J552">
        <v>544</v>
      </c>
      <c r="K552">
        <v>389</v>
      </c>
      <c r="L552">
        <v>58130</v>
      </c>
      <c r="M552">
        <v>35838</v>
      </c>
      <c r="N552">
        <v>570</v>
      </c>
      <c r="O552">
        <v>369</v>
      </c>
      <c r="P552">
        <v>451</v>
      </c>
      <c r="Q552">
        <v>322</v>
      </c>
      <c r="R552">
        <v>29</v>
      </c>
      <c r="S552">
        <v>19</v>
      </c>
      <c r="T552" s="34">
        <v>94810</v>
      </c>
      <c r="U552" s="34">
        <v>50235</v>
      </c>
      <c r="V552" s="34">
        <v>3261</v>
      </c>
      <c r="W552" t="s">
        <v>11</v>
      </c>
      <c r="X552">
        <v>2397</v>
      </c>
      <c r="Y552" t="s">
        <v>11</v>
      </c>
      <c r="Z552">
        <v>2410</v>
      </c>
      <c r="AA552">
        <v>332</v>
      </c>
      <c r="AB552">
        <v>21879</v>
      </c>
      <c r="AC552">
        <v>13270</v>
      </c>
      <c r="AD552">
        <v>3622</v>
      </c>
      <c r="AE552">
        <v>2833</v>
      </c>
      <c r="AF552">
        <v>4285</v>
      </c>
      <c r="AG552">
        <v>2309</v>
      </c>
      <c r="AH552">
        <f t="shared" si="92"/>
        <v>3622</v>
      </c>
      <c r="AI552">
        <f t="shared" si="93"/>
        <v>2833</v>
      </c>
      <c r="AJ552">
        <v>24300</v>
      </c>
      <c r="AK552">
        <v>15683</v>
      </c>
      <c r="AL552">
        <v>33844</v>
      </c>
      <c r="AM552">
        <v>23480</v>
      </c>
      <c r="AN552" s="22">
        <v>0</v>
      </c>
      <c r="AO552">
        <v>191</v>
      </c>
      <c r="AP552">
        <v>320</v>
      </c>
      <c r="AQ552">
        <v>184</v>
      </c>
      <c r="AR552">
        <v>25</v>
      </c>
      <c r="AS552">
        <v>16</v>
      </c>
      <c r="AT552">
        <f t="shared" si="86"/>
        <v>320</v>
      </c>
      <c r="AU552">
        <f t="shared" si="87"/>
        <v>184</v>
      </c>
      <c r="AV552" t="s">
        <v>11</v>
      </c>
      <c r="AW552" t="s">
        <v>11</v>
      </c>
      <c r="AX552">
        <v>4</v>
      </c>
      <c r="AY552">
        <v>2</v>
      </c>
      <c r="AZ552">
        <f t="shared" si="88"/>
        <v>320</v>
      </c>
      <c r="BA552">
        <f t="shared" si="89"/>
        <v>184</v>
      </c>
      <c r="BB552">
        <f t="shared" si="94"/>
        <v>0</v>
      </c>
      <c r="BC552">
        <f t="shared" si="95"/>
        <v>191</v>
      </c>
      <c r="BD552">
        <v>159</v>
      </c>
      <c r="BE552">
        <v>138</v>
      </c>
      <c r="BF552">
        <v>14</v>
      </c>
      <c r="BG552">
        <v>9</v>
      </c>
      <c r="BH552">
        <v>25</v>
      </c>
      <c r="BI552">
        <v>16</v>
      </c>
      <c r="BJ552">
        <v>26</v>
      </c>
      <c r="BK552">
        <v>17</v>
      </c>
      <c r="BL552">
        <v>63</v>
      </c>
      <c r="BM552">
        <v>41</v>
      </c>
      <c r="BN552" t="s">
        <v>11</v>
      </c>
      <c r="BO552" t="s">
        <v>11</v>
      </c>
      <c r="BP552">
        <f t="shared" si="96"/>
        <v>14</v>
      </c>
      <c r="BQ552">
        <f t="shared" si="97"/>
        <v>9</v>
      </c>
      <c r="BR552">
        <v>72</v>
      </c>
      <c r="BS552">
        <v>47</v>
      </c>
      <c r="BT552">
        <v>16</v>
      </c>
      <c r="BU552">
        <v>10</v>
      </c>
    </row>
    <row r="553" spans="1:73" x14ac:dyDescent="0.25">
      <c r="A553" s="5">
        <v>42614</v>
      </c>
      <c r="B553">
        <v>4079</v>
      </c>
      <c r="C553">
        <v>1904</v>
      </c>
      <c r="D553">
        <v>28</v>
      </c>
      <c r="E553">
        <v>15</v>
      </c>
      <c r="F553">
        <v>4168</v>
      </c>
      <c r="G553">
        <v>2281</v>
      </c>
      <c r="H553">
        <v>1694</v>
      </c>
      <c r="I553">
        <v>914</v>
      </c>
      <c r="J553">
        <v>964</v>
      </c>
      <c r="K553">
        <v>689</v>
      </c>
      <c r="L553">
        <v>47050</v>
      </c>
      <c r="M553">
        <v>25965</v>
      </c>
      <c r="N553">
        <v>448</v>
      </c>
      <c r="O553">
        <v>295</v>
      </c>
      <c r="P553">
        <v>632</v>
      </c>
      <c r="Q553">
        <v>452</v>
      </c>
      <c r="R553">
        <v>22</v>
      </c>
      <c r="S553">
        <v>14</v>
      </c>
      <c r="T553" s="34">
        <v>72010</v>
      </c>
      <c r="U553" s="34">
        <v>29874</v>
      </c>
      <c r="V553" s="34">
        <v>1762</v>
      </c>
      <c r="W553" t="s">
        <v>11</v>
      </c>
      <c r="X553">
        <v>4136</v>
      </c>
      <c r="Y553" t="s">
        <v>11</v>
      </c>
      <c r="Z553">
        <v>3381</v>
      </c>
      <c r="AA553">
        <v>973</v>
      </c>
      <c r="AB553">
        <v>26777</v>
      </c>
      <c r="AC553">
        <v>16159</v>
      </c>
      <c r="AD553">
        <v>3092</v>
      </c>
      <c r="AE553">
        <v>2432</v>
      </c>
      <c r="AF553">
        <v>5028</v>
      </c>
      <c r="AG553">
        <v>2767</v>
      </c>
      <c r="AH553">
        <f t="shared" si="92"/>
        <v>3092</v>
      </c>
      <c r="AI553">
        <f t="shared" si="93"/>
        <v>2432</v>
      </c>
      <c r="AJ553">
        <v>17740</v>
      </c>
      <c r="AK553">
        <v>11148</v>
      </c>
      <c r="AL553">
        <v>38380</v>
      </c>
      <c r="AM553">
        <v>26606</v>
      </c>
      <c r="AN553" s="22">
        <v>71</v>
      </c>
      <c r="AO553">
        <v>195</v>
      </c>
      <c r="AP553">
        <v>437</v>
      </c>
      <c r="AQ553">
        <v>251</v>
      </c>
      <c r="AR553">
        <v>20</v>
      </c>
      <c r="AS553">
        <v>13</v>
      </c>
      <c r="AT553">
        <f t="shared" si="86"/>
        <v>437</v>
      </c>
      <c r="AU553">
        <f t="shared" si="87"/>
        <v>251</v>
      </c>
      <c r="AV553" t="s">
        <v>11</v>
      </c>
      <c r="AW553" t="s">
        <v>11</v>
      </c>
      <c r="AX553">
        <v>4</v>
      </c>
      <c r="AY553">
        <v>2</v>
      </c>
      <c r="AZ553">
        <f t="shared" si="88"/>
        <v>437</v>
      </c>
      <c r="BA553">
        <f t="shared" si="89"/>
        <v>251</v>
      </c>
      <c r="BB553">
        <f t="shared" si="94"/>
        <v>71</v>
      </c>
      <c r="BC553">
        <f t="shared" si="95"/>
        <v>195</v>
      </c>
      <c r="BD553">
        <v>157</v>
      </c>
      <c r="BE553">
        <v>111</v>
      </c>
      <c r="BF553">
        <v>11</v>
      </c>
      <c r="BG553">
        <v>7</v>
      </c>
      <c r="BH553">
        <v>20</v>
      </c>
      <c r="BI553">
        <v>13</v>
      </c>
      <c r="BJ553">
        <v>71</v>
      </c>
      <c r="BK553">
        <v>46</v>
      </c>
      <c r="BL553">
        <v>69</v>
      </c>
      <c r="BM553">
        <v>45</v>
      </c>
      <c r="BN553" t="s">
        <v>11</v>
      </c>
      <c r="BO553" t="s">
        <v>11</v>
      </c>
      <c r="BP553">
        <f t="shared" si="96"/>
        <v>11</v>
      </c>
      <c r="BQ553">
        <f t="shared" si="97"/>
        <v>7</v>
      </c>
      <c r="BR553">
        <v>10</v>
      </c>
      <c r="BS553">
        <v>6</v>
      </c>
      <c r="BT553">
        <v>53</v>
      </c>
      <c r="BU553">
        <v>34</v>
      </c>
    </row>
    <row r="554" spans="1:73" x14ac:dyDescent="0.25">
      <c r="A554" s="5">
        <v>42644</v>
      </c>
      <c r="B554">
        <v>2626</v>
      </c>
      <c r="C554">
        <v>1322</v>
      </c>
      <c r="D554">
        <v>25</v>
      </c>
      <c r="E554">
        <v>13</v>
      </c>
      <c r="F554">
        <v>3566</v>
      </c>
      <c r="G554">
        <v>1949</v>
      </c>
      <c r="H554">
        <v>713</v>
      </c>
      <c r="I554">
        <v>386</v>
      </c>
      <c r="J554">
        <v>751</v>
      </c>
      <c r="K554">
        <v>537</v>
      </c>
      <c r="L554">
        <v>36210</v>
      </c>
      <c r="M554">
        <v>16950</v>
      </c>
      <c r="N554">
        <v>375</v>
      </c>
      <c r="O554">
        <v>249</v>
      </c>
      <c r="P554">
        <v>233</v>
      </c>
      <c r="Q554">
        <v>167</v>
      </c>
      <c r="R554">
        <v>18</v>
      </c>
      <c r="S554">
        <v>12</v>
      </c>
      <c r="T554" s="34">
        <v>58870</v>
      </c>
      <c r="U554" s="34">
        <v>19693</v>
      </c>
      <c r="V554" s="34">
        <v>4096</v>
      </c>
      <c r="W554" t="s">
        <v>11</v>
      </c>
      <c r="X554">
        <v>4341</v>
      </c>
      <c r="Y554" t="s">
        <v>11</v>
      </c>
      <c r="Z554">
        <v>4092</v>
      </c>
      <c r="AA554">
        <v>891</v>
      </c>
      <c r="AB554">
        <v>37125</v>
      </c>
      <c r="AC554">
        <v>24542</v>
      </c>
      <c r="AD554">
        <v>2240</v>
      </c>
      <c r="AE554">
        <v>2069</v>
      </c>
      <c r="AF554">
        <v>6000</v>
      </c>
      <c r="AG554">
        <v>3373</v>
      </c>
      <c r="AH554">
        <f t="shared" si="92"/>
        <v>2240</v>
      </c>
      <c r="AI554">
        <f t="shared" si="93"/>
        <v>2069</v>
      </c>
      <c r="AJ554">
        <v>14306</v>
      </c>
      <c r="AK554">
        <v>10948</v>
      </c>
      <c r="AL554">
        <v>36813</v>
      </c>
      <c r="AM554">
        <v>24779</v>
      </c>
      <c r="AN554" s="22">
        <v>0</v>
      </c>
      <c r="AO554">
        <v>125</v>
      </c>
      <c r="AP554">
        <v>755</v>
      </c>
      <c r="AQ554">
        <v>438</v>
      </c>
      <c r="AR554">
        <v>17</v>
      </c>
      <c r="AS554">
        <v>11</v>
      </c>
      <c r="AT554">
        <f t="shared" si="86"/>
        <v>755</v>
      </c>
      <c r="AU554">
        <f t="shared" si="87"/>
        <v>438</v>
      </c>
      <c r="AV554" t="s">
        <v>11</v>
      </c>
      <c r="AW554" t="s">
        <v>11</v>
      </c>
      <c r="AX554">
        <v>4</v>
      </c>
      <c r="AY554">
        <v>2</v>
      </c>
      <c r="AZ554">
        <f t="shared" si="88"/>
        <v>755</v>
      </c>
      <c r="BA554">
        <f t="shared" si="89"/>
        <v>438</v>
      </c>
      <c r="BB554">
        <f t="shared" si="94"/>
        <v>0</v>
      </c>
      <c r="BC554">
        <f t="shared" si="95"/>
        <v>125</v>
      </c>
      <c r="BD554">
        <v>107</v>
      </c>
      <c r="BE554">
        <v>125</v>
      </c>
      <c r="BF554">
        <v>9</v>
      </c>
      <c r="BG554">
        <v>6</v>
      </c>
      <c r="BH554">
        <v>16</v>
      </c>
      <c r="BI554">
        <v>10</v>
      </c>
      <c r="BJ554">
        <v>39</v>
      </c>
      <c r="BK554">
        <v>25</v>
      </c>
      <c r="BL554">
        <v>66</v>
      </c>
      <c r="BM554">
        <v>43</v>
      </c>
      <c r="BN554" t="s">
        <v>11</v>
      </c>
      <c r="BO554" t="s">
        <v>11</v>
      </c>
      <c r="BP554">
        <f t="shared" si="96"/>
        <v>9</v>
      </c>
      <c r="BQ554">
        <f t="shared" si="97"/>
        <v>6</v>
      </c>
      <c r="BR554">
        <v>149</v>
      </c>
      <c r="BS554">
        <v>97</v>
      </c>
      <c r="BT554">
        <v>36</v>
      </c>
      <c r="BU554">
        <v>23</v>
      </c>
    </row>
    <row r="555" spans="1:73" x14ac:dyDescent="0.25">
      <c r="A555" s="5">
        <v>42675</v>
      </c>
      <c r="B555">
        <v>2181</v>
      </c>
      <c r="C555">
        <v>1085</v>
      </c>
      <c r="D555">
        <v>13</v>
      </c>
      <c r="E555">
        <v>7</v>
      </c>
      <c r="F555">
        <v>2454</v>
      </c>
      <c r="G555">
        <v>1336</v>
      </c>
      <c r="H555">
        <v>295</v>
      </c>
      <c r="I555">
        <v>160</v>
      </c>
      <c r="J555">
        <v>453</v>
      </c>
      <c r="K555">
        <v>324</v>
      </c>
      <c r="L555">
        <v>28170</v>
      </c>
      <c r="M555">
        <v>8844</v>
      </c>
      <c r="N555">
        <v>266</v>
      </c>
      <c r="O555">
        <v>180</v>
      </c>
      <c r="P555">
        <v>316</v>
      </c>
      <c r="Q555">
        <v>226</v>
      </c>
      <c r="R555">
        <v>15</v>
      </c>
      <c r="S555">
        <v>10</v>
      </c>
      <c r="T555" s="34">
        <v>42330</v>
      </c>
      <c r="U555" s="34">
        <v>9012</v>
      </c>
      <c r="V555" s="34">
        <v>3653</v>
      </c>
      <c r="W555" t="s">
        <v>11</v>
      </c>
      <c r="X555">
        <v>3979</v>
      </c>
      <c r="Y555" t="s">
        <v>11</v>
      </c>
      <c r="Z555">
        <v>3626</v>
      </c>
      <c r="AA555">
        <v>807</v>
      </c>
      <c r="AB555">
        <v>29388</v>
      </c>
      <c r="AC555">
        <v>16055</v>
      </c>
      <c r="AD555">
        <v>1649</v>
      </c>
      <c r="AE555">
        <v>1390</v>
      </c>
      <c r="AF555">
        <v>4058</v>
      </c>
      <c r="AG555">
        <v>2284</v>
      </c>
      <c r="AH555">
        <f t="shared" si="92"/>
        <v>1649</v>
      </c>
      <c r="AI555">
        <f t="shared" si="93"/>
        <v>1390</v>
      </c>
      <c r="AJ555">
        <v>11279</v>
      </c>
      <c r="AK555">
        <v>7926</v>
      </c>
      <c r="AL555">
        <v>23049</v>
      </c>
      <c r="AM555">
        <v>13757</v>
      </c>
      <c r="AN555" s="22">
        <v>54</v>
      </c>
      <c r="AO555">
        <v>123</v>
      </c>
      <c r="AP555">
        <v>658</v>
      </c>
      <c r="AQ555">
        <v>390</v>
      </c>
      <c r="AR555">
        <v>12</v>
      </c>
      <c r="AS555">
        <v>8</v>
      </c>
      <c r="AT555">
        <f t="shared" si="86"/>
        <v>658</v>
      </c>
      <c r="AU555">
        <f t="shared" si="87"/>
        <v>390</v>
      </c>
      <c r="AV555" t="s">
        <v>11</v>
      </c>
      <c r="AW555" t="s">
        <v>11</v>
      </c>
      <c r="AX555">
        <v>4</v>
      </c>
      <c r="AY555">
        <v>2</v>
      </c>
      <c r="AZ555">
        <f t="shared" si="88"/>
        <v>658</v>
      </c>
      <c r="BA555">
        <f t="shared" si="89"/>
        <v>390</v>
      </c>
      <c r="BB555">
        <f t="shared" si="94"/>
        <v>54</v>
      </c>
      <c r="BC555">
        <f t="shared" si="95"/>
        <v>123</v>
      </c>
      <c r="BD555">
        <v>56</v>
      </c>
      <c r="BE555">
        <v>58</v>
      </c>
      <c r="BF555">
        <v>7</v>
      </c>
      <c r="BG555">
        <v>5</v>
      </c>
      <c r="BH555">
        <v>12</v>
      </c>
      <c r="BI555">
        <v>8</v>
      </c>
      <c r="BJ555">
        <v>49</v>
      </c>
      <c r="BK555">
        <v>32</v>
      </c>
      <c r="BL555">
        <v>47</v>
      </c>
      <c r="BM555">
        <v>31</v>
      </c>
      <c r="BN555" t="s">
        <v>11</v>
      </c>
      <c r="BO555" t="s">
        <v>11</v>
      </c>
      <c r="BP555">
        <f t="shared" si="96"/>
        <v>7</v>
      </c>
      <c r="BQ555">
        <f t="shared" si="97"/>
        <v>5</v>
      </c>
      <c r="BR555">
        <v>130</v>
      </c>
      <c r="BS555">
        <v>84</v>
      </c>
      <c r="BT555">
        <v>11</v>
      </c>
      <c r="BU555">
        <v>7</v>
      </c>
    </row>
    <row r="556" spans="1:73" x14ac:dyDescent="0.25">
      <c r="A556" s="5">
        <v>42705</v>
      </c>
      <c r="B556">
        <v>1399</v>
      </c>
      <c r="C556">
        <v>755</v>
      </c>
      <c r="D556">
        <v>19</v>
      </c>
      <c r="E556">
        <v>10</v>
      </c>
      <c r="F556">
        <v>1564</v>
      </c>
      <c r="G556">
        <v>860</v>
      </c>
      <c r="H556">
        <v>85</v>
      </c>
      <c r="I556">
        <v>47</v>
      </c>
      <c r="J556">
        <v>761</v>
      </c>
      <c r="K556">
        <v>544</v>
      </c>
      <c r="L556">
        <v>28910</v>
      </c>
      <c r="M556">
        <v>5605</v>
      </c>
      <c r="N556">
        <v>262</v>
      </c>
      <c r="O556">
        <v>172</v>
      </c>
      <c r="P556">
        <v>244</v>
      </c>
      <c r="Q556">
        <v>174</v>
      </c>
      <c r="R556">
        <v>12</v>
      </c>
      <c r="S556">
        <v>8</v>
      </c>
      <c r="T556" s="34">
        <v>31070</v>
      </c>
      <c r="U556" s="34">
        <v>-4667</v>
      </c>
      <c r="V556" s="34">
        <v>2132</v>
      </c>
      <c r="W556" t="s">
        <v>11</v>
      </c>
      <c r="X556">
        <v>2249</v>
      </c>
      <c r="Y556" t="s">
        <v>11</v>
      </c>
      <c r="Z556">
        <v>2081</v>
      </c>
      <c r="AA556">
        <v>269</v>
      </c>
      <c r="AB556">
        <v>16930</v>
      </c>
      <c r="AC556">
        <v>4974</v>
      </c>
      <c r="AD556">
        <v>981</v>
      </c>
      <c r="AE556">
        <v>718</v>
      </c>
      <c r="AF556">
        <v>3127</v>
      </c>
      <c r="AG556">
        <v>1607</v>
      </c>
      <c r="AH556">
        <f t="shared" si="92"/>
        <v>981</v>
      </c>
      <c r="AI556">
        <f t="shared" si="93"/>
        <v>718</v>
      </c>
      <c r="AJ556">
        <v>7481</v>
      </c>
      <c r="AK556">
        <v>4632</v>
      </c>
      <c r="AL556">
        <v>17061</v>
      </c>
      <c r="AM556">
        <v>5924</v>
      </c>
      <c r="AN556" s="22">
        <v>0</v>
      </c>
      <c r="AO556">
        <v>88</v>
      </c>
      <c r="AP556">
        <v>398</v>
      </c>
      <c r="AQ556">
        <v>225</v>
      </c>
      <c r="AR556">
        <v>11</v>
      </c>
      <c r="AS556">
        <v>7</v>
      </c>
      <c r="AT556">
        <f t="shared" si="86"/>
        <v>398</v>
      </c>
      <c r="AU556">
        <f t="shared" si="87"/>
        <v>225</v>
      </c>
      <c r="AV556" t="s">
        <v>11</v>
      </c>
      <c r="AW556" t="s">
        <v>11</v>
      </c>
      <c r="AX556">
        <v>4</v>
      </c>
      <c r="AY556">
        <v>2</v>
      </c>
      <c r="AZ556">
        <f t="shared" si="88"/>
        <v>398</v>
      </c>
      <c r="BA556">
        <f t="shared" si="89"/>
        <v>225</v>
      </c>
      <c r="BB556">
        <f t="shared" si="94"/>
        <v>0</v>
      </c>
      <c r="BC556">
        <f t="shared" si="95"/>
        <v>88</v>
      </c>
      <c r="BD556">
        <v>17</v>
      </c>
      <c r="BE556">
        <v>23</v>
      </c>
      <c r="BF556">
        <v>7</v>
      </c>
      <c r="BG556">
        <v>4</v>
      </c>
      <c r="BH556">
        <v>11</v>
      </c>
      <c r="BI556">
        <v>7</v>
      </c>
      <c r="BJ556">
        <v>0</v>
      </c>
      <c r="BK556">
        <v>0</v>
      </c>
      <c r="BL556">
        <v>45</v>
      </c>
      <c r="BM556">
        <v>29</v>
      </c>
      <c r="BN556" t="s">
        <v>11</v>
      </c>
      <c r="BO556" t="s">
        <v>11</v>
      </c>
      <c r="BP556">
        <f t="shared" si="96"/>
        <v>7</v>
      </c>
      <c r="BQ556">
        <f t="shared" si="97"/>
        <v>4</v>
      </c>
      <c r="BR556">
        <v>69</v>
      </c>
      <c r="BS556">
        <v>45</v>
      </c>
      <c r="BT556">
        <v>11</v>
      </c>
      <c r="BU556">
        <v>7</v>
      </c>
    </row>
    <row r="557" spans="1:73" x14ac:dyDescent="0.25">
      <c r="A557" s="5">
        <v>42736</v>
      </c>
      <c r="B557">
        <v>684</v>
      </c>
      <c r="C557">
        <v>528</v>
      </c>
      <c r="D557">
        <v>10</v>
      </c>
      <c r="E557">
        <v>5</v>
      </c>
      <c r="F557">
        <v>1046</v>
      </c>
      <c r="G557">
        <v>599</v>
      </c>
      <c r="H557">
        <v>111</v>
      </c>
      <c r="I557">
        <v>62</v>
      </c>
      <c r="J557">
        <v>166</v>
      </c>
      <c r="K557">
        <v>137</v>
      </c>
      <c r="L557">
        <v>9943</v>
      </c>
      <c r="M557">
        <v>-5884</v>
      </c>
      <c r="N557">
        <v>104</v>
      </c>
      <c r="O557">
        <v>78</v>
      </c>
      <c r="P557">
        <v>0</v>
      </c>
      <c r="Q557">
        <v>0</v>
      </c>
      <c r="R557">
        <v>7</v>
      </c>
      <c r="S557">
        <v>5</v>
      </c>
      <c r="T557" s="34">
        <v>21570</v>
      </c>
      <c r="U557" s="34">
        <v>-6144</v>
      </c>
      <c r="V557" s="34">
        <v>1880</v>
      </c>
      <c r="W557" t="s">
        <v>11</v>
      </c>
      <c r="X557">
        <v>1807</v>
      </c>
      <c r="Y557" t="s">
        <v>11</v>
      </c>
      <c r="Z557">
        <v>1719</v>
      </c>
      <c r="AA557">
        <v>160</v>
      </c>
      <c r="AB557">
        <v>17714</v>
      </c>
      <c r="AC557">
        <v>6164</v>
      </c>
      <c r="AD557">
        <v>1199</v>
      </c>
      <c r="AE557">
        <v>771</v>
      </c>
      <c r="AF557">
        <v>2783</v>
      </c>
      <c r="AG557">
        <v>1250</v>
      </c>
      <c r="AH557">
        <f t="shared" si="92"/>
        <v>1199</v>
      </c>
      <c r="AI557">
        <f t="shared" si="93"/>
        <v>771</v>
      </c>
      <c r="AJ557">
        <v>9233</v>
      </c>
      <c r="AK557">
        <v>5008</v>
      </c>
      <c r="AL557">
        <v>13945</v>
      </c>
      <c r="AM557">
        <v>3719</v>
      </c>
      <c r="AN557" s="22">
        <v>52</v>
      </c>
      <c r="AO557">
        <v>75</v>
      </c>
      <c r="AP557">
        <v>441</v>
      </c>
      <c r="AQ557">
        <v>233</v>
      </c>
      <c r="AR557">
        <v>4</v>
      </c>
      <c r="AS557">
        <v>3</v>
      </c>
      <c r="AT557">
        <f t="shared" si="86"/>
        <v>441</v>
      </c>
      <c r="AU557">
        <f t="shared" si="87"/>
        <v>233</v>
      </c>
      <c r="AV557" t="s">
        <v>11</v>
      </c>
      <c r="AW557" t="s">
        <v>11</v>
      </c>
      <c r="AX557">
        <v>4</v>
      </c>
      <c r="AY557">
        <v>2</v>
      </c>
      <c r="AZ557">
        <f t="shared" si="88"/>
        <v>441</v>
      </c>
      <c r="BA557">
        <f t="shared" si="89"/>
        <v>233</v>
      </c>
      <c r="BB557">
        <f t="shared" si="94"/>
        <v>52</v>
      </c>
      <c r="BC557">
        <f t="shared" si="95"/>
        <v>75</v>
      </c>
      <c r="BD557">
        <v>29</v>
      </c>
      <c r="BE557">
        <v>21</v>
      </c>
      <c r="BF557">
        <v>2</v>
      </c>
      <c r="BG557">
        <v>1</v>
      </c>
      <c r="BH557">
        <v>7</v>
      </c>
      <c r="BI557">
        <v>5</v>
      </c>
      <c r="BJ557">
        <v>19</v>
      </c>
      <c r="BK557">
        <v>12</v>
      </c>
      <c r="BL557">
        <v>15</v>
      </c>
      <c r="BM557">
        <v>10</v>
      </c>
      <c r="BN557" t="s">
        <v>11</v>
      </c>
      <c r="BO557" t="s">
        <v>11</v>
      </c>
      <c r="BP557">
        <f t="shared" si="96"/>
        <v>2</v>
      </c>
      <c r="BQ557">
        <f t="shared" si="97"/>
        <v>1</v>
      </c>
      <c r="BR557">
        <v>117</v>
      </c>
      <c r="BS557">
        <v>76</v>
      </c>
      <c r="BT557">
        <v>13</v>
      </c>
      <c r="BU557">
        <v>8</v>
      </c>
    </row>
    <row r="558" spans="1:73" x14ac:dyDescent="0.25">
      <c r="A558" s="5">
        <v>42767</v>
      </c>
      <c r="B558">
        <v>903</v>
      </c>
      <c r="C558">
        <v>614</v>
      </c>
      <c r="D558">
        <v>12</v>
      </c>
      <c r="E558">
        <v>7</v>
      </c>
      <c r="F558">
        <v>4572</v>
      </c>
      <c r="G558">
        <v>2515</v>
      </c>
      <c r="H558">
        <v>380</v>
      </c>
      <c r="I558">
        <v>206</v>
      </c>
      <c r="J558">
        <v>529</v>
      </c>
      <c r="K558">
        <v>396</v>
      </c>
      <c r="L558">
        <v>26660</v>
      </c>
      <c r="M558">
        <v>7676</v>
      </c>
      <c r="N558">
        <v>129</v>
      </c>
      <c r="O558">
        <v>92</v>
      </c>
      <c r="P558">
        <v>633</v>
      </c>
      <c r="Q558">
        <v>453</v>
      </c>
      <c r="R558">
        <v>18</v>
      </c>
      <c r="S558">
        <v>12</v>
      </c>
      <c r="T558" s="34">
        <v>37260</v>
      </c>
      <c r="U558" s="34">
        <v>8244</v>
      </c>
      <c r="V558" s="34">
        <v>2044</v>
      </c>
      <c r="W558" t="s">
        <v>11</v>
      </c>
      <c r="X558">
        <v>1960</v>
      </c>
      <c r="Y558" t="s">
        <v>11</v>
      </c>
      <c r="Z558">
        <v>2121</v>
      </c>
      <c r="AA558">
        <v>345</v>
      </c>
      <c r="AB558">
        <v>18543</v>
      </c>
      <c r="AC558">
        <v>8564</v>
      </c>
      <c r="AD558">
        <v>1059</v>
      </c>
      <c r="AE558">
        <v>532</v>
      </c>
      <c r="AF558">
        <v>2864</v>
      </c>
      <c r="AG558">
        <v>1419</v>
      </c>
      <c r="AH558">
        <f t="shared" si="92"/>
        <v>1059</v>
      </c>
      <c r="AI558">
        <f t="shared" si="93"/>
        <v>532</v>
      </c>
      <c r="AJ558">
        <v>8283</v>
      </c>
      <c r="AK558">
        <v>3759</v>
      </c>
      <c r="AL558">
        <v>21725</v>
      </c>
      <c r="AM558">
        <v>10986</v>
      </c>
      <c r="AN558" s="22">
        <v>41</v>
      </c>
      <c r="AO558">
        <v>82</v>
      </c>
      <c r="AP558">
        <v>416</v>
      </c>
      <c r="AQ558">
        <v>232</v>
      </c>
      <c r="AR558">
        <v>5</v>
      </c>
      <c r="AS558">
        <v>3</v>
      </c>
      <c r="AT558">
        <f t="shared" ref="AT558:AT580" si="98">AP558</f>
        <v>416</v>
      </c>
      <c r="AU558">
        <f t="shared" ref="AU558:AU580" si="99">AQ558</f>
        <v>232</v>
      </c>
      <c r="AV558" t="s">
        <v>11</v>
      </c>
      <c r="AW558" t="s">
        <v>11</v>
      </c>
      <c r="AX558">
        <v>4</v>
      </c>
      <c r="AY558">
        <v>2</v>
      </c>
      <c r="AZ558">
        <f t="shared" ref="AZ558:AZ580" si="100">AT558</f>
        <v>416</v>
      </c>
      <c r="BA558">
        <f t="shared" ref="BA558:BA580" si="101">AU558</f>
        <v>232</v>
      </c>
      <c r="BB558">
        <f t="shared" si="94"/>
        <v>41</v>
      </c>
      <c r="BC558">
        <f t="shared" si="95"/>
        <v>82</v>
      </c>
      <c r="BD558">
        <v>31</v>
      </c>
      <c r="BE558">
        <v>22</v>
      </c>
      <c r="BF558">
        <v>2</v>
      </c>
      <c r="BG558">
        <v>1</v>
      </c>
      <c r="BH558">
        <v>9</v>
      </c>
      <c r="BI558">
        <v>6</v>
      </c>
      <c r="BJ558">
        <v>27</v>
      </c>
      <c r="BK558">
        <v>18</v>
      </c>
      <c r="BL558">
        <v>26</v>
      </c>
      <c r="BM558">
        <v>17</v>
      </c>
      <c r="BN558" t="s">
        <v>11</v>
      </c>
      <c r="BO558" t="s">
        <v>11</v>
      </c>
      <c r="BP558">
        <f t="shared" si="96"/>
        <v>2</v>
      </c>
      <c r="BQ558">
        <f t="shared" si="97"/>
        <v>1</v>
      </c>
      <c r="BR558">
        <v>41</v>
      </c>
      <c r="BS558">
        <v>27</v>
      </c>
      <c r="BT558">
        <v>5</v>
      </c>
      <c r="BU558">
        <v>3</v>
      </c>
    </row>
    <row r="559" spans="1:73" x14ac:dyDescent="0.25">
      <c r="A559" s="5">
        <v>42795</v>
      </c>
      <c r="B559">
        <v>2340</v>
      </c>
      <c r="C559">
        <v>1339</v>
      </c>
      <c r="D559">
        <v>18</v>
      </c>
      <c r="E559">
        <v>10</v>
      </c>
      <c r="F559">
        <v>5379</v>
      </c>
      <c r="G559">
        <v>2978</v>
      </c>
      <c r="H559">
        <v>1214</v>
      </c>
      <c r="I559">
        <v>655</v>
      </c>
      <c r="J559">
        <v>790</v>
      </c>
      <c r="K559">
        <v>583</v>
      </c>
      <c r="L559">
        <v>50990</v>
      </c>
      <c r="M559">
        <v>28507</v>
      </c>
      <c r="N559">
        <v>177</v>
      </c>
      <c r="O559">
        <v>124</v>
      </c>
      <c r="P559">
        <v>235</v>
      </c>
      <c r="Q559">
        <v>168</v>
      </c>
      <c r="R559">
        <v>26</v>
      </c>
      <c r="S559">
        <v>17</v>
      </c>
      <c r="T559" s="34">
        <v>56450</v>
      </c>
      <c r="U559" s="34">
        <v>24129</v>
      </c>
      <c r="V559" s="34">
        <v>5328</v>
      </c>
      <c r="W559" t="s">
        <v>11</v>
      </c>
      <c r="X559">
        <v>3858</v>
      </c>
      <c r="Y559" t="s">
        <v>11</v>
      </c>
      <c r="Z559">
        <v>3500</v>
      </c>
      <c r="AA559">
        <v>1062</v>
      </c>
      <c r="AB559">
        <v>39217</v>
      </c>
      <c r="AC559">
        <v>27896</v>
      </c>
      <c r="AD559">
        <v>1906</v>
      </c>
      <c r="AE559">
        <v>1371</v>
      </c>
      <c r="AF559">
        <v>6726</v>
      </c>
      <c r="AG559">
        <v>3645</v>
      </c>
      <c r="AH559">
        <f t="shared" si="92"/>
        <v>1906</v>
      </c>
      <c r="AI559">
        <f t="shared" si="93"/>
        <v>1371</v>
      </c>
      <c r="AJ559">
        <v>14901</v>
      </c>
      <c r="AK559">
        <v>9145</v>
      </c>
      <c r="AL559">
        <v>39713</v>
      </c>
      <c r="AM559">
        <v>27289</v>
      </c>
      <c r="AN559" s="22">
        <v>94</v>
      </c>
      <c r="AO559">
        <v>137</v>
      </c>
      <c r="AP559">
        <v>1221</v>
      </c>
      <c r="AQ559">
        <v>690</v>
      </c>
      <c r="AR559">
        <v>7</v>
      </c>
      <c r="AS559">
        <v>4</v>
      </c>
      <c r="AT559">
        <f t="shared" si="98"/>
        <v>1221</v>
      </c>
      <c r="AU559">
        <f t="shared" si="99"/>
        <v>690</v>
      </c>
      <c r="AV559" t="s">
        <v>11</v>
      </c>
      <c r="AW559" t="s">
        <v>11</v>
      </c>
      <c r="AX559">
        <v>4</v>
      </c>
      <c r="AY559">
        <v>2</v>
      </c>
      <c r="AZ559">
        <f t="shared" si="100"/>
        <v>1221</v>
      </c>
      <c r="BA559">
        <f t="shared" si="101"/>
        <v>690</v>
      </c>
      <c r="BB559">
        <f t="shared" si="94"/>
        <v>94</v>
      </c>
      <c r="BC559">
        <f t="shared" si="95"/>
        <v>137</v>
      </c>
      <c r="BD559">
        <v>154</v>
      </c>
      <c r="BE559">
        <v>101</v>
      </c>
      <c r="BF559">
        <v>3</v>
      </c>
      <c r="BG559">
        <v>2</v>
      </c>
      <c r="BH559">
        <v>12</v>
      </c>
      <c r="BI559">
        <v>8</v>
      </c>
      <c r="BJ559">
        <v>9</v>
      </c>
      <c r="BK559">
        <v>6</v>
      </c>
      <c r="BL559">
        <v>99</v>
      </c>
      <c r="BM559">
        <v>64</v>
      </c>
      <c r="BN559" t="s">
        <v>11</v>
      </c>
      <c r="BO559" t="s">
        <v>11</v>
      </c>
      <c r="BP559">
        <f t="shared" si="96"/>
        <v>3</v>
      </c>
      <c r="BQ559">
        <f t="shared" si="97"/>
        <v>2</v>
      </c>
      <c r="BR559">
        <v>39</v>
      </c>
      <c r="BS559">
        <v>25</v>
      </c>
      <c r="BT559">
        <v>32</v>
      </c>
      <c r="BU559">
        <v>21</v>
      </c>
    </row>
    <row r="560" spans="1:73" x14ac:dyDescent="0.25">
      <c r="A560" s="5">
        <v>42826</v>
      </c>
      <c r="B560">
        <v>2791</v>
      </c>
      <c r="C560">
        <v>1699</v>
      </c>
      <c r="D560">
        <v>17</v>
      </c>
      <c r="E560">
        <v>9</v>
      </c>
      <c r="F560">
        <v>6711</v>
      </c>
      <c r="G560">
        <v>3708</v>
      </c>
      <c r="H560">
        <v>1454</v>
      </c>
      <c r="I560">
        <v>784</v>
      </c>
      <c r="J560">
        <v>1309</v>
      </c>
      <c r="K560">
        <v>953</v>
      </c>
      <c r="L560">
        <v>70780</v>
      </c>
      <c r="M560">
        <v>45421</v>
      </c>
      <c r="N560">
        <v>192</v>
      </c>
      <c r="O560">
        <v>138</v>
      </c>
      <c r="P560">
        <v>259</v>
      </c>
      <c r="Q560">
        <v>185</v>
      </c>
      <c r="R560">
        <v>32</v>
      </c>
      <c r="S560">
        <v>21</v>
      </c>
      <c r="T560" s="34">
        <v>69810</v>
      </c>
      <c r="U560" s="34">
        <v>35500</v>
      </c>
      <c r="V560" s="34">
        <v>7394</v>
      </c>
      <c r="W560" t="s">
        <v>11</v>
      </c>
      <c r="X560">
        <v>5041</v>
      </c>
      <c r="Y560" t="s">
        <v>11</v>
      </c>
      <c r="Z560">
        <v>3570</v>
      </c>
      <c r="AA560">
        <v>1125</v>
      </c>
      <c r="AB560">
        <v>45968</v>
      </c>
      <c r="AC560">
        <v>35630</v>
      </c>
      <c r="AD560">
        <v>2324</v>
      </c>
      <c r="AE560">
        <v>1771</v>
      </c>
      <c r="AF560">
        <v>7443</v>
      </c>
      <c r="AG560">
        <v>4241</v>
      </c>
      <c r="AH560">
        <f t="shared" si="92"/>
        <v>2324</v>
      </c>
      <c r="AI560">
        <f t="shared" si="93"/>
        <v>1771</v>
      </c>
      <c r="AJ560">
        <v>15833</v>
      </c>
      <c r="AK560">
        <v>9979</v>
      </c>
      <c r="AL560">
        <v>44921</v>
      </c>
      <c r="AM560">
        <v>33680</v>
      </c>
      <c r="AN560" s="22">
        <v>471</v>
      </c>
      <c r="AO560">
        <v>391</v>
      </c>
      <c r="AP560">
        <v>1224</v>
      </c>
      <c r="AQ560">
        <v>703</v>
      </c>
      <c r="AR560">
        <v>8</v>
      </c>
      <c r="AS560">
        <v>5</v>
      </c>
      <c r="AT560">
        <f t="shared" si="98"/>
        <v>1224</v>
      </c>
      <c r="AU560">
        <f t="shared" si="99"/>
        <v>703</v>
      </c>
      <c r="AV560" t="s">
        <v>11</v>
      </c>
      <c r="AW560" t="s">
        <v>11</v>
      </c>
      <c r="AX560">
        <v>4</v>
      </c>
      <c r="AY560">
        <v>2</v>
      </c>
      <c r="AZ560">
        <f t="shared" si="100"/>
        <v>1224</v>
      </c>
      <c r="BA560">
        <f t="shared" si="101"/>
        <v>703</v>
      </c>
      <c r="BB560">
        <f t="shared" si="94"/>
        <v>471</v>
      </c>
      <c r="BC560">
        <f t="shared" si="95"/>
        <v>391</v>
      </c>
      <c r="BD560">
        <v>205</v>
      </c>
      <c r="BE560">
        <v>135</v>
      </c>
      <c r="BF560">
        <v>3</v>
      </c>
      <c r="BG560">
        <v>2</v>
      </c>
      <c r="BH560">
        <v>13</v>
      </c>
      <c r="BI560">
        <v>9</v>
      </c>
      <c r="BJ560">
        <v>0</v>
      </c>
      <c r="BK560">
        <v>0</v>
      </c>
      <c r="BL560">
        <v>202</v>
      </c>
      <c r="BM560">
        <v>131</v>
      </c>
      <c r="BN560" t="s">
        <v>11</v>
      </c>
      <c r="BO560" t="s">
        <v>11</v>
      </c>
      <c r="BP560">
        <f t="shared" si="96"/>
        <v>3</v>
      </c>
      <c r="BQ560">
        <f t="shared" si="97"/>
        <v>2</v>
      </c>
      <c r="BR560">
        <v>158</v>
      </c>
      <c r="BS560">
        <v>103</v>
      </c>
      <c r="BT560">
        <v>79</v>
      </c>
      <c r="BU560">
        <v>52</v>
      </c>
    </row>
    <row r="561" spans="1:73" x14ac:dyDescent="0.25">
      <c r="A561" s="5">
        <v>42856</v>
      </c>
      <c r="B561">
        <v>2906</v>
      </c>
      <c r="C561">
        <v>1812</v>
      </c>
      <c r="D561">
        <v>25</v>
      </c>
      <c r="E561">
        <v>13</v>
      </c>
      <c r="F561">
        <v>7906</v>
      </c>
      <c r="G561">
        <v>4351</v>
      </c>
      <c r="H561">
        <v>1845</v>
      </c>
      <c r="I561">
        <v>995</v>
      </c>
      <c r="J561">
        <v>864</v>
      </c>
      <c r="K561">
        <v>636</v>
      </c>
      <c r="L561">
        <v>68290</v>
      </c>
      <c r="M561">
        <v>42860</v>
      </c>
      <c r="N561">
        <v>234</v>
      </c>
      <c r="O561">
        <v>166</v>
      </c>
      <c r="P561">
        <v>613</v>
      </c>
      <c r="Q561">
        <v>438</v>
      </c>
      <c r="R561">
        <v>29</v>
      </c>
      <c r="S561">
        <v>19</v>
      </c>
      <c r="T561" s="34">
        <v>73910</v>
      </c>
      <c r="U561" s="34">
        <v>34100</v>
      </c>
      <c r="V561" s="34">
        <v>5506</v>
      </c>
      <c r="W561" t="s">
        <v>11</v>
      </c>
      <c r="X561">
        <v>3162</v>
      </c>
      <c r="Y561" t="s">
        <v>11</v>
      </c>
      <c r="Z561">
        <v>5516</v>
      </c>
      <c r="AA561">
        <v>1824</v>
      </c>
      <c r="AB561">
        <v>30992</v>
      </c>
      <c r="AC561">
        <v>21069</v>
      </c>
      <c r="AD561">
        <v>2942</v>
      </c>
      <c r="AE561">
        <v>2542</v>
      </c>
      <c r="AF561">
        <v>6191</v>
      </c>
      <c r="AG561">
        <v>3435</v>
      </c>
      <c r="AH561">
        <f t="shared" si="92"/>
        <v>2942</v>
      </c>
      <c r="AI561">
        <f t="shared" si="93"/>
        <v>2542</v>
      </c>
      <c r="AJ561">
        <v>20357</v>
      </c>
      <c r="AK561">
        <v>14637</v>
      </c>
      <c r="AL561">
        <v>36885</v>
      </c>
      <c r="AM561">
        <v>26048</v>
      </c>
      <c r="AN561" s="22">
        <v>0</v>
      </c>
      <c r="AO561">
        <v>102</v>
      </c>
      <c r="AP561">
        <v>923</v>
      </c>
      <c r="AQ561">
        <v>539</v>
      </c>
      <c r="AR561">
        <v>9</v>
      </c>
      <c r="AS561">
        <v>6</v>
      </c>
      <c r="AT561">
        <f t="shared" si="98"/>
        <v>923</v>
      </c>
      <c r="AU561">
        <f t="shared" si="99"/>
        <v>539</v>
      </c>
      <c r="AV561" t="s">
        <v>11</v>
      </c>
      <c r="AW561" t="s">
        <v>11</v>
      </c>
      <c r="AX561">
        <v>4</v>
      </c>
      <c r="AY561">
        <v>2</v>
      </c>
      <c r="AZ561">
        <f t="shared" si="100"/>
        <v>923</v>
      </c>
      <c r="BA561">
        <f t="shared" si="101"/>
        <v>539</v>
      </c>
      <c r="BB561">
        <f t="shared" si="94"/>
        <v>0</v>
      </c>
      <c r="BC561">
        <f t="shared" si="95"/>
        <v>102</v>
      </c>
      <c r="BD561">
        <v>171</v>
      </c>
      <c r="BE561">
        <v>113</v>
      </c>
      <c r="BF561">
        <v>4</v>
      </c>
      <c r="BG561">
        <v>3</v>
      </c>
      <c r="BH561">
        <v>16</v>
      </c>
      <c r="BI561">
        <v>10</v>
      </c>
      <c r="BJ561">
        <v>0</v>
      </c>
      <c r="BK561">
        <v>0</v>
      </c>
      <c r="BL561">
        <v>269</v>
      </c>
      <c r="BM561">
        <v>175</v>
      </c>
      <c r="BN561" t="s">
        <v>11</v>
      </c>
      <c r="BO561" t="s">
        <v>11</v>
      </c>
      <c r="BP561">
        <f t="shared" si="96"/>
        <v>4</v>
      </c>
      <c r="BQ561">
        <f t="shared" si="97"/>
        <v>3</v>
      </c>
      <c r="BR561">
        <v>4</v>
      </c>
      <c r="BS561">
        <v>3</v>
      </c>
      <c r="BT561">
        <v>63</v>
      </c>
      <c r="BU561">
        <v>41</v>
      </c>
    </row>
    <row r="562" spans="1:73" x14ac:dyDescent="0.25">
      <c r="A562" s="5">
        <v>42887</v>
      </c>
      <c r="B562">
        <v>3235</v>
      </c>
      <c r="C562">
        <v>1920</v>
      </c>
      <c r="D562">
        <v>30</v>
      </c>
      <c r="E562">
        <v>16</v>
      </c>
      <c r="F562">
        <v>8802</v>
      </c>
      <c r="G562">
        <v>4911</v>
      </c>
      <c r="H562">
        <v>1932</v>
      </c>
      <c r="I562">
        <v>1043</v>
      </c>
      <c r="J562">
        <v>1007</v>
      </c>
      <c r="K562">
        <v>731</v>
      </c>
      <c r="L562">
        <v>73450</v>
      </c>
      <c r="M562">
        <v>45364</v>
      </c>
      <c r="N562">
        <v>283</v>
      </c>
      <c r="O562">
        <v>199</v>
      </c>
      <c r="P562">
        <v>700</v>
      </c>
      <c r="Q562">
        <v>501</v>
      </c>
      <c r="R562">
        <v>42</v>
      </c>
      <c r="S562">
        <v>27</v>
      </c>
      <c r="T562" s="34">
        <v>88880</v>
      </c>
      <c r="U562" s="34">
        <v>47589</v>
      </c>
      <c r="V562" s="34">
        <v>3144</v>
      </c>
      <c r="W562" t="s">
        <v>11</v>
      </c>
      <c r="X562">
        <v>3157</v>
      </c>
      <c r="Y562" t="s">
        <v>11</v>
      </c>
      <c r="Z562">
        <v>5412</v>
      </c>
      <c r="AA562">
        <v>1661</v>
      </c>
      <c r="AB562">
        <v>25278</v>
      </c>
      <c r="AC562">
        <v>17103</v>
      </c>
      <c r="AD562">
        <v>3290</v>
      </c>
      <c r="AE562">
        <v>2781</v>
      </c>
      <c r="AF562">
        <v>4094</v>
      </c>
      <c r="AG562">
        <v>2274</v>
      </c>
      <c r="AH562">
        <f t="shared" si="92"/>
        <v>3290</v>
      </c>
      <c r="AI562">
        <f t="shared" si="93"/>
        <v>2781</v>
      </c>
      <c r="AJ562">
        <v>23010</v>
      </c>
      <c r="AK562">
        <v>16214</v>
      </c>
      <c r="AL562">
        <v>35317</v>
      </c>
      <c r="AM562">
        <v>24999</v>
      </c>
      <c r="AN562" s="22">
        <v>0</v>
      </c>
      <c r="AO562">
        <v>123</v>
      </c>
      <c r="AP562">
        <v>418</v>
      </c>
      <c r="AQ562">
        <v>245</v>
      </c>
      <c r="AR562">
        <v>11</v>
      </c>
      <c r="AS562">
        <v>7</v>
      </c>
      <c r="AT562">
        <f t="shared" si="98"/>
        <v>418</v>
      </c>
      <c r="AU562">
        <f t="shared" si="99"/>
        <v>245</v>
      </c>
      <c r="AV562" t="s">
        <v>11</v>
      </c>
      <c r="AW562" t="s">
        <v>11</v>
      </c>
      <c r="AX562">
        <v>4</v>
      </c>
      <c r="AY562">
        <v>2</v>
      </c>
      <c r="AZ562">
        <f t="shared" si="100"/>
        <v>418</v>
      </c>
      <c r="BA562">
        <f t="shared" si="101"/>
        <v>245</v>
      </c>
      <c r="BB562">
        <f t="shared" si="94"/>
        <v>0</v>
      </c>
      <c r="BC562">
        <f t="shared" si="95"/>
        <v>123</v>
      </c>
      <c r="BD562">
        <v>227</v>
      </c>
      <c r="BE562">
        <v>149</v>
      </c>
      <c r="BF562">
        <v>5</v>
      </c>
      <c r="BG562">
        <v>3</v>
      </c>
      <c r="BH562">
        <v>20</v>
      </c>
      <c r="BI562">
        <v>13</v>
      </c>
      <c r="BJ562">
        <v>0</v>
      </c>
      <c r="BK562">
        <v>0</v>
      </c>
      <c r="BL562">
        <v>86</v>
      </c>
      <c r="BM562">
        <v>56</v>
      </c>
      <c r="BN562" t="s">
        <v>11</v>
      </c>
      <c r="BO562" t="s">
        <v>11</v>
      </c>
      <c r="BP562">
        <f t="shared" si="96"/>
        <v>5</v>
      </c>
      <c r="BQ562">
        <f t="shared" si="97"/>
        <v>3</v>
      </c>
      <c r="BR562">
        <v>0</v>
      </c>
      <c r="BS562">
        <v>0</v>
      </c>
      <c r="BT562">
        <v>40</v>
      </c>
      <c r="BU562">
        <v>26</v>
      </c>
    </row>
    <row r="563" spans="1:73" x14ac:dyDescent="0.25">
      <c r="A563" s="5">
        <v>42917</v>
      </c>
      <c r="B563">
        <v>3894</v>
      </c>
      <c r="C563">
        <v>2324</v>
      </c>
      <c r="D563">
        <v>37</v>
      </c>
      <c r="E563">
        <v>20</v>
      </c>
      <c r="F563">
        <v>8521</v>
      </c>
      <c r="G563">
        <v>4712</v>
      </c>
      <c r="H563">
        <v>1193</v>
      </c>
      <c r="I563">
        <v>645</v>
      </c>
      <c r="J563">
        <v>1062</v>
      </c>
      <c r="K563">
        <v>770</v>
      </c>
      <c r="L563">
        <v>74520</v>
      </c>
      <c r="M563">
        <v>44746</v>
      </c>
      <c r="N563">
        <v>310</v>
      </c>
      <c r="O563">
        <v>216</v>
      </c>
      <c r="P563">
        <v>982</v>
      </c>
      <c r="Q563">
        <v>702</v>
      </c>
      <c r="R563">
        <v>45</v>
      </c>
      <c r="S563">
        <v>29</v>
      </c>
      <c r="T563" s="34">
        <v>96140</v>
      </c>
      <c r="U563" s="34">
        <v>53730</v>
      </c>
      <c r="V563" s="34">
        <v>1846</v>
      </c>
      <c r="W563" t="s">
        <v>11</v>
      </c>
      <c r="X563">
        <v>2708</v>
      </c>
      <c r="Y563" t="s">
        <v>11</v>
      </c>
      <c r="Z563">
        <v>5521</v>
      </c>
      <c r="AA563">
        <v>1835</v>
      </c>
      <c r="AB563">
        <v>32316</v>
      </c>
      <c r="AC563">
        <v>22949</v>
      </c>
      <c r="AD563">
        <v>3611</v>
      </c>
      <c r="AE563">
        <v>3110</v>
      </c>
      <c r="AF563">
        <v>4906</v>
      </c>
      <c r="AG563">
        <v>2798</v>
      </c>
      <c r="AH563">
        <f t="shared" si="92"/>
        <v>3611</v>
      </c>
      <c r="AI563">
        <f t="shared" si="93"/>
        <v>3110</v>
      </c>
      <c r="AJ563">
        <v>24765</v>
      </c>
      <c r="AK563">
        <v>17664</v>
      </c>
      <c r="AL563">
        <v>34148</v>
      </c>
      <c r="AM563">
        <v>23717</v>
      </c>
      <c r="AN563" s="22">
        <v>0</v>
      </c>
      <c r="AO563">
        <v>134</v>
      </c>
      <c r="AP563">
        <v>209</v>
      </c>
      <c r="AQ563">
        <v>120</v>
      </c>
      <c r="AR563">
        <v>12</v>
      </c>
      <c r="AS563">
        <v>8</v>
      </c>
      <c r="AT563">
        <f t="shared" si="98"/>
        <v>209</v>
      </c>
      <c r="AU563">
        <f t="shared" si="99"/>
        <v>120</v>
      </c>
      <c r="AV563" t="s">
        <v>11</v>
      </c>
      <c r="AW563" t="s">
        <v>11</v>
      </c>
      <c r="AX563">
        <v>4</v>
      </c>
      <c r="AY563">
        <v>2</v>
      </c>
      <c r="AZ563">
        <f t="shared" si="100"/>
        <v>209</v>
      </c>
      <c r="BA563">
        <f t="shared" si="101"/>
        <v>120</v>
      </c>
      <c r="BB563">
        <f t="shared" si="94"/>
        <v>0</v>
      </c>
      <c r="BC563">
        <f t="shared" si="95"/>
        <v>134</v>
      </c>
      <c r="BD563">
        <v>203</v>
      </c>
      <c r="BE563">
        <v>135</v>
      </c>
      <c r="BF563">
        <v>5</v>
      </c>
      <c r="BG563">
        <v>3</v>
      </c>
      <c r="BH563">
        <v>21</v>
      </c>
      <c r="BI563">
        <v>14</v>
      </c>
      <c r="BJ563">
        <v>0</v>
      </c>
      <c r="BK563">
        <v>0</v>
      </c>
      <c r="BL563">
        <v>125</v>
      </c>
      <c r="BM563">
        <v>81</v>
      </c>
      <c r="BN563" t="s">
        <v>11</v>
      </c>
      <c r="BO563" t="s">
        <v>11</v>
      </c>
      <c r="BP563">
        <f t="shared" si="96"/>
        <v>5</v>
      </c>
      <c r="BQ563">
        <f t="shared" si="97"/>
        <v>3</v>
      </c>
      <c r="BR563">
        <v>0</v>
      </c>
      <c r="BS563">
        <v>0</v>
      </c>
      <c r="BT563">
        <v>0</v>
      </c>
      <c r="BU563">
        <v>0</v>
      </c>
    </row>
    <row r="564" spans="1:73" x14ac:dyDescent="0.25">
      <c r="A564" s="5">
        <v>42948</v>
      </c>
      <c r="B564">
        <v>3557</v>
      </c>
      <c r="C564">
        <v>2189</v>
      </c>
      <c r="D564">
        <v>243</v>
      </c>
      <c r="E564">
        <v>131</v>
      </c>
      <c r="F564">
        <v>8760</v>
      </c>
      <c r="G564">
        <v>4877</v>
      </c>
      <c r="H564">
        <v>2149</v>
      </c>
      <c r="I564">
        <v>1159</v>
      </c>
      <c r="J564">
        <v>981</v>
      </c>
      <c r="K564">
        <v>712</v>
      </c>
      <c r="L564">
        <v>65550</v>
      </c>
      <c r="M564">
        <v>37765</v>
      </c>
      <c r="N564">
        <v>298</v>
      </c>
      <c r="O564">
        <v>206</v>
      </c>
      <c r="P564">
        <v>592</v>
      </c>
      <c r="Q564">
        <v>423</v>
      </c>
      <c r="R564">
        <v>27</v>
      </c>
      <c r="S564">
        <v>18</v>
      </c>
      <c r="T564" s="34">
        <v>89970</v>
      </c>
      <c r="U564" s="34">
        <v>48552</v>
      </c>
      <c r="V564" s="34">
        <v>3436</v>
      </c>
      <c r="W564" t="s">
        <v>11</v>
      </c>
      <c r="X564">
        <v>2404</v>
      </c>
      <c r="Y564" t="s">
        <v>11</v>
      </c>
      <c r="Z564">
        <v>2916</v>
      </c>
      <c r="AA564">
        <v>862</v>
      </c>
      <c r="AB564">
        <v>21403</v>
      </c>
      <c r="AC564">
        <v>13378</v>
      </c>
      <c r="AD564">
        <v>3663</v>
      </c>
      <c r="AE564">
        <v>2989</v>
      </c>
      <c r="AF564">
        <v>5389</v>
      </c>
      <c r="AG564">
        <v>3024</v>
      </c>
      <c r="AH564">
        <f t="shared" si="92"/>
        <v>3663</v>
      </c>
      <c r="AI564">
        <f t="shared" si="93"/>
        <v>2989</v>
      </c>
      <c r="AJ564">
        <v>24739</v>
      </c>
      <c r="AK564">
        <v>16700</v>
      </c>
      <c r="AL564">
        <v>30990</v>
      </c>
      <c r="AM564">
        <v>20745</v>
      </c>
      <c r="AN564" s="22">
        <v>0</v>
      </c>
      <c r="AO564">
        <v>129</v>
      </c>
      <c r="AP564">
        <v>385</v>
      </c>
      <c r="AQ564">
        <v>222</v>
      </c>
      <c r="AR564">
        <v>12</v>
      </c>
      <c r="AS564">
        <v>8</v>
      </c>
      <c r="AT564">
        <f t="shared" si="98"/>
        <v>385</v>
      </c>
      <c r="AU564">
        <f t="shared" si="99"/>
        <v>222</v>
      </c>
      <c r="AV564" t="s">
        <v>11</v>
      </c>
      <c r="AW564" t="s">
        <v>11</v>
      </c>
      <c r="AX564">
        <v>4</v>
      </c>
      <c r="AY564">
        <v>2</v>
      </c>
      <c r="AZ564">
        <f t="shared" si="100"/>
        <v>385</v>
      </c>
      <c r="BA564">
        <f t="shared" si="101"/>
        <v>222</v>
      </c>
      <c r="BB564">
        <f t="shared" si="94"/>
        <v>0</v>
      </c>
      <c r="BC564">
        <f t="shared" si="95"/>
        <v>129</v>
      </c>
      <c r="BD564">
        <v>146</v>
      </c>
      <c r="BE564">
        <v>96</v>
      </c>
      <c r="BF564">
        <v>5</v>
      </c>
      <c r="BG564">
        <v>3</v>
      </c>
      <c r="BH564">
        <v>21</v>
      </c>
      <c r="BI564">
        <v>13</v>
      </c>
      <c r="BJ564">
        <v>26</v>
      </c>
      <c r="BK564">
        <v>17</v>
      </c>
      <c r="BL564">
        <v>3</v>
      </c>
      <c r="BM564">
        <v>2</v>
      </c>
      <c r="BN564" t="s">
        <v>11</v>
      </c>
      <c r="BO564" t="s">
        <v>11</v>
      </c>
      <c r="BP564">
        <f t="shared" si="96"/>
        <v>5</v>
      </c>
      <c r="BQ564">
        <f t="shared" si="97"/>
        <v>3</v>
      </c>
      <c r="BR564">
        <v>0</v>
      </c>
      <c r="BS564">
        <v>0</v>
      </c>
      <c r="BT564">
        <v>0</v>
      </c>
      <c r="BU564">
        <v>0</v>
      </c>
    </row>
    <row r="565" spans="1:73" x14ac:dyDescent="0.25">
      <c r="A565" s="5">
        <v>42979</v>
      </c>
      <c r="B565">
        <v>2163</v>
      </c>
      <c r="C565">
        <v>1483</v>
      </c>
      <c r="D565">
        <v>27</v>
      </c>
      <c r="E565">
        <v>15</v>
      </c>
      <c r="F565">
        <v>4294</v>
      </c>
      <c r="G565">
        <v>2396</v>
      </c>
      <c r="H565">
        <v>1731</v>
      </c>
      <c r="I565">
        <v>934</v>
      </c>
      <c r="J565">
        <v>265</v>
      </c>
      <c r="K565">
        <v>200</v>
      </c>
      <c r="L565">
        <v>52020</v>
      </c>
      <c r="M565">
        <v>23932</v>
      </c>
      <c r="N565">
        <v>234</v>
      </c>
      <c r="O565">
        <v>168</v>
      </c>
      <c r="P565">
        <v>560</v>
      </c>
      <c r="Q565">
        <v>401</v>
      </c>
      <c r="R565">
        <v>23</v>
      </c>
      <c r="S565">
        <v>15</v>
      </c>
      <c r="T565" s="34">
        <v>64840</v>
      </c>
      <c r="U565" s="34">
        <v>25188</v>
      </c>
      <c r="V565" s="34">
        <v>2803</v>
      </c>
      <c r="W565" t="s">
        <v>11</v>
      </c>
      <c r="X565">
        <v>3459</v>
      </c>
      <c r="Y565" t="s">
        <v>11</v>
      </c>
      <c r="Z565">
        <v>3315</v>
      </c>
      <c r="AA565">
        <v>999</v>
      </c>
      <c r="AB565">
        <v>23946</v>
      </c>
      <c r="AC565">
        <v>13782</v>
      </c>
      <c r="AD565">
        <v>2475</v>
      </c>
      <c r="AE565">
        <v>1938</v>
      </c>
      <c r="AF565">
        <v>5194</v>
      </c>
      <c r="AG565">
        <v>2912</v>
      </c>
      <c r="AH565">
        <f t="shared" si="92"/>
        <v>2475</v>
      </c>
      <c r="AI565">
        <f t="shared" si="93"/>
        <v>1938</v>
      </c>
      <c r="AJ565">
        <v>18437</v>
      </c>
      <c r="AK565">
        <v>12145</v>
      </c>
      <c r="AL565">
        <v>35696</v>
      </c>
      <c r="AM565">
        <v>24795</v>
      </c>
      <c r="AN565" s="22">
        <v>0</v>
      </c>
      <c r="AO565">
        <v>102</v>
      </c>
      <c r="AP565">
        <v>256</v>
      </c>
      <c r="AQ565">
        <v>148</v>
      </c>
      <c r="AR565">
        <v>9</v>
      </c>
      <c r="AS565">
        <v>6</v>
      </c>
      <c r="AT565">
        <f t="shared" si="98"/>
        <v>256</v>
      </c>
      <c r="AU565">
        <f t="shared" si="99"/>
        <v>148</v>
      </c>
      <c r="AV565" t="s">
        <v>11</v>
      </c>
      <c r="AW565" t="s">
        <v>11</v>
      </c>
      <c r="AX565">
        <v>4</v>
      </c>
      <c r="AY565">
        <v>2</v>
      </c>
      <c r="AZ565">
        <f t="shared" si="100"/>
        <v>256</v>
      </c>
      <c r="BA565">
        <f t="shared" si="101"/>
        <v>148</v>
      </c>
      <c r="BB565">
        <f t="shared" si="94"/>
        <v>0</v>
      </c>
      <c r="BC565">
        <f t="shared" si="95"/>
        <v>102</v>
      </c>
      <c r="BD565">
        <v>201</v>
      </c>
      <c r="BE565">
        <v>132</v>
      </c>
      <c r="BF565">
        <v>4</v>
      </c>
      <c r="BG565">
        <v>3</v>
      </c>
      <c r="BH565">
        <v>16</v>
      </c>
      <c r="BI565">
        <v>10</v>
      </c>
      <c r="BJ565">
        <v>74</v>
      </c>
      <c r="BK565">
        <v>48</v>
      </c>
      <c r="BL565">
        <v>0</v>
      </c>
      <c r="BM565">
        <v>0</v>
      </c>
      <c r="BN565" t="s">
        <v>11</v>
      </c>
      <c r="BO565" t="s">
        <v>11</v>
      </c>
      <c r="BP565">
        <f t="shared" si="96"/>
        <v>4</v>
      </c>
      <c r="BQ565">
        <f t="shared" si="97"/>
        <v>3</v>
      </c>
      <c r="BR565">
        <v>36</v>
      </c>
      <c r="BS565">
        <v>23</v>
      </c>
      <c r="BT565">
        <v>48</v>
      </c>
      <c r="BU565">
        <v>31</v>
      </c>
    </row>
    <row r="566" spans="1:73" x14ac:dyDescent="0.25">
      <c r="A566" s="5">
        <v>43009</v>
      </c>
      <c r="B566">
        <v>2716</v>
      </c>
      <c r="C566">
        <v>1683</v>
      </c>
      <c r="D566">
        <v>24</v>
      </c>
      <c r="E566">
        <v>13</v>
      </c>
      <c r="F566">
        <v>4758</v>
      </c>
      <c r="G566">
        <v>2682</v>
      </c>
      <c r="H566">
        <v>1179</v>
      </c>
      <c r="I566">
        <v>637</v>
      </c>
      <c r="J566">
        <v>379</v>
      </c>
      <c r="K566">
        <v>282</v>
      </c>
      <c r="L566">
        <v>44450</v>
      </c>
      <c r="M566">
        <v>19859</v>
      </c>
      <c r="N566">
        <v>196</v>
      </c>
      <c r="O566">
        <v>142</v>
      </c>
      <c r="P566">
        <v>231</v>
      </c>
      <c r="Q566">
        <v>165</v>
      </c>
      <c r="R566">
        <v>15</v>
      </c>
      <c r="S566">
        <v>10</v>
      </c>
      <c r="T566" s="34">
        <v>58960</v>
      </c>
      <c r="U566" s="34">
        <v>20574</v>
      </c>
      <c r="V566" s="34">
        <v>4619</v>
      </c>
      <c r="W566" t="s">
        <v>11</v>
      </c>
      <c r="X566">
        <v>3880</v>
      </c>
      <c r="Y566" t="s">
        <v>11</v>
      </c>
      <c r="Z566">
        <v>4130</v>
      </c>
      <c r="AA566">
        <v>1185</v>
      </c>
      <c r="AB566">
        <v>36952</v>
      </c>
      <c r="AC566">
        <v>26165</v>
      </c>
      <c r="AD566">
        <v>2735</v>
      </c>
      <c r="AE566">
        <v>1807</v>
      </c>
      <c r="AF566">
        <v>7116</v>
      </c>
      <c r="AG566">
        <v>3855</v>
      </c>
      <c r="AH566">
        <f t="shared" si="92"/>
        <v>2735</v>
      </c>
      <c r="AI566">
        <f t="shared" si="93"/>
        <v>1807</v>
      </c>
      <c r="AJ566">
        <v>16653</v>
      </c>
      <c r="AK566">
        <v>8639</v>
      </c>
      <c r="AL566">
        <v>37037</v>
      </c>
      <c r="AM566">
        <v>25833</v>
      </c>
      <c r="AN566" s="22">
        <v>18</v>
      </c>
      <c r="AO566">
        <v>97</v>
      </c>
      <c r="AP566">
        <v>824</v>
      </c>
      <c r="AQ566">
        <v>468</v>
      </c>
      <c r="AR566">
        <v>8</v>
      </c>
      <c r="AS566">
        <v>5</v>
      </c>
      <c r="AT566">
        <f t="shared" si="98"/>
        <v>824</v>
      </c>
      <c r="AU566">
        <f t="shared" si="99"/>
        <v>468</v>
      </c>
      <c r="AV566" t="s">
        <v>11</v>
      </c>
      <c r="AW566" t="s">
        <v>11</v>
      </c>
      <c r="AX566">
        <v>4</v>
      </c>
      <c r="AY566">
        <v>2</v>
      </c>
      <c r="AZ566">
        <f t="shared" si="100"/>
        <v>824</v>
      </c>
      <c r="BA566">
        <f t="shared" si="101"/>
        <v>468</v>
      </c>
      <c r="BB566">
        <f t="shared" si="94"/>
        <v>18</v>
      </c>
      <c r="BC566">
        <f t="shared" si="95"/>
        <v>97</v>
      </c>
      <c r="BD566">
        <v>228</v>
      </c>
      <c r="BE566">
        <v>149</v>
      </c>
      <c r="BF566">
        <v>4</v>
      </c>
      <c r="BG566">
        <v>3</v>
      </c>
      <c r="BH566">
        <v>13</v>
      </c>
      <c r="BI566">
        <v>9</v>
      </c>
      <c r="BJ566">
        <v>54</v>
      </c>
      <c r="BK566">
        <v>35</v>
      </c>
      <c r="BL566">
        <v>23</v>
      </c>
      <c r="BM566">
        <v>15</v>
      </c>
      <c r="BN566" t="s">
        <v>11</v>
      </c>
      <c r="BO566" t="s">
        <v>11</v>
      </c>
      <c r="BP566">
        <f t="shared" si="96"/>
        <v>4</v>
      </c>
      <c r="BQ566">
        <f t="shared" si="97"/>
        <v>3</v>
      </c>
      <c r="BR566">
        <v>102</v>
      </c>
      <c r="BS566">
        <v>66</v>
      </c>
      <c r="BT566">
        <v>69</v>
      </c>
      <c r="BU566">
        <v>45</v>
      </c>
    </row>
    <row r="567" spans="1:73" x14ac:dyDescent="0.25">
      <c r="A567" s="5">
        <v>43040</v>
      </c>
      <c r="B567">
        <v>1481</v>
      </c>
      <c r="C567">
        <v>1001</v>
      </c>
      <c r="D567">
        <v>28</v>
      </c>
      <c r="E567">
        <v>15</v>
      </c>
      <c r="F567">
        <v>2335</v>
      </c>
      <c r="G567">
        <v>1340</v>
      </c>
      <c r="H567">
        <v>483</v>
      </c>
      <c r="I567">
        <v>261</v>
      </c>
      <c r="J567">
        <v>266</v>
      </c>
      <c r="K567">
        <v>201</v>
      </c>
      <c r="L567">
        <v>26420</v>
      </c>
      <c r="M567">
        <v>3353</v>
      </c>
      <c r="N567">
        <v>139</v>
      </c>
      <c r="O567">
        <v>103</v>
      </c>
      <c r="P567">
        <v>0</v>
      </c>
      <c r="Q567">
        <v>0</v>
      </c>
      <c r="R567">
        <v>8</v>
      </c>
      <c r="S567">
        <v>5</v>
      </c>
      <c r="T567" s="34">
        <v>38040</v>
      </c>
      <c r="U567" s="34">
        <v>4974</v>
      </c>
      <c r="V567" s="34">
        <v>3368</v>
      </c>
      <c r="W567" t="s">
        <v>11</v>
      </c>
      <c r="X567">
        <v>3755</v>
      </c>
      <c r="Y567" t="s">
        <v>11</v>
      </c>
      <c r="Z567">
        <v>3244</v>
      </c>
      <c r="AA567">
        <v>681</v>
      </c>
      <c r="AB567">
        <v>27279</v>
      </c>
      <c r="AC567">
        <v>14749</v>
      </c>
      <c r="AD567">
        <v>1636</v>
      </c>
      <c r="AE567">
        <v>1293</v>
      </c>
      <c r="AF567">
        <v>4734</v>
      </c>
      <c r="AG567">
        <v>2566</v>
      </c>
      <c r="AH567">
        <f t="shared" si="92"/>
        <v>1636</v>
      </c>
      <c r="AI567">
        <f t="shared" si="93"/>
        <v>1293</v>
      </c>
      <c r="AJ567">
        <v>10437</v>
      </c>
      <c r="AK567">
        <v>6746</v>
      </c>
      <c r="AL567">
        <v>21295</v>
      </c>
      <c r="AM567">
        <v>11583</v>
      </c>
      <c r="AN567" s="22">
        <v>19</v>
      </c>
      <c r="AO567">
        <v>72</v>
      </c>
      <c r="AP567">
        <v>623</v>
      </c>
      <c r="AQ567">
        <v>358</v>
      </c>
      <c r="AR567">
        <v>5</v>
      </c>
      <c r="AS567">
        <v>4</v>
      </c>
      <c r="AT567">
        <f t="shared" si="98"/>
        <v>623</v>
      </c>
      <c r="AU567">
        <f t="shared" si="99"/>
        <v>358</v>
      </c>
      <c r="AV567" t="s">
        <v>11</v>
      </c>
      <c r="AW567" t="s">
        <v>11</v>
      </c>
      <c r="AX567">
        <v>4</v>
      </c>
      <c r="AY567">
        <v>2</v>
      </c>
      <c r="AZ567">
        <f t="shared" si="100"/>
        <v>623</v>
      </c>
      <c r="BA567">
        <f t="shared" si="101"/>
        <v>358</v>
      </c>
      <c r="BB567">
        <f t="shared" si="94"/>
        <v>19</v>
      </c>
      <c r="BC567">
        <f t="shared" si="95"/>
        <v>72</v>
      </c>
      <c r="BD567">
        <v>62</v>
      </c>
      <c r="BE567">
        <v>42</v>
      </c>
      <c r="BF567">
        <v>3</v>
      </c>
      <c r="BG567">
        <v>2</v>
      </c>
      <c r="BH567">
        <v>10</v>
      </c>
      <c r="BI567">
        <v>6</v>
      </c>
      <c r="BJ567">
        <v>21</v>
      </c>
      <c r="BK567">
        <v>13</v>
      </c>
      <c r="BL567">
        <v>47</v>
      </c>
      <c r="BM567">
        <v>31</v>
      </c>
      <c r="BN567" t="s">
        <v>11</v>
      </c>
      <c r="BO567" t="s">
        <v>11</v>
      </c>
      <c r="BP567">
        <f t="shared" si="96"/>
        <v>3</v>
      </c>
      <c r="BQ567">
        <f t="shared" si="97"/>
        <v>2</v>
      </c>
      <c r="BR567">
        <v>93</v>
      </c>
      <c r="BS567">
        <v>60</v>
      </c>
      <c r="BT567">
        <v>32</v>
      </c>
      <c r="BU567">
        <v>21</v>
      </c>
    </row>
    <row r="568" spans="1:73" x14ac:dyDescent="0.25">
      <c r="A568" s="5">
        <v>43070</v>
      </c>
      <c r="B568">
        <v>1023</v>
      </c>
      <c r="C568">
        <v>759</v>
      </c>
      <c r="D568">
        <v>18</v>
      </c>
      <c r="E568">
        <v>9</v>
      </c>
      <c r="F568">
        <v>1763</v>
      </c>
      <c r="G568">
        <v>1016</v>
      </c>
      <c r="H568">
        <v>110</v>
      </c>
      <c r="I568">
        <v>60</v>
      </c>
      <c r="J568">
        <v>1297</v>
      </c>
      <c r="K568">
        <v>938</v>
      </c>
      <c r="L568">
        <v>29809</v>
      </c>
      <c r="M568">
        <v>6354</v>
      </c>
      <c r="N568">
        <v>137</v>
      </c>
      <c r="O568">
        <v>98</v>
      </c>
      <c r="P568">
        <v>0</v>
      </c>
      <c r="Q568">
        <v>0</v>
      </c>
      <c r="R568">
        <v>11</v>
      </c>
      <c r="S568">
        <v>7</v>
      </c>
      <c r="T568" s="34">
        <v>37040</v>
      </c>
      <c r="U568" s="34">
        <v>4506</v>
      </c>
      <c r="V568" s="34">
        <v>3072</v>
      </c>
      <c r="W568" t="s">
        <v>11</v>
      </c>
      <c r="X568">
        <v>2795</v>
      </c>
      <c r="Y568" t="s">
        <v>11</v>
      </c>
      <c r="Z568">
        <v>2330</v>
      </c>
      <c r="AA568">
        <v>549</v>
      </c>
      <c r="AB568">
        <v>20129</v>
      </c>
      <c r="AC568">
        <v>10564</v>
      </c>
      <c r="AD568">
        <v>1216</v>
      </c>
      <c r="AE568">
        <v>186</v>
      </c>
      <c r="AF568">
        <v>3960</v>
      </c>
      <c r="AG568">
        <v>2137</v>
      </c>
      <c r="AH568">
        <f t="shared" si="92"/>
        <v>1216</v>
      </c>
      <c r="AI568">
        <f t="shared" si="93"/>
        <v>186</v>
      </c>
      <c r="AJ568">
        <v>10606</v>
      </c>
      <c r="AK568">
        <v>2812</v>
      </c>
      <c r="AL568">
        <v>21025</v>
      </c>
      <c r="AM568">
        <v>12938</v>
      </c>
      <c r="AN568" s="22">
        <v>50</v>
      </c>
      <c r="AO568">
        <v>91</v>
      </c>
      <c r="AP568">
        <v>416</v>
      </c>
      <c r="AQ568">
        <v>239</v>
      </c>
      <c r="AR568">
        <v>5</v>
      </c>
      <c r="AS568">
        <v>3</v>
      </c>
      <c r="AT568">
        <f t="shared" si="98"/>
        <v>416</v>
      </c>
      <c r="AU568">
        <f t="shared" si="99"/>
        <v>239</v>
      </c>
      <c r="AV568" t="s">
        <v>11</v>
      </c>
      <c r="AW568" t="s">
        <v>11</v>
      </c>
      <c r="AX568">
        <v>4</v>
      </c>
      <c r="AY568">
        <v>2</v>
      </c>
      <c r="AZ568">
        <f t="shared" si="100"/>
        <v>416</v>
      </c>
      <c r="BA568">
        <f t="shared" si="101"/>
        <v>239</v>
      </c>
      <c r="BB568">
        <f t="shared" si="94"/>
        <v>50</v>
      </c>
      <c r="BC568">
        <f t="shared" si="95"/>
        <v>91</v>
      </c>
      <c r="BD568">
        <v>58</v>
      </c>
      <c r="BE568">
        <v>39</v>
      </c>
      <c r="BF568">
        <v>2</v>
      </c>
      <c r="BG568">
        <v>1</v>
      </c>
      <c r="BH568">
        <v>9</v>
      </c>
      <c r="BI568">
        <v>6</v>
      </c>
      <c r="BJ568">
        <v>51</v>
      </c>
      <c r="BK568">
        <v>33</v>
      </c>
      <c r="BL568">
        <v>28</v>
      </c>
      <c r="BM568">
        <v>18</v>
      </c>
      <c r="BN568" t="s">
        <v>11</v>
      </c>
      <c r="BO568" t="s">
        <v>11</v>
      </c>
      <c r="BP568">
        <f t="shared" si="96"/>
        <v>2</v>
      </c>
      <c r="BQ568">
        <f t="shared" si="97"/>
        <v>1</v>
      </c>
      <c r="BR568">
        <v>104</v>
      </c>
      <c r="BS568">
        <v>68</v>
      </c>
      <c r="BT568">
        <v>16</v>
      </c>
      <c r="BU568">
        <v>10</v>
      </c>
    </row>
    <row r="569" spans="1:73" x14ac:dyDescent="0.25">
      <c r="A569" s="5">
        <v>43101</v>
      </c>
      <c r="B569">
        <v>303</v>
      </c>
      <c r="C569">
        <v>357</v>
      </c>
      <c r="D569">
        <v>33</v>
      </c>
      <c r="E569">
        <v>21</v>
      </c>
      <c r="F569">
        <v>2224</v>
      </c>
      <c r="G569">
        <v>1245</v>
      </c>
      <c r="H569">
        <v>227</v>
      </c>
      <c r="I569">
        <v>123</v>
      </c>
      <c r="J569">
        <v>0</v>
      </c>
      <c r="K569">
        <v>18</v>
      </c>
      <c r="L569">
        <v>18660</v>
      </c>
      <c r="M569">
        <v>1261</v>
      </c>
      <c r="N569">
        <v>79</v>
      </c>
      <c r="O569">
        <v>61</v>
      </c>
      <c r="P569">
        <v>0</v>
      </c>
      <c r="Q569">
        <v>0</v>
      </c>
      <c r="R569">
        <v>26</v>
      </c>
      <c r="S569">
        <v>17</v>
      </c>
      <c r="T569" s="34">
        <v>30220</v>
      </c>
      <c r="U569" s="34">
        <v>4083</v>
      </c>
      <c r="V569" s="34">
        <v>2321</v>
      </c>
      <c r="W569" t="s">
        <v>11</v>
      </c>
      <c r="X569">
        <v>2517</v>
      </c>
      <c r="Y569" t="s">
        <v>11</v>
      </c>
      <c r="Z569">
        <v>1874</v>
      </c>
      <c r="AA569">
        <v>322</v>
      </c>
      <c r="AB569">
        <v>21638</v>
      </c>
      <c r="AC569">
        <v>12585</v>
      </c>
      <c r="AD569">
        <v>1498</v>
      </c>
      <c r="AE569">
        <v>181</v>
      </c>
      <c r="AF569">
        <v>3915</v>
      </c>
      <c r="AG569">
        <v>1931</v>
      </c>
      <c r="AH569">
        <f t="shared" si="92"/>
        <v>1498</v>
      </c>
      <c r="AI569">
        <f t="shared" si="93"/>
        <v>181</v>
      </c>
      <c r="AJ569">
        <v>12535</v>
      </c>
      <c r="AK569">
        <v>2619</v>
      </c>
      <c r="AL569">
        <v>21112</v>
      </c>
      <c r="AM569">
        <v>10212</v>
      </c>
      <c r="AN569" s="22">
        <v>38</v>
      </c>
      <c r="AO569">
        <v>65</v>
      </c>
      <c r="AP569">
        <v>474</v>
      </c>
      <c r="AQ569">
        <v>259</v>
      </c>
      <c r="AR569">
        <v>11</v>
      </c>
      <c r="AS569">
        <v>7</v>
      </c>
      <c r="AT569">
        <f t="shared" si="98"/>
        <v>474</v>
      </c>
      <c r="AU569">
        <f t="shared" si="99"/>
        <v>259</v>
      </c>
      <c r="AV569" t="s">
        <v>11</v>
      </c>
      <c r="AW569" t="s">
        <v>11</v>
      </c>
      <c r="AX569">
        <v>4</v>
      </c>
      <c r="AY569">
        <v>2</v>
      </c>
      <c r="AZ569">
        <f t="shared" si="100"/>
        <v>474</v>
      </c>
      <c r="BA569">
        <f t="shared" si="101"/>
        <v>259</v>
      </c>
      <c r="BB569">
        <f t="shared" si="94"/>
        <v>38</v>
      </c>
      <c r="BC569">
        <f t="shared" si="95"/>
        <v>65</v>
      </c>
      <c r="BD569">
        <v>56</v>
      </c>
      <c r="BE569">
        <v>36</v>
      </c>
      <c r="BF569">
        <v>3</v>
      </c>
      <c r="BG569">
        <v>2</v>
      </c>
      <c r="BH569">
        <v>5</v>
      </c>
      <c r="BI569">
        <v>3</v>
      </c>
      <c r="BJ569">
        <v>17</v>
      </c>
      <c r="BK569">
        <v>11</v>
      </c>
      <c r="BL569">
        <v>32</v>
      </c>
      <c r="BM569">
        <v>21</v>
      </c>
      <c r="BN569" t="s">
        <v>11</v>
      </c>
      <c r="BO569" t="s">
        <v>11</v>
      </c>
      <c r="BP569">
        <f t="shared" si="96"/>
        <v>3</v>
      </c>
      <c r="BQ569">
        <f t="shared" si="97"/>
        <v>2</v>
      </c>
      <c r="BR569">
        <v>68</v>
      </c>
      <c r="BS569">
        <v>44</v>
      </c>
      <c r="BT569">
        <v>16</v>
      </c>
      <c r="BU569">
        <v>11</v>
      </c>
    </row>
    <row r="570" spans="1:73" x14ac:dyDescent="0.25">
      <c r="A570" s="5">
        <v>43132</v>
      </c>
      <c r="B570">
        <v>1395</v>
      </c>
      <c r="C570">
        <v>955</v>
      </c>
      <c r="D570">
        <v>4</v>
      </c>
      <c r="E570">
        <v>7</v>
      </c>
      <c r="F570">
        <v>4233</v>
      </c>
      <c r="G570">
        <v>2351</v>
      </c>
      <c r="H570">
        <v>638</v>
      </c>
      <c r="I570">
        <v>344</v>
      </c>
      <c r="J570">
        <v>639</v>
      </c>
      <c r="K570">
        <v>475</v>
      </c>
      <c r="L570">
        <v>30480</v>
      </c>
      <c r="M570">
        <v>9038</v>
      </c>
      <c r="N570">
        <v>99</v>
      </c>
      <c r="O570">
        <v>72</v>
      </c>
      <c r="P570">
        <v>738</v>
      </c>
      <c r="Q570">
        <v>528</v>
      </c>
      <c r="R570">
        <v>29</v>
      </c>
      <c r="S570">
        <v>19</v>
      </c>
      <c r="T570" s="34">
        <v>41800</v>
      </c>
      <c r="U570" s="34">
        <v>13829</v>
      </c>
      <c r="V570" s="34">
        <v>2872</v>
      </c>
      <c r="W570" t="s">
        <v>11</v>
      </c>
      <c r="X570">
        <v>2375</v>
      </c>
      <c r="Y570" t="s">
        <v>11</v>
      </c>
      <c r="Z570">
        <v>2306</v>
      </c>
      <c r="AA570">
        <v>567</v>
      </c>
      <c r="AB570">
        <v>23728</v>
      </c>
      <c r="AC570">
        <v>15246</v>
      </c>
      <c r="AD570">
        <v>1363</v>
      </c>
      <c r="AE570">
        <v>391</v>
      </c>
      <c r="AF570">
        <v>4235</v>
      </c>
      <c r="AG570">
        <v>2224</v>
      </c>
      <c r="AH570">
        <f t="shared" si="92"/>
        <v>1363</v>
      </c>
      <c r="AI570">
        <f t="shared" si="93"/>
        <v>391</v>
      </c>
      <c r="AJ570">
        <v>12073</v>
      </c>
      <c r="AK570">
        <v>4244</v>
      </c>
      <c r="AL570">
        <v>24969</v>
      </c>
      <c r="AM570">
        <v>14537</v>
      </c>
      <c r="AN570" s="22">
        <v>66</v>
      </c>
      <c r="AO570">
        <v>94</v>
      </c>
      <c r="AP570">
        <v>595</v>
      </c>
      <c r="AQ570">
        <v>334</v>
      </c>
      <c r="AR570">
        <v>13</v>
      </c>
      <c r="AS570">
        <v>8</v>
      </c>
      <c r="AT570">
        <f t="shared" si="98"/>
        <v>595</v>
      </c>
      <c r="AU570">
        <f t="shared" si="99"/>
        <v>334</v>
      </c>
      <c r="AV570" t="s">
        <v>11</v>
      </c>
      <c r="AW570" t="s">
        <v>11</v>
      </c>
      <c r="AX570">
        <v>4</v>
      </c>
      <c r="AY570">
        <v>2</v>
      </c>
      <c r="AZ570">
        <f t="shared" si="100"/>
        <v>595</v>
      </c>
      <c r="BA570">
        <f t="shared" si="101"/>
        <v>334</v>
      </c>
      <c r="BB570">
        <f t="shared" si="94"/>
        <v>66</v>
      </c>
      <c r="BC570">
        <f t="shared" si="95"/>
        <v>94</v>
      </c>
      <c r="BD570">
        <v>32</v>
      </c>
      <c r="BE570">
        <v>21</v>
      </c>
      <c r="BF570">
        <v>3</v>
      </c>
      <c r="BG570">
        <v>2</v>
      </c>
      <c r="BH570">
        <v>6</v>
      </c>
      <c r="BI570">
        <v>4</v>
      </c>
      <c r="BJ570">
        <v>9</v>
      </c>
      <c r="BK570">
        <v>6</v>
      </c>
      <c r="BL570">
        <v>31</v>
      </c>
      <c r="BM570">
        <v>20</v>
      </c>
      <c r="BN570" t="s">
        <v>11</v>
      </c>
      <c r="BO570" t="s">
        <v>11</v>
      </c>
      <c r="BP570">
        <f t="shared" si="96"/>
        <v>3</v>
      </c>
      <c r="BQ570">
        <f t="shared" si="97"/>
        <v>2</v>
      </c>
      <c r="BR570">
        <v>57</v>
      </c>
      <c r="BS570">
        <v>37</v>
      </c>
      <c r="BT570">
        <v>24</v>
      </c>
      <c r="BU570">
        <v>16</v>
      </c>
    </row>
    <row r="571" spans="1:73" x14ac:dyDescent="0.25">
      <c r="A571" s="5">
        <v>43160</v>
      </c>
      <c r="B571">
        <v>2284</v>
      </c>
      <c r="C571">
        <v>1455</v>
      </c>
      <c r="D571">
        <v>9</v>
      </c>
      <c r="E571">
        <v>11</v>
      </c>
      <c r="F571">
        <v>4938</v>
      </c>
      <c r="G571">
        <v>2729</v>
      </c>
      <c r="H571">
        <v>1412</v>
      </c>
      <c r="I571">
        <v>761</v>
      </c>
      <c r="J571">
        <v>61</v>
      </c>
      <c r="K571">
        <v>92</v>
      </c>
      <c r="L571">
        <v>52640</v>
      </c>
      <c r="M571">
        <v>28831</v>
      </c>
      <c r="N571">
        <v>135</v>
      </c>
      <c r="O571">
        <v>97</v>
      </c>
      <c r="P571">
        <v>133</v>
      </c>
      <c r="Q571">
        <v>95</v>
      </c>
      <c r="R571">
        <v>31</v>
      </c>
      <c r="S571">
        <v>20</v>
      </c>
      <c r="T571" s="34">
        <v>61450</v>
      </c>
      <c r="U571" s="34">
        <v>29554</v>
      </c>
      <c r="V571" s="34">
        <v>5465</v>
      </c>
      <c r="W571" t="s">
        <v>11</v>
      </c>
      <c r="X571">
        <v>4627</v>
      </c>
      <c r="Y571" t="s">
        <v>11</v>
      </c>
      <c r="Z571">
        <v>3825</v>
      </c>
      <c r="AA571">
        <v>1231</v>
      </c>
      <c r="AB571">
        <v>36936</v>
      </c>
      <c r="AC571">
        <v>27541</v>
      </c>
      <c r="AD571">
        <v>1576</v>
      </c>
      <c r="AE571">
        <v>640</v>
      </c>
      <c r="AF571">
        <v>6803</v>
      </c>
      <c r="AG571">
        <v>3919</v>
      </c>
      <c r="AH571">
        <f t="shared" si="92"/>
        <v>1576</v>
      </c>
      <c r="AI571">
        <f t="shared" si="93"/>
        <v>640</v>
      </c>
      <c r="AJ571">
        <v>14622</v>
      </c>
      <c r="AK571">
        <v>6697</v>
      </c>
      <c r="AL571">
        <v>36738</v>
      </c>
      <c r="AM571">
        <v>27034</v>
      </c>
      <c r="AN571" s="22">
        <v>77</v>
      </c>
      <c r="AO571">
        <v>121</v>
      </c>
      <c r="AP571">
        <v>942</v>
      </c>
      <c r="AQ571">
        <v>553</v>
      </c>
      <c r="AR571">
        <v>18</v>
      </c>
      <c r="AS571">
        <v>12</v>
      </c>
      <c r="AT571">
        <f t="shared" si="98"/>
        <v>942</v>
      </c>
      <c r="AU571">
        <f t="shared" si="99"/>
        <v>553</v>
      </c>
      <c r="AV571" t="s">
        <v>11</v>
      </c>
      <c r="AW571" t="s">
        <v>11</v>
      </c>
      <c r="AX571">
        <v>4</v>
      </c>
      <c r="AY571">
        <v>2</v>
      </c>
      <c r="AZ571">
        <f t="shared" si="100"/>
        <v>942</v>
      </c>
      <c r="BA571">
        <f t="shared" si="101"/>
        <v>553</v>
      </c>
      <c r="BB571">
        <f t="shared" si="94"/>
        <v>77</v>
      </c>
      <c r="BC571">
        <f t="shared" si="95"/>
        <v>121</v>
      </c>
      <c r="BD571">
        <v>197</v>
      </c>
      <c r="BE571">
        <v>126</v>
      </c>
      <c r="BF571">
        <v>5</v>
      </c>
      <c r="BG571">
        <v>3</v>
      </c>
      <c r="BH571">
        <v>8</v>
      </c>
      <c r="BI571">
        <v>5</v>
      </c>
      <c r="BJ571">
        <v>21</v>
      </c>
      <c r="BK571">
        <v>13</v>
      </c>
      <c r="BL571">
        <v>99</v>
      </c>
      <c r="BM571">
        <v>64</v>
      </c>
      <c r="BN571" t="s">
        <v>11</v>
      </c>
      <c r="BO571" t="s">
        <v>11</v>
      </c>
      <c r="BP571">
        <f t="shared" si="96"/>
        <v>5</v>
      </c>
      <c r="BQ571">
        <f t="shared" si="97"/>
        <v>3</v>
      </c>
      <c r="BR571">
        <v>64</v>
      </c>
      <c r="BS571">
        <v>41</v>
      </c>
      <c r="BT571">
        <v>48</v>
      </c>
      <c r="BU571">
        <v>31</v>
      </c>
    </row>
    <row r="572" spans="1:73" x14ac:dyDescent="0.25">
      <c r="A572" s="5">
        <v>43191</v>
      </c>
      <c r="B572">
        <v>347</v>
      </c>
      <c r="C572">
        <v>2124</v>
      </c>
      <c r="D572">
        <v>4</v>
      </c>
      <c r="E572">
        <v>9</v>
      </c>
      <c r="F572">
        <v>6773</v>
      </c>
      <c r="G572">
        <v>3733</v>
      </c>
      <c r="H572">
        <v>1661</v>
      </c>
      <c r="I572">
        <v>895</v>
      </c>
      <c r="J572">
        <v>765</v>
      </c>
      <c r="K572">
        <v>565</v>
      </c>
      <c r="L572">
        <v>58909</v>
      </c>
      <c r="M572">
        <v>31362</v>
      </c>
      <c r="N572">
        <v>146</v>
      </c>
      <c r="O572">
        <v>105</v>
      </c>
      <c r="P572">
        <v>240</v>
      </c>
      <c r="Q572">
        <v>172</v>
      </c>
      <c r="R572">
        <v>18</v>
      </c>
      <c r="S572">
        <v>12</v>
      </c>
      <c r="T572" s="34">
        <v>65740</v>
      </c>
      <c r="U572" s="34">
        <v>35280</v>
      </c>
      <c r="V572" s="34">
        <v>7600</v>
      </c>
      <c r="W572" t="s">
        <v>11</v>
      </c>
      <c r="X572">
        <v>6211</v>
      </c>
      <c r="Y572" t="s">
        <v>11</v>
      </c>
      <c r="Z572">
        <v>4183</v>
      </c>
      <c r="AA572">
        <v>1315</v>
      </c>
      <c r="AB572">
        <v>46279</v>
      </c>
      <c r="AC572">
        <v>36494</v>
      </c>
      <c r="AD572">
        <v>2225</v>
      </c>
      <c r="AE572">
        <v>1509</v>
      </c>
      <c r="AF572">
        <v>8312</v>
      </c>
      <c r="AG572">
        <v>4761</v>
      </c>
      <c r="AH572">
        <f t="shared" si="92"/>
        <v>2225</v>
      </c>
      <c r="AI572">
        <f t="shared" si="93"/>
        <v>1509</v>
      </c>
      <c r="AJ572">
        <v>19943</v>
      </c>
      <c r="AK572">
        <v>12176</v>
      </c>
      <c r="AL572">
        <v>46677</v>
      </c>
      <c r="AM572">
        <v>34706</v>
      </c>
      <c r="AN572" s="22">
        <v>49</v>
      </c>
      <c r="AO572">
        <v>110</v>
      </c>
      <c r="AP572">
        <v>1115</v>
      </c>
      <c r="AQ572">
        <v>638</v>
      </c>
      <c r="AR572">
        <v>19</v>
      </c>
      <c r="AS572">
        <v>12</v>
      </c>
      <c r="AT572">
        <f t="shared" si="98"/>
        <v>1115</v>
      </c>
      <c r="AU572">
        <f t="shared" si="99"/>
        <v>638</v>
      </c>
      <c r="AV572" t="s">
        <v>11</v>
      </c>
      <c r="AW572" t="s">
        <v>11</v>
      </c>
      <c r="AX572">
        <v>4</v>
      </c>
      <c r="AY572">
        <v>2</v>
      </c>
      <c r="AZ572">
        <f t="shared" si="100"/>
        <v>1115</v>
      </c>
      <c r="BA572">
        <f t="shared" si="101"/>
        <v>638</v>
      </c>
      <c r="BB572">
        <f t="shared" si="94"/>
        <v>49</v>
      </c>
      <c r="BC572">
        <f t="shared" si="95"/>
        <v>110</v>
      </c>
      <c r="BD572">
        <v>241</v>
      </c>
      <c r="BE572">
        <v>154</v>
      </c>
      <c r="BF572">
        <v>5</v>
      </c>
      <c r="BG572">
        <v>3</v>
      </c>
      <c r="BH572">
        <v>9</v>
      </c>
      <c r="BI572">
        <v>6</v>
      </c>
      <c r="BJ572">
        <v>28</v>
      </c>
      <c r="BK572">
        <v>18</v>
      </c>
      <c r="BL572">
        <v>103</v>
      </c>
      <c r="BM572">
        <v>67</v>
      </c>
      <c r="BN572" t="s">
        <v>11</v>
      </c>
      <c r="BO572" t="s">
        <v>11</v>
      </c>
      <c r="BP572">
        <f t="shared" si="96"/>
        <v>5</v>
      </c>
      <c r="BQ572">
        <f t="shared" si="97"/>
        <v>3</v>
      </c>
      <c r="BR572">
        <v>110</v>
      </c>
      <c r="BS572">
        <v>71</v>
      </c>
      <c r="BT572">
        <v>71</v>
      </c>
      <c r="BU572">
        <v>46</v>
      </c>
    </row>
    <row r="573" spans="1:73" x14ac:dyDescent="0.25">
      <c r="A573" s="5">
        <v>43221</v>
      </c>
      <c r="B573">
        <v>3500</v>
      </c>
      <c r="C573">
        <v>2185</v>
      </c>
      <c r="D573">
        <v>14</v>
      </c>
      <c r="E573">
        <v>17</v>
      </c>
      <c r="F573">
        <v>7382</v>
      </c>
      <c r="G573">
        <v>4065</v>
      </c>
      <c r="H573">
        <v>2178</v>
      </c>
      <c r="I573">
        <v>1175</v>
      </c>
      <c r="J573">
        <v>844</v>
      </c>
      <c r="K573">
        <v>621</v>
      </c>
      <c r="L573">
        <v>74200</v>
      </c>
      <c r="M573">
        <v>43392</v>
      </c>
      <c r="N573">
        <v>179</v>
      </c>
      <c r="O573">
        <v>128</v>
      </c>
      <c r="P573">
        <v>628</v>
      </c>
      <c r="Q573">
        <v>449</v>
      </c>
      <c r="R573">
        <v>21</v>
      </c>
      <c r="S573">
        <v>13</v>
      </c>
      <c r="T573" s="34">
        <v>85820</v>
      </c>
      <c r="U573" s="34">
        <v>50333</v>
      </c>
      <c r="V573" s="34">
        <v>5586</v>
      </c>
      <c r="W573" t="s">
        <v>11</v>
      </c>
      <c r="X573">
        <v>4996</v>
      </c>
      <c r="Y573" t="s">
        <v>11</v>
      </c>
      <c r="Z573">
        <v>5595</v>
      </c>
      <c r="AA573">
        <v>2014</v>
      </c>
      <c r="AB573">
        <v>36313</v>
      </c>
      <c r="AC573">
        <v>27064</v>
      </c>
      <c r="AD573">
        <v>2707</v>
      </c>
      <c r="AE573">
        <v>1978</v>
      </c>
      <c r="AF573">
        <v>8393</v>
      </c>
      <c r="AG573">
        <v>4979</v>
      </c>
      <c r="AH573">
        <f t="shared" si="92"/>
        <v>2707</v>
      </c>
      <c r="AI573">
        <f t="shared" si="93"/>
        <v>1978</v>
      </c>
      <c r="AJ573">
        <v>24323</v>
      </c>
      <c r="AK573">
        <v>15781</v>
      </c>
      <c r="AL573">
        <v>46185</v>
      </c>
      <c r="AM573">
        <v>34990</v>
      </c>
      <c r="AN573" s="22">
        <v>22</v>
      </c>
      <c r="AO573">
        <v>110</v>
      </c>
      <c r="AP573">
        <v>969</v>
      </c>
      <c r="AQ573">
        <v>564</v>
      </c>
      <c r="AR573">
        <v>24</v>
      </c>
      <c r="AS573">
        <v>16</v>
      </c>
      <c r="AT573">
        <f t="shared" si="98"/>
        <v>969</v>
      </c>
      <c r="AU573">
        <f t="shared" si="99"/>
        <v>564</v>
      </c>
      <c r="AV573" t="s">
        <v>11</v>
      </c>
      <c r="AW573" t="s">
        <v>11</v>
      </c>
      <c r="AX573">
        <v>4</v>
      </c>
      <c r="AY573">
        <v>2</v>
      </c>
      <c r="AZ573">
        <f t="shared" si="100"/>
        <v>969</v>
      </c>
      <c r="BA573">
        <f t="shared" si="101"/>
        <v>564</v>
      </c>
      <c r="BB573">
        <f t="shared" si="94"/>
        <v>22</v>
      </c>
      <c r="BC573">
        <f t="shared" si="95"/>
        <v>110</v>
      </c>
      <c r="BD573">
        <v>146</v>
      </c>
      <c r="BE573">
        <v>93</v>
      </c>
      <c r="BF573">
        <v>6</v>
      </c>
      <c r="BG573">
        <v>4</v>
      </c>
      <c r="BH573">
        <v>11</v>
      </c>
      <c r="BI573">
        <v>7</v>
      </c>
      <c r="BJ573">
        <v>60</v>
      </c>
      <c r="BK573">
        <v>39</v>
      </c>
      <c r="BL573">
        <v>172</v>
      </c>
      <c r="BM573">
        <v>112</v>
      </c>
      <c r="BN573" t="s">
        <v>11</v>
      </c>
      <c r="BO573" t="s">
        <v>11</v>
      </c>
      <c r="BP573">
        <f t="shared" si="96"/>
        <v>6</v>
      </c>
      <c r="BQ573">
        <f t="shared" si="97"/>
        <v>4</v>
      </c>
      <c r="BR573">
        <v>40</v>
      </c>
      <c r="BS573">
        <v>26</v>
      </c>
      <c r="BT573">
        <v>0</v>
      </c>
      <c r="BU573">
        <v>0</v>
      </c>
    </row>
    <row r="574" spans="1:73" x14ac:dyDescent="0.25">
      <c r="A574" s="5">
        <v>43252</v>
      </c>
      <c r="B574">
        <v>3849</v>
      </c>
      <c r="C574">
        <v>2389</v>
      </c>
      <c r="D574">
        <v>16</v>
      </c>
      <c r="E574">
        <v>18</v>
      </c>
      <c r="F574">
        <v>7613</v>
      </c>
      <c r="G574">
        <v>4211</v>
      </c>
      <c r="H574">
        <v>1694</v>
      </c>
      <c r="I574">
        <v>914</v>
      </c>
      <c r="J574">
        <v>1034</v>
      </c>
      <c r="K574">
        <v>757</v>
      </c>
      <c r="L574">
        <v>73350</v>
      </c>
      <c r="M574">
        <v>47556</v>
      </c>
      <c r="N574">
        <v>215</v>
      </c>
      <c r="O574">
        <v>157</v>
      </c>
      <c r="P574">
        <v>855</v>
      </c>
      <c r="Q574">
        <v>611</v>
      </c>
      <c r="R574">
        <v>37</v>
      </c>
      <c r="S574">
        <v>24</v>
      </c>
      <c r="T574" s="34">
        <v>87350</v>
      </c>
      <c r="U574" s="34">
        <v>48822</v>
      </c>
      <c r="V574" s="34">
        <v>2878</v>
      </c>
      <c r="W574" t="s">
        <v>11</v>
      </c>
      <c r="X574">
        <v>3837</v>
      </c>
      <c r="Y574" t="s">
        <v>11</v>
      </c>
      <c r="Z574">
        <v>4940</v>
      </c>
      <c r="AA574">
        <v>1730</v>
      </c>
      <c r="AB574">
        <v>24231</v>
      </c>
      <c r="AC574">
        <v>16508</v>
      </c>
      <c r="AD574">
        <v>2554</v>
      </c>
      <c r="AE574">
        <v>1903</v>
      </c>
      <c r="AF574">
        <v>5435</v>
      </c>
      <c r="AG574">
        <v>3140</v>
      </c>
      <c r="AH574">
        <f t="shared" si="92"/>
        <v>2554</v>
      </c>
      <c r="AI574">
        <f t="shared" si="93"/>
        <v>1903</v>
      </c>
      <c r="AJ574">
        <v>26504</v>
      </c>
      <c r="AK574">
        <v>18217</v>
      </c>
      <c r="AL574">
        <v>37217</v>
      </c>
      <c r="AM574">
        <v>27579</v>
      </c>
      <c r="AN574" s="22">
        <v>26</v>
      </c>
      <c r="AO574">
        <v>132</v>
      </c>
      <c r="AP574">
        <v>613</v>
      </c>
      <c r="AQ574">
        <v>368</v>
      </c>
      <c r="AR574">
        <v>29</v>
      </c>
      <c r="AS574">
        <v>19</v>
      </c>
      <c r="AT574">
        <f t="shared" si="98"/>
        <v>613</v>
      </c>
      <c r="AU574">
        <f t="shared" si="99"/>
        <v>368</v>
      </c>
      <c r="AV574" t="s">
        <v>11</v>
      </c>
      <c r="AW574" t="s">
        <v>11</v>
      </c>
      <c r="AX574">
        <v>4</v>
      </c>
      <c r="AY574">
        <v>2</v>
      </c>
      <c r="AZ574">
        <f t="shared" si="100"/>
        <v>613</v>
      </c>
      <c r="BA574">
        <f t="shared" si="101"/>
        <v>368</v>
      </c>
      <c r="BB574">
        <f t="shared" si="94"/>
        <v>26</v>
      </c>
      <c r="BC574">
        <f t="shared" si="95"/>
        <v>132</v>
      </c>
      <c r="BD574">
        <v>276</v>
      </c>
      <c r="BE574">
        <v>177</v>
      </c>
      <c r="BF574">
        <v>7</v>
      </c>
      <c r="BG574">
        <v>5</v>
      </c>
      <c r="BH574">
        <v>13</v>
      </c>
      <c r="BI574">
        <v>9</v>
      </c>
      <c r="BJ574">
        <v>50</v>
      </c>
      <c r="BK574">
        <v>33</v>
      </c>
      <c r="BL574">
        <v>129</v>
      </c>
      <c r="BM574">
        <v>84</v>
      </c>
      <c r="BN574" t="s">
        <v>11</v>
      </c>
      <c r="BO574" t="s">
        <v>11</v>
      </c>
      <c r="BP574">
        <f t="shared" si="96"/>
        <v>7</v>
      </c>
      <c r="BQ574">
        <f t="shared" si="97"/>
        <v>5</v>
      </c>
      <c r="BR574">
        <v>44</v>
      </c>
      <c r="BS574">
        <v>29</v>
      </c>
      <c r="BT574">
        <v>0</v>
      </c>
      <c r="BU574">
        <v>0</v>
      </c>
    </row>
    <row r="575" spans="1:73" x14ac:dyDescent="0.25">
      <c r="A575" s="5">
        <v>43282</v>
      </c>
      <c r="B575">
        <v>3941</v>
      </c>
      <c r="C575">
        <v>2459</v>
      </c>
      <c r="D575">
        <v>18</v>
      </c>
      <c r="E575">
        <v>20</v>
      </c>
      <c r="F575">
        <v>7332</v>
      </c>
      <c r="G575">
        <v>4072</v>
      </c>
      <c r="H575">
        <v>1301</v>
      </c>
      <c r="I575">
        <v>703</v>
      </c>
      <c r="J575">
        <v>1127</v>
      </c>
      <c r="K575">
        <v>824</v>
      </c>
      <c r="L575">
        <v>75290</v>
      </c>
      <c r="M575">
        <v>44376</v>
      </c>
      <c r="N575">
        <v>236</v>
      </c>
      <c r="O575">
        <v>168</v>
      </c>
      <c r="P575">
        <v>722</v>
      </c>
      <c r="Q575">
        <v>516</v>
      </c>
      <c r="R575">
        <v>32</v>
      </c>
      <c r="S575">
        <v>21</v>
      </c>
      <c r="T575" s="34">
        <v>91500</v>
      </c>
      <c r="U575" s="34">
        <v>52520</v>
      </c>
      <c r="V575" s="34">
        <v>1582</v>
      </c>
      <c r="W575" t="s">
        <v>11</v>
      </c>
      <c r="X575">
        <v>2609</v>
      </c>
      <c r="Y575" t="s">
        <v>11</v>
      </c>
      <c r="Z575">
        <v>4495</v>
      </c>
      <c r="AA575">
        <v>1383</v>
      </c>
      <c r="AB575">
        <v>28392</v>
      </c>
      <c r="AC575">
        <v>20759</v>
      </c>
      <c r="AD575">
        <v>2874</v>
      </c>
      <c r="AE575">
        <v>2106</v>
      </c>
      <c r="AF575">
        <v>4248</v>
      </c>
      <c r="AG575">
        <v>2388</v>
      </c>
      <c r="AH575">
        <f t="shared" si="92"/>
        <v>2874</v>
      </c>
      <c r="AI575">
        <f t="shared" si="93"/>
        <v>2106</v>
      </c>
      <c r="AJ575">
        <v>29728</v>
      </c>
      <c r="AK575">
        <v>19945</v>
      </c>
      <c r="AL575">
        <v>28501</v>
      </c>
      <c r="AM575">
        <v>19574</v>
      </c>
      <c r="AN575" s="22">
        <v>56</v>
      </c>
      <c r="AO575">
        <v>162</v>
      </c>
      <c r="AP575">
        <v>468</v>
      </c>
      <c r="AQ575">
        <v>275</v>
      </c>
      <c r="AR575">
        <v>31</v>
      </c>
      <c r="AS575">
        <v>20</v>
      </c>
      <c r="AT575">
        <f t="shared" si="98"/>
        <v>468</v>
      </c>
      <c r="AU575">
        <f t="shared" si="99"/>
        <v>275</v>
      </c>
      <c r="AV575" t="s">
        <v>11</v>
      </c>
      <c r="AW575" t="s">
        <v>11</v>
      </c>
      <c r="AX575">
        <v>4</v>
      </c>
      <c r="AY575">
        <v>2</v>
      </c>
      <c r="AZ575">
        <f t="shared" si="100"/>
        <v>468</v>
      </c>
      <c r="BA575">
        <f t="shared" si="101"/>
        <v>275</v>
      </c>
      <c r="BB575">
        <f t="shared" si="94"/>
        <v>56</v>
      </c>
      <c r="BC575">
        <f t="shared" si="95"/>
        <v>162</v>
      </c>
      <c r="BD575">
        <v>159</v>
      </c>
      <c r="BE575">
        <v>102</v>
      </c>
      <c r="BF575">
        <v>8</v>
      </c>
      <c r="BG575">
        <v>5</v>
      </c>
      <c r="BH575">
        <v>14</v>
      </c>
      <c r="BI575">
        <v>9</v>
      </c>
      <c r="BJ575">
        <v>61</v>
      </c>
      <c r="BK575">
        <v>40</v>
      </c>
      <c r="BL575">
        <v>63</v>
      </c>
      <c r="BM575">
        <v>41</v>
      </c>
      <c r="BN575" t="s">
        <v>11</v>
      </c>
      <c r="BO575" t="s">
        <v>11</v>
      </c>
      <c r="BP575">
        <f t="shared" si="96"/>
        <v>8</v>
      </c>
      <c r="BQ575">
        <f t="shared" si="97"/>
        <v>5</v>
      </c>
      <c r="BR575">
        <v>43</v>
      </c>
      <c r="BS575">
        <v>28</v>
      </c>
      <c r="BT575">
        <v>22</v>
      </c>
      <c r="BU575">
        <v>14</v>
      </c>
    </row>
    <row r="576" spans="1:73" x14ac:dyDescent="0.25">
      <c r="A576" s="5">
        <v>43313</v>
      </c>
      <c r="B576">
        <v>5011</v>
      </c>
      <c r="C576">
        <v>3051</v>
      </c>
      <c r="D576">
        <v>56</v>
      </c>
      <c r="E576">
        <v>40</v>
      </c>
      <c r="F576">
        <v>8582</v>
      </c>
      <c r="G576">
        <v>4808</v>
      </c>
      <c r="H576">
        <v>2080</v>
      </c>
      <c r="I576">
        <v>1122</v>
      </c>
      <c r="J576">
        <v>1311</v>
      </c>
      <c r="K576">
        <v>955</v>
      </c>
      <c r="L576">
        <v>67490</v>
      </c>
      <c r="M576">
        <v>31035</v>
      </c>
      <c r="N576">
        <v>227</v>
      </c>
      <c r="O576">
        <v>161</v>
      </c>
      <c r="P576">
        <v>767</v>
      </c>
      <c r="Q576">
        <v>549</v>
      </c>
      <c r="R576">
        <v>34</v>
      </c>
      <c r="S576">
        <v>22</v>
      </c>
      <c r="T576" s="34">
        <v>106700</v>
      </c>
      <c r="U576" s="34">
        <v>63874</v>
      </c>
      <c r="V576" s="34">
        <v>3522</v>
      </c>
      <c r="W576" t="s">
        <v>11</v>
      </c>
      <c r="X576">
        <v>2920</v>
      </c>
      <c r="Y576" t="s">
        <v>11</v>
      </c>
      <c r="Z576">
        <v>2928</v>
      </c>
      <c r="AA576">
        <v>782</v>
      </c>
      <c r="AB576">
        <v>23712</v>
      </c>
      <c r="AC576">
        <v>16922</v>
      </c>
      <c r="AD576">
        <v>2495</v>
      </c>
      <c r="AE576">
        <v>1635</v>
      </c>
      <c r="AF576">
        <v>5286</v>
      </c>
      <c r="AG576">
        <v>2949</v>
      </c>
      <c r="AH576">
        <f t="shared" si="92"/>
        <v>2495</v>
      </c>
      <c r="AI576">
        <f t="shared" si="93"/>
        <v>1635</v>
      </c>
      <c r="AJ576">
        <v>29435</v>
      </c>
      <c r="AK576">
        <v>19055</v>
      </c>
      <c r="AL576">
        <v>31850</v>
      </c>
      <c r="AM576">
        <v>20866</v>
      </c>
      <c r="AN576" s="22">
        <v>47</v>
      </c>
      <c r="AO576">
        <v>152</v>
      </c>
      <c r="AP576">
        <v>533</v>
      </c>
      <c r="AQ576">
        <v>312</v>
      </c>
      <c r="AR576">
        <v>30</v>
      </c>
      <c r="AS576">
        <v>20</v>
      </c>
      <c r="AT576">
        <f t="shared" si="98"/>
        <v>533</v>
      </c>
      <c r="AU576">
        <f t="shared" si="99"/>
        <v>312</v>
      </c>
      <c r="AV576" t="s">
        <v>11</v>
      </c>
      <c r="AW576" t="s">
        <v>11</v>
      </c>
      <c r="AX576">
        <v>4</v>
      </c>
      <c r="AY576">
        <v>2</v>
      </c>
      <c r="AZ576">
        <f t="shared" si="100"/>
        <v>533</v>
      </c>
      <c r="BA576">
        <f t="shared" si="101"/>
        <v>312</v>
      </c>
      <c r="BB576">
        <f t="shared" si="94"/>
        <v>47</v>
      </c>
      <c r="BC576">
        <f t="shared" si="95"/>
        <v>152</v>
      </c>
      <c r="BD576">
        <v>202</v>
      </c>
      <c r="BE576">
        <v>128</v>
      </c>
      <c r="BF576">
        <v>8</v>
      </c>
      <c r="BG576">
        <v>5</v>
      </c>
      <c r="BH576">
        <v>13</v>
      </c>
      <c r="BI576">
        <v>8</v>
      </c>
      <c r="BJ576">
        <v>0</v>
      </c>
      <c r="BK576">
        <v>0</v>
      </c>
      <c r="BL576">
        <v>20</v>
      </c>
      <c r="BM576">
        <v>13</v>
      </c>
      <c r="BN576" t="s">
        <v>11</v>
      </c>
      <c r="BO576" t="s">
        <v>11</v>
      </c>
      <c r="BP576">
        <f t="shared" si="96"/>
        <v>8</v>
      </c>
      <c r="BQ576">
        <f t="shared" si="97"/>
        <v>5</v>
      </c>
      <c r="BR576">
        <v>47</v>
      </c>
      <c r="BS576">
        <v>31</v>
      </c>
      <c r="BT576">
        <v>0</v>
      </c>
      <c r="BU576">
        <v>0</v>
      </c>
    </row>
    <row r="577" spans="1:73" x14ac:dyDescent="0.25">
      <c r="A577" s="5">
        <v>43344</v>
      </c>
      <c r="B577">
        <v>3134</v>
      </c>
      <c r="C577">
        <v>2028</v>
      </c>
      <c r="D577">
        <v>14</v>
      </c>
      <c r="E577">
        <v>18</v>
      </c>
      <c r="F577">
        <v>8302</v>
      </c>
      <c r="G577">
        <v>4671</v>
      </c>
      <c r="H577">
        <v>1467</v>
      </c>
      <c r="I577">
        <v>793</v>
      </c>
      <c r="J577">
        <v>1350</v>
      </c>
      <c r="K577">
        <v>983</v>
      </c>
      <c r="L577">
        <v>59160</v>
      </c>
      <c r="M577">
        <v>28904</v>
      </c>
      <c r="N577">
        <v>178</v>
      </c>
      <c r="O577">
        <v>129</v>
      </c>
      <c r="P577">
        <v>715</v>
      </c>
      <c r="Q577">
        <v>511</v>
      </c>
      <c r="R577">
        <v>23</v>
      </c>
      <c r="S577">
        <v>15</v>
      </c>
      <c r="T577" s="34">
        <v>82930</v>
      </c>
      <c r="U577" s="34">
        <v>41937</v>
      </c>
      <c r="V577" s="34">
        <v>2222</v>
      </c>
      <c r="W577" t="s">
        <v>11</v>
      </c>
      <c r="X577">
        <v>3834</v>
      </c>
      <c r="Y577" t="s">
        <v>11</v>
      </c>
      <c r="Z577">
        <v>3559</v>
      </c>
      <c r="AA577">
        <v>1014</v>
      </c>
      <c r="AB577">
        <v>25388</v>
      </c>
      <c r="AC577">
        <v>18234</v>
      </c>
      <c r="AD577">
        <v>2485</v>
      </c>
      <c r="AE577">
        <v>1531</v>
      </c>
      <c r="AF577">
        <v>5892</v>
      </c>
      <c r="AG577">
        <v>3099</v>
      </c>
      <c r="AH577">
        <f t="shared" si="92"/>
        <v>2485</v>
      </c>
      <c r="AI577">
        <f t="shared" si="93"/>
        <v>1531</v>
      </c>
      <c r="AJ577">
        <v>23291</v>
      </c>
      <c r="AK577">
        <v>13378</v>
      </c>
      <c r="AL577">
        <v>38445</v>
      </c>
      <c r="AM577">
        <v>25853</v>
      </c>
      <c r="AN577" s="22">
        <v>27</v>
      </c>
      <c r="AO577">
        <v>113</v>
      </c>
      <c r="AP577">
        <v>459</v>
      </c>
      <c r="AQ577">
        <v>259</v>
      </c>
      <c r="AR577">
        <v>24</v>
      </c>
      <c r="AS577">
        <v>16</v>
      </c>
      <c r="AT577">
        <f t="shared" si="98"/>
        <v>459</v>
      </c>
      <c r="AU577">
        <f t="shared" si="99"/>
        <v>259</v>
      </c>
      <c r="AV577" t="s">
        <v>11</v>
      </c>
      <c r="AW577" t="s">
        <v>11</v>
      </c>
      <c r="AX577">
        <v>4</v>
      </c>
      <c r="AY577">
        <v>2</v>
      </c>
      <c r="AZ577">
        <f t="shared" si="100"/>
        <v>459</v>
      </c>
      <c r="BA577">
        <f t="shared" si="101"/>
        <v>259</v>
      </c>
      <c r="BB577">
        <f t="shared" si="94"/>
        <v>27</v>
      </c>
      <c r="BC577">
        <f t="shared" si="95"/>
        <v>113</v>
      </c>
      <c r="BD577">
        <v>245</v>
      </c>
      <c r="BE577">
        <v>157</v>
      </c>
      <c r="BF577">
        <v>6</v>
      </c>
      <c r="BG577">
        <v>4</v>
      </c>
      <c r="BH577">
        <v>11</v>
      </c>
      <c r="BI577">
        <v>7</v>
      </c>
      <c r="BJ577">
        <v>25</v>
      </c>
      <c r="BK577">
        <v>16</v>
      </c>
      <c r="BL577">
        <v>101</v>
      </c>
      <c r="BM577">
        <v>66</v>
      </c>
      <c r="BN577" t="s">
        <v>11</v>
      </c>
      <c r="BO577" t="s">
        <v>11</v>
      </c>
      <c r="BP577">
        <f t="shared" si="96"/>
        <v>6</v>
      </c>
      <c r="BQ577">
        <f t="shared" si="97"/>
        <v>4</v>
      </c>
      <c r="BR577">
        <v>21</v>
      </c>
      <c r="BS577">
        <v>14</v>
      </c>
      <c r="BT577">
        <v>0</v>
      </c>
      <c r="BU577">
        <v>0</v>
      </c>
    </row>
    <row r="578" spans="1:73" x14ac:dyDescent="0.25">
      <c r="A578" s="5">
        <v>43374</v>
      </c>
      <c r="B578">
        <v>2010</v>
      </c>
      <c r="C578">
        <v>1353</v>
      </c>
      <c r="D578">
        <v>11</v>
      </c>
      <c r="E578">
        <v>14</v>
      </c>
      <c r="F578">
        <v>35597</v>
      </c>
      <c r="G578">
        <v>2075</v>
      </c>
      <c r="H578">
        <v>705</v>
      </c>
      <c r="I578">
        <v>382</v>
      </c>
      <c r="J578">
        <v>79</v>
      </c>
      <c r="K578">
        <v>74</v>
      </c>
      <c r="L578">
        <v>31950</v>
      </c>
      <c r="M578">
        <v>5689</v>
      </c>
      <c r="N578">
        <v>149</v>
      </c>
      <c r="O578">
        <v>110</v>
      </c>
      <c r="P578">
        <v>0</v>
      </c>
      <c r="Q578">
        <v>0</v>
      </c>
      <c r="R578">
        <v>19</v>
      </c>
      <c r="S578">
        <v>12</v>
      </c>
      <c r="T578" s="34">
        <v>44910</v>
      </c>
      <c r="U578" s="34">
        <v>7099</v>
      </c>
      <c r="V578" s="34">
        <v>2879</v>
      </c>
      <c r="W578" t="s">
        <v>11</v>
      </c>
      <c r="X578">
        <v>3241</v>
      </c>
      <c r="Y578" t="s">
        <v>11</v>
      </c>
      <c r="Z578">
        <v>3509</v>
      </c>
      <c r="AA578">
        <v>883</v>
      </c>
      <c r="AB578">
        <v>32587</v>
      </c>
      <c r="AC578">
        <v>23455</v>
      </c>
      <c r="AD578">
        <v>1873</v>
      </c>
      <c r="AE578">
        <v>1428</v>
      </c>
      <c r="AF578">
        <v>5017</v>
      </c>
      <c r="AG578">
        <v>2662</v>
      </c>
      <c r="AH578">
        <f t="shared" si="92"/>
        <v>1873</v>
      </c>
      <c r="AI578">
        <f t="shared" si="93"/>
        <v>1428</v>
      </c>
      <c r="AJ578">
        <v>1584</v>
      </c>
      <c r="AK578">
        <v>9930</v>
      </c>
      <c r="AL578">
        <v>23386</v>
      </c>
      <c r="AM578">
        <v>12254</v>
      </c>
      <c r="AN578" s="22">
        <v>85</v>
      </c>
      <c r="AO578">
        <v>133</v>
      </c>
      <c r="AP578">
        <v>621</v>
      </c>
      <c r="AQ578">
        <v>358</v>
      </c>
      <c r="AR578">
        <v>20</v>
      </c>
      <c r="AS578">
        <v>13</v>
      </c>
      <c r="AT578">
        <f t="shared" si="98"/>
        <v>621</v>
      </c>
      <c r="AU578">
        <f t="shared" si="99"/>
        <v>358</v>
      </c>
      <c r="AV578" t="s">
        <v>11</v>
      </c>
      <c r="AW578" t="s">
        <v>11</v>
      </c>
      <c r="AX578">
        <v>4</v>
      </c>
      <c r="AY578">
        <v>2</v>
      </c>
      <c r="AZ578">
        <f t="shared" si="100"/>
        <v>621</v>
      </c>
      <c r="BA578">
        <f t="shared" si="101"/>
        <v>358</v>
      </c>
      <c r="BB578">
        <f t="shared" si="94"/>
        <v>85</v>
      </c>
      <c r="BC578">
        <f t="shared" si="95"/>
        <v>133</v>
      </c>
      <c r="BD578">
        <v>70</v>
      </c>
      <c r="BE578">
        <v>46</v>
      </c>
      <c r="BF578">
        <v>5</v>
      </c>
      <c r="BG578">
        <v>3</v>
      </c>
      <c r="BH578">
        <v>9</v>
      </c>
      <c r="BI578">
        <v>6</v>
      </c>
      <c r="BJ578">
        <v>8</v>
      </c>
      <c r="BK578">
        <v>5</v>
      </c>
      <c r="BL578">
        <v>72</v>
      </c>
      <c r="BM578">
        <v>47</v>
      </c>
      <c r="BN578" t="s">
        <v>11</v>
      </c>
      <c r="BO578" t="s">
        <v>11</v>
      </c>
      <c r="BP578">
        <f t="shared" si="96"/>
        <v>5</v>
      </c>
      <c r="BQ578">
        <f t="shared" si="97"/>
        <v>3</v>
      </c>
      <c r="BR578">
        <v>82</v>
      </c>
      <c r="BS578">
        <v>53</v>
      </c>
      <c r="BT578">
        <v>48</v>
      </c>
      <c r="BU578">
        <v>31</v>
      </c>
    </row>
    <row r="579" spans="1:73" x14ac:dyDescent="0.25">
      <c r="A579" s="5">
        <v>43405</v>
      </c>
      <c r="B579">
        <v>2148</v>
      </c>
      <c r="C579">
        <v>1402</v>
      </c>
      <c r="D579">
        <v>8</v>
      </c>
      <c r="E579">
        <v>12</v>
      </c>
      <c r="F579">
        <v>2110</v>
      </c>
      <c r="G579">
        <v>1215</v>
      </c>
      <c r="H579">
        <v>771</v>
      </c>
      <c r="I579">
        <v>417</v>
      </c>
      <c r="J579">
        <v>175</v>
      </c>
      <c r="K579">
        <v>143</v>
      </c>
      <c r="L579">
        <v>31650</v>
      </c>
      <c r="M579">
        <v>10591</v>
      </c>
      <c r="N579">
        <v>106</v>
      </c>
      <c r="O579">
        <v>82</v>
      </c>
      <c r="P579">
        <v>0</v>
      </c>
      <c r="Q579">
        <v>0</v>
      </c>
      <c r="R579">
        <v>11</v>
      </c>
      <c r="S579">
        <v>7</v>
      </c>
      <c r="T579" s="34">
        <v>43660</v>
      </c>
      <c r="U579" s="34">
        <v>9609</v>
      </c>
      <c r="V579" s="34">
        <v>3668</v>
      </c>
      <c r="W579" t="s">
        <v>11</v>
      </c>
      <c r="X579">
        <v>3605</v>
      </c>
      <c r="Y579" t="s">
        <v>11</v>
      </c>
      <c r="Z579">
        <v>3404</v>
      </c>
      <c r="AA579">
        <v>662</v>
      </c>
      <c r="AB579">
        <v>29084</v>
      </c>
      <c r="AC579">
        <v>19429</v>
      </c>
      <c r="AD579">
        <v>1303</v>
      </c>
      <c r="AE579">
        <v>703</v>
      </c>
      <c r="AF579">
        <v>4954</v>
      </c>
      <c r="AG579">
        <v>2731</v>
      </c>
      <c r="AH579">
        <f t="shared" si="92"/>
        <v>1303</v>
      </c>
      <c r="AI579">
        <f t="shared" si="93"/>
        <v>703</v>
      </c>
      <c r="AJ579">
        <v>11062</v>
      </c>
      <c r="AK579">
        <v>5704</v>
      </c>
      <c r="AL579">
        <v>23753</v>
      </c>
      <c r="AM579">
        <v>13335</v>
      </c>
      <c r="AN579" s="22">
        <v>25</v>
      </c>
      <c r="AO579">
        <v>72</v>
      </c>
      <c r="AP579">
        <v>586</v>
      </c>
      <c r="AQ579">
        <v>343</v>
      </c>
      <c r="AR579">
        <v>14</v>
      </c>
      <c r="AS579">
        <v>9</v>
      </c>
      <c r="AT579">
        <f t="shared" si="98"/>
        <v>586</v>
      </c>
      <c r="AU579">
        <f t="shared" si="99"/>
        <v>343</v>
      </c>
      <c r="AV579" t="s">
        <v>11</v>
      </c>
      <c r="AW579" t="s">
        <v>11</v>
      </c>
      <c r="AX579">
        <v>4</v>
      </c>
      <c r="AY579">
        <v>2</v>
      </c>
      <c r="AZ579">
        <f t="shared" si="100"/>
        <v>586</v>
      </c>
      <c r="BA579">
        <f t="shared" si="101"/>
        <v>343</v>
      </c>
      <c r="BB579">
        <f t="shared" si="94"/>
        <v>25</v>
      </c>
      <c r="BC579">
        <f t="shared" si="95"/>
        <v>72</v>
      </c>
      <c r="BD579">
        <v>80</v>
      </c>
      <c r="BE579">
        <v>51</v>
      </c>
      <c r="BF579">
        <v>4</v>
      </c>
      <c r="BG579">
        <v>3</v>
      </c>
      <c r="BH579">
        <v>6</v>
      </c>
      <c r="BI579">
        <v>4</v>
      </c>
      <c r="BJ579">
        <v>21</v>
      </c>
      <c r="BK579">
        <v>14</v>
      </c>
      <c r="BL579">
        <v>56</v>
      </c>
      <c r="BM579">
        <v>36</v>
      </c>
      <c r="BN579" t="s">
        <v>11</v>
      </c>
      <c r="BO579" t="s">
        <v>11</v>
      </c>
      <c r="BP579">
        <f t="shared" si="96"/>
        <v>4</v>
      </c>
      <c r="BQ579">
        <f t="shared" si="97"/>
        <v>3</v>
      </c>
      <c r="BR579">
        <v>37</v>
      </c>
      <c r="BS579">
        <v>24</v>
      </c>
      <c r="BT579">
        <v>32</v>
      </c>
      <c r="BU579">
        <v>21</v>
      </c>
    </row>
    <row r="580" spans="1:73" x14ac:dyDescent="0.25">
      <c r="A580" s="5">
        <v>43435</v>
      </c>
      <c r="B580">
        <v>373</v>
      </c>
      <c r="C580">
        <v>414</v>
      </c>
      <c r="D580">
        <v>1</v>
      </c>
      <c r="E580">
        <v>5</v>
      </c>
      <c r="F580">
        <v>1151</v>
      </c>
      <c r="G580">
        <v>673</v>
      </c>
      <c r="H580">
        <v>66</v>
      </c>
      <c r="I580">
        <v>37</v>
      </c>
      <c r="J580">
        <v>47</v>
      </c>
      <c r="K580">
        <v>51</v>
      </c>
      <c r="L580">
        <v>21680</v>
      </c>
      <c r="M580">
        <v>950</v>
      </c>
      <c r="N580">
        <v>104</v>
      </c>
      <c r="O580">
        <v>78</v>
      </c>
      <c r="P580">
        <v>0</v>
      </c>
      <c r="Q580">
        <v>0</v>
      </c>
      <c r="R580">
        <v>17</v>
      </c>
      <c r="S580">
        <v>11</v>
      </c>
      <c r="T580" s="34">
        <v>29290</v>
      </c>
      <c r="U580" s="34">
        <v>-2713</v>
      </c>
      <c r="V580" s="34">
        <v>2044</v>
      </c>
      <c r="W580" t="s">
        <v>11</v>
      </c>
      <c r="X580">
        <v>2180</v>
      </c>
      <c r="Y580" t="s">
        <v>11</v>
      </c>
      <c r="Z580">
        <v>2101</v>
      </c>
      <c r="AA580">
        <v>200</v>
      </c>
      <c r="AB580">
        <v>15207</v>
      </c>
      <c r="AC580">
        <v>7151</v>
      </c>
      <c r="AD580">
        <v>910</v>
      </c>
      <c r="AE580">
        <v>482</v>
      </c>
      <c r="AF580">
        <v>2850</v>
      </c>
      <c r="AG580">
        <v>1387</v>
      </c>
      <c r="AH580">
        <f t="shared" si="92"/>
        <v>910</v>
      </c>
      <c r="AI580">
        <f t="shared" si="93"/>
        <v>482</v>
      </c>
      <c r="AJ580">
        <v>11552</v>
      </c>
      <c r="AK580">
        <v>6519</v>
      </c>
      <c r="AL580">
        <v>14248</v>
      </c>
      <c r="AM580">
        <v>3476</v>
      </c>
      <c r="AN580" s="22">
        <v>32</v>
      </c>
      <c r="AO580">
        <v>75</v>
      </c>
      <c r="AP580">
        <v>507</v>
      </c>
      <c r="AQ580">
        <v>273</v>
      </c>
      <c r="AR580">
        <v>14</v>
      </c>
      <c r="AS580">
        <v>9</v>
      </c>
      <c r="AT580">
        <f t="shared" si="98"/>
        <v>507</v>
      </c>
      <c r="AU580">
        <f t="shared" si="99"/>
        <v>273</v>
      </c>
      <c r="AV580" t="s">
        <v>11</v>
      </c>
      <c r="AW580" t="s">
        <v>11</v>
      </c>
      <c r="AX580">
        <v>4</v>
      </c>
      <c r="AY580">
        <v>2</v>
      </c>
      <c r="AZ580">
        <f t="shared" si="100"/>
        <v>507</v>
      </c>
      <c r="BA580">
        <f t="shared" si="101"/>
        <v>273</v>
      </c>
      <c r="BB580">
        <f t="shared" si="94"/>
        <v>32</v>
      </c>
      <c r="BC580">
        <f t="shared" si="95"/>
        <v>75</v>
      </c>
      <c r="BD580">
        <v>36</v>
      </c>
      <c r="BE580">
        <v>24</v>
      </c>
      <c r="BF580">
        <v>4</v>
      </c>
      <c r="BG580">
        <v>3</v>
      </c>
      <c r="BH580">
        <v>6</v>
      </c>
      <c r="BI580">
        <v>4</v>
      </c>
      <c r="BJ580">
        <v>25</v>
      </c>
      <c r="BK580">
        <v>16</v>
      </c>
      <c r="BL580">
        <v>40</v>
      </c>
      <c r="BM580">
        <v>26</v>
      </c>
      <c r="BN580" t="s">
        <v>11</v>
      </c>
      <c r="BO580" t="s">
        <v>11</v>
      </c>
      <c r="BP580">
        <f t="shared" si="96"/>
        <v>4</v>
      </c>
      <c r="BQ580">
        <f t="shared" si="97"/>
        <v>3</v>
      </c>
      <c r="BR580">
        <v>166</v>
      </c>
      <c r="BS580">
        <v>108</v>
      </c>
      <c r="BT580">
        <v>40</v>
      </c>
      <c r="BU580">
        <v>26</v>
      </c>
    </row>
    <row r="581" spans="1:73" x14ac:dyDescent="0.25">
      <c r="A581" s="22" t="s">
        <v>186</v>
      </c>
      <c r="C581">
        <f t="shared" ref="C581:AN581" si="102">SUM(C569:C580)</f>
        <v>20172</v>
      </c>
      <c r="D581">
        <f t="shared" si="102"/>
        <v>188</v>
      </c>
      <c r="E581">
        <f t="shared" si="102"/>
        <v>192</v>
      </c>
      <c r="F581">
        <f t="shared" si="102"/>
        <v>96237</v>
      </c>
      <c r="G581">
        <f t="shared" si="102"/>
        <v>35848</v>
      </c>
      <c r="H581">
        <f t="shared" si="102"/>
        <v>14200</v>
      </c>
      <c r="I581">
        <f t="shared" si="102"/>
        <v>7666</v>
      </c>
      <c r="J581">
        <f t="shared" si="102"/>
        <v>7432</v>
      </c>
      <c r="K581">
        <f t="shared" si="102"/>
        <v>5558</v>
      </c>
      <c r="L581">
        <f t="shared" si="102"/>
        <v>595459</v>
      </c>
      <c r="M581">
        <f t="shared" si="102"/>
        <v>282985</v>
      </c>
      <c r="N581">
        <f t="shared" si="102"/>
        <v>1853</v>
      </c>
      <c r="O581">
        <f t="shared" si="102"/>
        <v>1348</v>
      </c>
      <c r="P581">
        <f t="shared" si="102"/>
        <v>4798</v>
      </c>
      <c r="Q581">
        <f t="shared" si="102"/>
        <v>3431</v>
      </c>
      <c r="R581">
        <f t="shared" si="102"/>
        <v>298</v>
      </c>
      <c r="S581">
        <f t="shared" si="102"/>
        <v>193</v>
      </c>
      <c r="T581">
        <f t="shared" si="102"/>
        <v>771370</v>
      </c>
      <c r="U581">
        <f t="shared" si="102"/>
        <v>354227</v>
      </c>
      <c r="V581">
        <f t="shared" si="102"/>
        <v>42639</v>
      </c>
      <c r="W581">
        <f t="shared" si="102"/>
        <v>0</v>
      </c>
      <c r="X581">
        <f t="shared" si="102"/>
        <v>42952</v>
      </c>
      <c r="Y581">
        <f t="shared" si="102"/>
        <v>0</v>
      </c>
      <c r="Z581">
        <f t="shared" si="102"/>
        <v>42719</v>
      </c>
      <c r="AA581">
        <f t="shared" si="102"/>
        <v>12103</v>
      </c>
      <c r="AB581">
        <f t="shared" si="102"/>
        <v>343495</v>
      </c>
      <c r="AC581">
        <f t="shared" si="102"/>
        <v>241388</v>
      </c>
      <c r="AD581">
        <f t="shared" si="102"/>
        <v>23863</v>
      </c>
      <c r="AE581">
        <f t="shared" si="102"/>
        <v>14487</v>
      </c>
      <c r="AF581">
        <f t="shared" si="102"/>
        <v>65340</v>
      </c>
      <c r="AG581">
        <f t="shared" si="102"/>
        <v>36170</v>
      </c>
      <c r="AH581">
        <f t="shared" si="102"/>
        <v>23863</v>
      </c>
      <c r="AI581">
        <f t="shared" si="102"/>
        <v>14487</v>
      </c>
      <c r="AJ581">
        <f t="shared" si="102"/>
        <v>216652</v>
      </c>
      <c r="AK581">
        <f t="shared" si="102"/>
        <v>134265</v>
      </c>
      <c r="AL581">
        <f t="shared" si="102"/>
        <v>373081</v>
      </c>
      <c r="AM581">
        <f t="shared" si="102"/>
        <v>244416</v>
      </c>
      <c r="AN581">
        <f t="shared" si="102"/>
        <v>550</v>
      </c>
      <c r="AO581">
        <f>SUM(AO569:AO580)</f>
        <v>1339</v>
      </c>
      <c r="AP581">
        <f t="shared" ref="AP581:BU581" si="103">SUM(AP569:AP580)</f>
        <v>7882</v>
      </c>
      <c r="AQ581">
        <f t="shared" si="103"/>
        <v>4536</v>
      </c>
      <c r="AR581">
        <f t="shared" si="103"/>
        <v>247</v>
      </c>
      <c r="AS581">
        <f t="shared" si="103"/>
        <v>161</v>
      </c>
      <c r="AT581">
        <f t="shared" si="103"/>
        <v>7882</v>
      </c>
      <c r="AU581">
        <f t="shared" si="103"/>
        <v>4536</v>
      </c>
      <c r="AV581">
        <f t="shared" si="103"/>
        <v>0</v>
      </c>
      <c r="AW581">
        <f t="shared" si="103"/>
        <v>0</v>
      </c>
      <c r="AX581">
        <f t="shared" si="103"/>
        <v>48</v>
      </c>
      <c r="AY581">
        <f t="shared" si="103"/>
        <v>24</v>
      </c>
      <c r="AZ581">
        <f t="shared" si="103"/>
        <v>7882</v>
      </c>
      <c r="BA581">
        <f t="shared" si="103"/>
        <v>4536</v>
      </c>
      <c r="BB581">
        <f t="shared" si="103"/>
        <v>550</v>
      </c>
      <c r="BC581">
        <f t="shared" si="103"/>
        <v>1339</v>
      </c>
      <c r="BD581">
        <f t="shared" si="103"/>
        <v>1740</v>
      </c>
      <c r="BE581">
        <f t="shared" si="103"/>
        <v>1115</v>
      </c>
      <c r="BF581">
        <f t="shared" si="103"/>
        <v>64</v>
      </c>
      <c r="BG581">
        <f t="shared" si="103"/>
        <v>42</v>
      </c>
      <c r="BH581">
        <f t="shared" si="103"/>
        <v>111</v>
      </c>
      <c r="BI581">
        <f t="shared" si="103"/>
        <v>72</v>
      </c>
      <c r="BJ581">
        <f t="shared" si="103"/>
        <v>325</v>
      </c>
      <c r="BK581">
        <f t="shared" si="103"/>
        <v>211</v>
      </c>
      <c r="BL581">
        <f t="shared" si="103"/>
        <v>918</v>
      </c>
      <c r="BM581">
        <f t="shared" si="103"/>
        <v>597</v>
      </c>
      <c r="BN581">
        <f t="shared" si="103"/>
        <v>0</v>
      </c>
      <c r="BO581">
        <f t="shared" si="103"/>
        <v>0</v>
      </c>
      <c r="BP581">
        <f t="shared" si="103"/>
        <v>64</v>
      </c>
      <c r="BQ581">
        <f t="shared" si="103"/>
        <v>42</v>
      </c>
      <c r="BR581">
        <f t="shared" si="103"/>
        <v>779</v>
      </c>
      <c r="BS581">
        <f t="shared" si="103"/>
        <v>506</v>
      </c>
      <c r="BT581">
        <f t="shared" si="103"/>
        <v>301</v>
      </c>
      <c r="BU581">
        <f t="shared" si="103"/>
        <v>196</v>
      </c>
    </row>
    <row r="582" spans="1:73" x14ac:dyDescent="0.25">
      <c r="A582" s="22" t="s">
        <v>187</v>
      </c>
    </row>
    <row r="584" spans="1:73" x14ac:dyDescent="0.25">
      <c r="A584" s="30" t="s">
        <v>183</v>
      </c>
    </row>
  </sheetData>
  <mergeCells count="86">
    <mergeCell ref="V1:Y1"/>
    <mergeCell ref="V2:W2"/>
    <mergeCell ref="X2:Y2"/>
    <mergeCell ref="V3:W3"/>
    <mergeCell ref="X3:Y3"/>
    <mergeCell ref="D2:E2"/>
    <mergeCell ref="D3:E3"/>
    <mergeCell ref="P2:Q2"/>
    <mergeCell ref="P1:S1"/>
    <mergeCell ref="R2:S2"/>
    <mergeCell ref="R3:S3"/>
    <mergeCell ref="P3:Q3"/>
    <mergeCell ref="F3:G3"/>
    <mergeCell ref="H3:I3"/>
    <mergeCell ref="AL2:AM2"/>
    <mergeCell ref="AL3:AM3"/>
    <mergeCell ref="AF1:AM1"/>
    <mergeCell ref="J1:K1"/>
    <mergeCell ref="J2:K2"/>
    <mergeCell ref="J3:K3"/>
    <mergeCell ref="AF3:AG3"/>
    <mergeCell ref="AF2:AG2"/>
    <mergeCell ref="AH2:AI2"/>
    <mergeCell ref="AH3:AI3"/>
    <mergeCell ref="AJ3:AK3"/>
    <mergeCell ref="AJ2:AK2"/>
    <mergeCell ref="T1:U1"/>
    <mergeCell ref="T2:U2"/>
    <mergeCell ref="T3:U3"/>
    <mergeCell ref="Z3:AA3"/>
    <mergeCell ref="Z1:AE1"/>
    <mergeCell ref="B1:C1"/>
    <mergeCell ref="B2:C2"/>
    <mergeCell ref="B3:C3"/>
    <mergeCell ref="L3:M3"/>
    <mergeCell ref="N3:O3"/>
    <mergeCell ref="L2:O2"/>
    <mergeCell ref="L1:O1"/>
    <mergeCell ref="F1:I1"/>
    <mergeCell ref="F2:I2"/>
    <mergeCell ref="D1:E1"/>
    <mergeCell ref="Z2:AA2"/>
    <mergeCell ref="AB3:AC3"/>
    <mergeCell ref="AB2:AC2"/>
    <mergeCell ref="AD2:AE2"/>
    <mergeCell ref="AD3:AE3"/>
    <mergeCell ref="BT3:BU3"/>
    <mergeCell ref="BF3:BG3"/>
    <mergeCell ref="AN1:AS1"/>
    <mergeCell ref="AV3:AW3"/>
    <mergeCell ref="AV2:AW2"/>
    <mergeCell ref="AN3:AO3"/>
    <mergeCell ref="AP3:AQ3"/>
    <mergeCell ref="AN2:AO2"/>
    <mergeCell ref="AP2:AQ2"/>
    <mergeCell ref="AR3:AS3"/>
    <mergeCell ref="AR2:AS2"/>
    <mergeCell ref="BB2:BC2"/>
    <mergeCell ref="BB3:BC3"/>
    <mergeCell ref="AZ1:BC1"/>
    <mergeCell ref="BD3:BE3"/>
    <mergeCell ref="BD2:BE2"/>
    <mergeCell ref="BD1:BE1"/>
    <mergeCell ref="AX2:AY2"/>
    <mergeCell ref="AX3:AY3"/>
    <mergeCell ref="AT1:AY1"/>
    <mergeCell ref="AZ2:BA2"/>
    <mergeCell ref="AZ3:BA3"/>
    <mergeCell ref="AT2:AU2"/>
    <mergeCell ref="AT3:AU3"/>
    <mergeCell ref="BF2:BG2"/>
    <mergeCell ref="BF1:BG1"/>
    <mergeCell ref="BH2:BI2"/>
    <mergeCell ref="BH3:BI3"/>
    <mergeCell ref="BH1:BU1"/>
    <mergeCell ref="BJ2:BK2"/>
    <mergeCell ref="BJ3:BK3"/>
    <mergeCell ref="BL3:BM3"/>
    <mergeCell ref="BL2:BM2"/>
    <mergeCell ref="BN3:BO3"/>
    <mergeCell ref="BP2:BQ2"/>
    <mergeCell ref="BP3:BQ3"/>
    <mergeCell ref="BR3:BS3"/>
    <mergeCell ref="BR2:BS2"/>
    <mergeCell ref="BN2:BO2"/>
    <mergeCell ref="BT2:BU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8"/>
  <sheetViews>
    <sheetView workbookViewId="0">
      <pane xSplit="1" ySplit="2" topLeftCell="B503" activePane="bottomRight" state="frozen"/>
      <selection pane="topRight" activeCell="B1" sqref="B1"/>
      <selection pane="bottomLeft" activeCell="A3" sqref="A3"/>
      <selection pane="bottomRight" activeCell="C531" sqref="C531"/>
    </sheetView>
  </sheetViews>
  <sheetFormatPr defaultRowHeight="15" x14ac:dyDescent="0.25"/>
  <cols>
    <col min="1" max="1" width="15.5703125" style="1" bestFit="1" customWidth="1"/>
    <col min="2" max="2" width="17.85546875" customWidth="1"/>
    <col min="3" max="3" width="28.28515625" bestFit="1" customWidth="1"/>
  </cols>
  <sheetData>
    <row r="1" spans="1:9" s="1" customFormat="1" x14ac:dyDescent="0.25">
      <c r="A1" s="1" t="s">
        <v>1</v>
      </c>
      <c r="B1" s="1" t="s">
        <v>51</v>
      </c>
      <c r="C1" s="1" t="s">
        <v>53</v>
      </c>
    </row>
    <row r="2" spans="1:9" s="1" customFormat="1" x14ac:dyDescent="0.25">
      <c r="A2" s="1" t="s">
        <v>184</v>
      </c>
      <c r="B2" s="1" t="s">
        <v>52</v>
      </c>
      <c r="C2" s="1" t="s">
        <v>54</v>
      </c>
    </row>
    <row r="3" spans="1:9" x14ac:dyDescent="0.25">
      <c r="A3" s="8">
        <v>25934</v>
      </c>
      <c r="B3">
        <v>84500</v>
      </c>
      <c r="C3">
        <v>12327</v>
      </c>
      <c r="I3" t="s">
        <v>181</v>
      </c>
    </row>
    <row r="4" spans="1:9" x14ac:dyDescent="0.25">
      <c r="A4" s="8">
        <v>25965</v>
      </c>
      <c r="B4">
        <v>105392</v>
      </c>
      <c r="C4">
        <v>1912</v>
      </c>
    </row>
    <row r="5" spans="1:9" x14ac:dyDescent="0.25">
      <c r="A5" s="8">
        <v>25993</v>
      </c>
      <c r="B5">
        <v>202678</v>
      </c>
      <c r="C5">
        <v>70</v>
      </c>
    </row>
    <row r="6" spans="1:9" x14ac:dyDescent="0.25">
      <c r="A6" s="8">
        <v>26024</v>
      </c>
      <c r="B6">
        <v>186963</v>
      </c>
      <c r="C6">
        <v>167</v>
      </c>
    </row>
    <row r="7" spans="1:9" x14ac:dyDescent="0.25">
      <c r="A7" s="8">
        <v>26054</v>
      </c>
      <c r="B7">
        <v>92284</v>
      </c>
      <c r="C7">
        <v>250</v>
      </c>
    </row>
    <row r="8" spans="1:9" x14ac:dyDescent="0.25">
      <c r="A8" s="8">
        <v>26085</v>
      </c>
      <c r="B8">
        <v>137821</v>
      </c>
      <c r="C8">
        <v>39</v>
      </c>
    </row>
    <row r="9" spans="1:9" x14ac:dyDescent="0.25">
      <c r="A9" s="8">
        <v>26115</v>
      </c>
      <c r="B9">
        <v>190517</v>
      </c>
      <c r="C9">
        <v>173</v>
      </c>
    </row>
    <row r="10" spans="1:9" x14ac:dyDescent="0.25">
      <c r="A10" s="8">
        <v>26146</v>
      </c>
      <c r="B10">
        <v>181102</v>
      </c>
      <c r="C10">
        <v>140</v>
      </c>
    </row>
    <row r="11" spans="1:9" x14ac:dyDescent="0.25">
      <c r="A11" s="8">
        <v>26177</v>
      </c>
      <c r="B11">
        <v>85605</v>
      </c>
      <c r="C11">
        <v>1299</v>
      </c>
    </row>
    <row r="12" spans="1:9" x14ac:dyDescent="0.25">
      <c r="A12" s="8">
        <v>26207</v>
      </c>
      <c r="B12">
        <v>55370</v>
      </c>
      <c r="C12">
        <v>22150</v>
      </c>
    </row>
    <row r="13" spans="1:9" x14ac:dyDescent="0.25">
      <c r="A13" s="8">
        <v>26238</v>
      </c>
      <c r="B13">
        <v>53584</v>
      </c>
      <c r="C13">
        <v>18608</v>
      </c>
    </row>
    <row r="14" spans="1:9" x14ac:dyDescent="0.25">
      <c r="A14" s="8">
        <v>26268</v>
      </c>
      <c r="B14">
        <v>124184</v>
      </c>
      <c r="C14">
        <v>4487</v>
      </c>
    </row>
    <row r="15" spans="1:9" x14ac:dyDescent="0.25">
      <c r="A15" s="8">
        <v>26299</v>
      </c>
      <c r="B15">
        <v>109235</v>
      </c>
      <c r="C15">
        <v>8608</v>
      </c>
    </row>
    <row r="16" spans="1:9" x14ac:dyDescent="0.25">
      <c r="A16" s="8">
        <v>26330</v>
      </c>
      <c r="B16">
        <v>109446</v>
      </c>
      <c r="C16">
        <v>5060</v>
      </c>
    </row>
    <row r="17" spans="1:3" x14ac:dyDescent="0.25">
      <c r="A17" s="8">
        <v>26359</v>
      </c>
      <c r="B17">
        <v>202677</v>
      </c>
      <c r="C17">
        <v>137</v>
      </c>
    </row>
    <row r="18" spans="1:3" x14ac:dyDescent="0.25">
      <c r="A18" s="8">
        <v>26390</v>
      </c>
      <c r="B18">
        <v>190517</v>
      </c>
      <c r="C18">
        <v>300</v>
      </c>
    </row>
    <row r="19" spans="1:3" x14ac:dyDescent="0.25">
      <c r="A19" s="8">
        <v>26420</v>
      </c>
      <c r="B19">
        <v>92284</v>
      </c>
      <c r="C19">
        <v>59</v>
      </c>
    </row>
    <row r="20" spans="1:3" x14ac:dyDescent="0.25">
      <c r="A20" s="8">
        <v>26451</v>
      </c>
      <c r="B20">
        <v>129713</v>
      </c>
      <c r="C20">
        <v>107</v>
      </c>
    </row>
    <row r="21" spans="1:3" x14ac:dyDescent="0.25">
      <c r="A21" s="8">
        <v>26481</v>
      </c>
      <c r="B21">
        <v>178356</v>
      </c>
      <c r="C21">
        <v>7440</v>
      </c>
    </row>
    <row r="22" spans="1:3" x14ac:dyDescent="0.25">
      <c r="A22" s="8">
        <v>26512</v>
      </c>
      <c r="B22">
        <v>189103</v>
      </c>
      <c r="C22">
        <v>96</v>
      </c>
    </row>
    <row r="23" spans="1:3" x14ac:dyDescent="0.25">
      <c r="A23" s="8">
        <v>26543</v>
      </c>
      <c r="B23">
        <v>81071</v>
      </c>
      <c r="C23">
        <v>17893</v>
      </c>
    </row>
    <row r="24" spans="1:3" x14ac:dyDescent="0.25">
      <c r="A24" s="8">
        <v>26573</v>
      </c>
      <c r="B24">
        <v>56181</v>
      </c>
      <c r="C24">
        <v>42633</v>
      </c>
    </row>
    <row r="25" spans="1:3" x14ac:dyDescent="0.25">
      <c r="A25" s="8">
        <v>26604</v>
      </c>
      <c r="B25">
        <v>54395</v>
      </c>
      <c r="C25">
        <v>18030</v>
      </c>
    </row>
    <row r="26" spans="1:3" x14ac:dyDescent="0.25">
      <c r="A26" s="8">
        <v>26634</v>
      </c>
      <c r="B26">
        <v>107022</v>
      </c>
      <c r="C26">
        <v>12175</v>
      </c>
    </row>
    <row r="27" spans="1:3" x14ac:dyDescent="0.25">
      <c r="A27" s="8">
        <v>26665</v>
      </c>
      <c r="B27">
        <v>121606</v>
      </c>
      <c r="C27">
        <v>8343</v>
      </c>
    </row>
    <row r="28" spans="1:3" x14ac:dyDescent="0.25">
      <c r="A28" s="8">
        <v>26696</v>
      </c>
      <c r="B28">
        <v>101339</v>
      </c>
      <c r="C28">
        <v>10654</v>
      </c>
    </row>
    <row r="29" spans="1:3" x14ac:dyDescent="0.25">
      <c r="A29" s="8">
        <v>26724</v>
      </c>
      <c r="B29">
        <v>192138</v>
      </c>
      <c r="C29">
        <v>9151</v>
      </c>
    </row>
    <row r="30" spans="1:3" x14ac:dyDescent="0.25">
      <c r="A30" s="8">
        <v>26755</v>
      </c>
      <c r="B30">
        <v>173492</v>
      </c>
      <c r="C30">
        <v>8860</v>
      </c>
    </row>
    <row r="31" spans="1:3" x14ac:dyDescent="0.25">
      <c r="A31" s="8">
        <v>26785</v>
      </c>
      <c r="B31">
        <v>95339</v>
      </c>
      <c r="C31">
        <v>12946</v>
      </c>
    </row>
    <row r="32" spans="1:3" x14ac:dyDescent="0.25">
      <c r="A32" s="8">
        <v>26816</v>
      </c>
      <c r="B32">
        <v>132145</v>
      </c>
      <c r="C32">
        <v>44</v>
      </c>
    </row>
    <row r="33" spans="1:3" x14ac:dyDescent="0.25">
      <c r="A33" s="8">
        <v>26846</v>
      </c>
      <c r="B33">
        <v>162142</v>
      </c>
      <c r="C33">
        <v>7574</v>
      </c>
    </row>
    <row r="34" spans="1:3" x14ac:dyDescent="0.25">
      <c r="A34" s="8">
        <v>26877</v>
      </c>
      <c r="B34">
        <v>158899</v>
      </c>
      <c r="C34">
        <v>1019</v>
      </c>
    </row>
    <row r="35" spans="1:3" x14ac:dyDescent="0.25">
      <c r="A35" s="8">
        <v>26908</v>
      </c>
      <c r="B35">
        <v>89482</v>
      </c>
      <c r="C35">
        <v>18114</v>
      </c>
    </row>
    <row r="36" spans="1:3" x14ac:dyDescent="0.25">
      <c r="A36" s="8">
        <v>26938</v>
      </c>
      <c r="B36">
        <v>79004</v>
      </c>
      <c r="C36">
        <v>18570</v>
      </c>
    </row>
    <row r="37" spans="1:3" x14ac:dyDescent="0.25">
      <c r="A37" s="8">
        <v>26969</v>
      </c>
      <c r="B37">
        <v>64872</v>
      </c>
      <c r="C37">
        <v>18276</v>
      </c>
    </row>
    <row r="38" spans="1:3" x14ac:dyDescent="0.25">
      <c r="A38" s="8">
        <v>26999</v>
      </c>
      <c r="B38">
        <v>129542</v>
      </c>
      <c r="C38">
        <v>11601</v>
      </c>
    </row>
    <row r="39" spans="1:3" x14ac:dyDescent="0.25">
      <c r="A39" s="8">
        <v>27030</v>
      </c>
      <c r="B39">
        <v>92232</v>
      </c>
      <c r="C39">
        <v>11878</v>
      </c>
    </row>
    <row r="40" spans="1:3" x14ac:dyDescent="0.25">
      <c r="A40" s="8">
        <v>27061</v>
      </c>
      <c r="B40">
        <v>93232</v>
      </c>
      <c r="C40">
        <v>10125</v>
      </c>
    </row>
    <row r="41" spans="1:3" x14ac:dyDescent="0.25">
      <c r="A41" s="8">
        <v>27089</v>
      </c>
      <c r="B41">
        <v>190563</v>
      </c>
      <c r="C41">
        <v>9326</v>
      </c>
    </row>
    <row r="42" spans="1:3" x14ac:dyDescent="0.25">
      <c r="A42" s="8">
        <v>27120</v>
      </c>
      <c r="B42">
        <v>194737</v>
      </c>
      <c r="C42">
        <v>9256</v>
      </c>
    </row>
    <row r="43" spans="1:3" x14ac:dyDescent="0.25">
      <c r="A43" s="8">
        <v>27150</v>
      </c>
      <c r="B43">
        <v>106215</v>
      </c>
      <c r="C43">
        <v>9329</v>
      </c>
    </row>
    <row r="44" spans="1:3" x14ac:dyDescent="0.25">
      <c r="A44" s="8">
        <v>27181</v>
      </c>
      <c r="B44">
        <v>142925</v>
      </c>
      <c r="C44">
        <v>4129</v>
      </c>
    </row>
    <row r="45" spans="1:3" x14ac:dyDescent="0.25">
      <c r="A45" s="8">
        <v>27211</v>
      </c>
      <c r="B45">
        <v>192505</v>
      </c>
      <c r="C45">
        <v>19041</v>
      </c>
    </row>
    <row r="46" spans="1:3" x14ac:dyDescent="0.25">
      <c r="A46" s="8">
        <v>27242</v>
      </c>
      <c r="B46">
        <v>187866</v>
      </c>
      <c r="C46">
        <v>18848</v>
      </c>
    </row>
    <row r="47" spans="1:3" x14ac:dyDescent="0.25">
      <c r="A47" s="8">
        <v>27273</v>
      </c>
      <c r="B47">
        <v>89308</v>
      </c>
      <c r="C47">
        <v>17116</v>
      </c>
    </row>
    <row r="48" spans="1:3" x14ac:dyDescent="0.25">
      <c r="A48" s="8">
        <v>27303</v>
      </c>
      <c r="B48">
        <v>56333</v>
      </c>
      <c r="C48">
        <v>19134</v>
      </c>
    </row>
    <row r="49" spans="1:3" x14ac:dyDescent="0.25">
      <c r="A49" s="8">
        <v>27334</v>
      </c>
      <c r="B49">
        <v>54395</v>
      </c>
      <c r="C49">
        <v>18236</v>
      </c>
    </row>
    <row r="50" spans="1:3" x14ac:dyDescent="0.25">
      <c r="A50" s="8">
        <v>27364</v>
      </c>
      <c r="B50">
        <v>99689</v>
      </c>
      <c r="C50">
        <v>18940</v>
      </c>
    </row>
    <row r="51" spans="1:3" x14ac:dyDescent="0.25">
      <c r="A51" s="8">
        <v>27395</v>
      </c>
      <c r="B51">
        <v>79903</v>
      </c>
      <c r="C51">
        <v>18848</v>
      </c>
    </row>
    <row r="52" spans="1:3" x14ac:dyDescent="0.25">
      <c r="A52" s="8">
        <v>27426</v>
      </c>
      <c r="B52">
        <v>96937</v>
      </c>
      <c r="C52">
        <v>17238</v>
      </c>
    </row>
    <row r="53" spans="1:3" x14ac:dyDescent="0.25">
      <c r="A53" s="8">
        <v>27454</v>
      </c>
      <c r="B53">
        <v>155199</v>
      </c>
      <c r="C53">
        <v>17674</v>
      </c>
    </row>
    <row r="54" spans="1:3" x14ac:dyDescent="0.25">
      <c r="A54" s="8">
        <v>27485</v>
      </c>
      <c r="B54">
        <v>192113</v>
      </c>
      <c r="C54">
        <v>23494</v>
      </c>
    </row>
    <row r="55" spans="1:3" x14ac:dyDescent="0.25">
      <c r="A55" s="8">
        <v>27515</v>
      </c>
      <c r="B55">
        <v>117254</v>
      </c>
      <c r="C55">
        <v>17708</v>
      </c>
    </row>
    <row r="56" spans="1:3" x14ac:dyDescent="0.25">
      <c r="A56" s="8">
        <v>27546</v>
      </c>
      <c r="B56">
        <v>121108</v>
      </c>
      <c r="C56">
        <v>18245</v>
      </c>
    </row>
    <row r="57" spans="1:3" x14ac:dyDescent="0.25">
      <c r="A57" s="8">
        <v>27576</v>
      </c>
      <c r="B57">
        <v>176628</v>
      </c>
      <c r="C57">
        <v>19043</v>
      </c>
    </row>
    <row r="58" spans="1:3" x14ac:dyDescent="0.25">
      <c r="A58" s="8">
        <v>27607</v>
      </c>
      <c r="B58">
        <v>168075</v>
      </c>
      <c r="C58">
        <v>19351</v>
      </c>
    </row>
    <row r="59" spans="1:3" x14ac:dyDescent="0.25">
      <c r="A59" s="8">
        <v>27638</v>
      </c>
      <c r="B59">
        <v>111442</v>
      </c>
      <c r="C59">
        <v>18592</v>
      </c>
    </row>
    <row r="60" spans="1:3" x14ac:dyDescent="0.25">
      <c r="A60" s="8">
        <v>27668</v>
      </c>
      <c r="B60">
        <v>76040</v>
      </c>
      <c r="C60">
        <v>19227</v>
      </c>
    </row>
    <row r="61" spans="1:3" x14ac:dyDescent="0.25">
      <c r="A61" s="8">
        <v>27699</v>
      </c>
      <c r="B61">
        <v>76433</v>
      </c>
      <c r="C61">
        <v>18861</v>
      </c>
    </row>
    <row r="62" spans="1:3" x14ac:dyDescent="0.25">
      <c r="A62" s="8">
        <v>27729</v>
      </c>
      <c r="B62">
        <v>128868</v>
      </c>
      <c r="C62">
        <v>19292</v>
      </c>
    </row>
    <row r="63" spans="1:3" x14ac:dyDescent="0.25">
      <c r="A63" s="8">
        <v>27760</v>
      </c>
      <c r="B63">
        <v>89178</v>
      </c>
      <c r="C63">
        <v>18983</v>
      </c>
    </row>
    <row r="64" spans="1:3" x14ac:dyDescent="0.25">
      <c r="A64" s="8">
        <v>27791</v>
      </c>
      <c r="B64">
        <v>116742</v>
      </c>
      <c r="C64">
        <v>8694</v>
      </c>
    </row>
    <row r="65" spans="1:3" x14ac:dyDescent="0.25">
      <c r="A65" s="8">
        <v>27820</v>
      </c>
      <c r="B65">
        <v>182409</v>
      </c>
      <c r="C65">
        <v>18628</v>
      </c>
    </row>
    <row r="66" spans="1:3" x14ac:dyDescent="0.25">
      <c r="A66" s="8">
        <v>27851</v>
      </c>
      <c r="B66">
        <v>211595</v>
      </c>
      <c r="C66">
        <v>25254</v>
      </c>
    </row>
    <row r="67" spans="1:3" x14ac:dyDescent="0.25">
      <c r="A67" s="8">
        <v>27881</v>
      </c>
      <c r="B67">
        <v>108635</v>
      </c>
      <c r="C67">
        <v>19143</v>
      </c>
    </row>
    <row r="68" spans="1:3" x14ac:dyDescent="0.25">
      <c r="A68" s="8">
        <v>27912</v>
      </c>
      <c r="B68">
        <v>105392</v>
      </c>
      <c r="C68">
        <v>18344</v>
      </c>
    </row>
    <row r="69" spans="1:3" x14ac:dyDescent="0.25">
      <c r="A69" s="8">
        <v>27942</v>
      </c>
      <c r="B69">
        <v>145927</v>
      </c>
      <c r="C69">
        <v>18984</v>
      </c>
    </row>
    <row r="70" spans="1:3" x14ac:dyDescent="0.25">
      <c r="A70" s="8">
        <v>27973</v>
      </c>
      <c r="B70">
        <v>142685</v>
      </c>
      <c r="C70">
        <v>19545</v>
      </c>
    </row>
    <row r="71" spans="1:3" x14ac:dyDescent="0.25">
      <c r="A71" s="8">
        <v>28004</v>
      </c>
      <c r="B71">
        <v>90799</v>
      </c>
      <c r="C71">
        <v>69258</v>
      </c>
    </row>
    <row r="72" spans="1:3" x14ac:dyDescent="0.25">
      <c r="A72" s="8">
        <v>28034</v>
      </c>
      <c r="B72">
        <v>72964</v>
      </c>
      <c r="C72">
        <v>19593</v>
      </c>
    </row>
    <row r="73" spans="1:3" x14ac:dyDescent="0.25">
      <c r="A73" s="8">
        <v>28065</v>
      </c>
      <c r="B73">
        <v>79450</v>
      </c>
      <c r="C73">
        <v>18354</v>
      </c>
    </row>
    <row r="74" spans="1:3" x14ac:dyDescent="0.25">
      <c r="A74" s="8">
        <v>28095</v>
      </c>
      <c r="B74">
        <v>154224</v>
      </c>
      <c r="C74">
        <v>19444</v>
      </c>
    </row>
    <row r="75" spans="1:3" x14ac:dyDescent="0.25">
      <c r="A75" s="8">
        <v>28126</v>
      </c>
      <c r="B75">
        <v>90800</v>
      </c>
      <c r="C75">
        <v>18610</v>
      </c>
    </row>
    <row r="76" spans="1:3" x14ac:dyDescent="0.25">
      <c r="A76" s="8">
        <v>28157</v>
      </c>
      <c r="B76">
        <v>107013</v>
      </c>
      <c r="C76">
        <v>16800</v>
      </c>
    </row>
    <row r="77" spans="1:3" x14ac:dyDescent="0.25">
      <c r="A77" s="8">
        <v>28185</v>
      </c>
      <c r="B77">
        <v>179977</v>
      </c>
      <c r="C77">
        <v>10994</v>
      </c>
    </row>
    <row r="78" spans="1:3" x14ac:dyDescent="0.25">
      <c r="A78" s="8">
        <v>28216</v>
      </c>
      <c r="B78">
        <v>227809</v>
      </c>
      <c r="C78">
        <v>18271</v>
      </c>
    </row>
    <row r="79" spans="1:3" x14ac:dyDescent="0.25">
      <c r="A79" s="8">
        <v>28246</v>
      </c>
      <c r="B79">
        <v>102960</v>
      </c>
      <c r="C79">
        <v>16954</v>
      </c>
    </row>
    <row r="80" spans="1:3" x14ac:dyDescent="0.25">
      <c r="A80" s="8">
        <v>28277</v>
      </c>
      <c r="B80">
        <v>116742</v>
      </c>
      <c r="C80">
        <v>17933</v>
      </c>
    </row>
    <row r="81" spans="1:3" x14ac:dyDescent="0.25">
      <c r="A81" s="8">
        <v>28307</v>
      </c>
      <c r="B81">
        <v>169436</v>
      </c>
      <c r="C81">
        <v>18400</v>
      </c>
    </row>
    <row r="82" spans="1:3" x14ac:dyDescent="0.25">
      <c r="A82" s="8">
        <v>28338</v>
      </c>
      <c r="B82">
        <v>161331</v>
      </c>
      <c r="C82">
        <v>84197</v>
      </c>
    </row>
    <row r="83" spans="1:3" x14ac:dyDescent="0.25">
      <c r="A83" s="8">
        <v>28369</v>
      </c>
      <c r="B83">
        <v>90799</v>
      </c>
      <c r="C83">
        <v>19987</v>
      </c>
    </row>
    <row r="84" spans="1:3" x14ac:dyDescent="0.25">
      <c r="A84" s="8">
        <v>28399</v>
      </c>
      <c r="B84">
        <v>57560</v>
      </c>
      <c r="C84">
        <v>18732</v>
      </c>
    </row>
    <row r="85" spans="1:3" x14ac:dyDescent="0.25">
      <c r="A85" s="8">
        <v>28430</v>
      </c>
      <c r="B85">
        <v>56371</v>
      </c>
      <c r="C85">
        <v>17359</v>
      </c>
    </row>
    <row r="86" spans="1:3" x14ac:dyDescent="0.25">
      <c r="A86" s="8">
        <v>28460</v>
      </c>
      <c r="B86">
        <v>137200</v>
      </c>
      <c r="C86">
        <v>20667</v>
      </c>
    </row>
    <row r="87" spans="1:3" x14ac:dyDescent="0.25">
      <c r="A87" s="8">
        <v>28491</v>
      </c>
      <c r="B87">
        <v>76639</v>
      </c>
      <c r="C87">
        <v>42160</v>
      </c>
    </row>
    <row r="88" spans="1:3" x14ac:dyDescent="0.25">
      <c r="A88" s="8">
        <v>28522</v>
      </c>
      <c r="B88">
        <v>111067</v>
      </c>
      <c r="C88">
        <v>15401</v>
      </c>
    </row>
    <row r="89" spans="1:3" x14ac:dyDescent="0.25">
      <c r="A89" s="8">
        <v>28550</v>
      </c>
      <c r="B89">
        <v>180788</v>
      </c>
      <c r="C89">
        <v>26114</v>
      </c>
    </row>
    <row r="90" spans="1:3" x14ac:dyDescent="0.25">
      <c r="A90" s="8">
        <v>28581</v>
      </c>
      <c r="B90">
        <v>226999</v>
      </c>
      <c r="C90">
        <v>16878</v>
      </c>
    </row>
    <row r="91" spans="1:3" x14ac:dyDescent="0.25">
      <c r="A91" s="8">
        <v>28611</v>
      </c>
      <c r="B91">
        <v>94853</v>
      </c>
      <c r="C91">
        <v>16184</v>
      </c>
    </row>
    <row r="92" spans="1:3" x14ac:dyDescent="0.25">
      <c r="A92" s="8">
        <v>28642</v>
      </c>
      <c r="B92">
        <v>115931</v>
      </c>
      <c r="C92">
        <v>15294</v>
      </c>
    </row>
    <row r="93" spans="1:3" x14ac:dyDescent="0.25">
      <c r="A93" s="8">
        <v>28672</v>
      </c>
      <c r="B93">
        <v>183220</v>
      </c>
      <c r="C93">
        <v>14220</v>
      </c>
    </row>
    <row r="94" spans="1:3" x14ac:dyDescent="0.25">
      <c r="A94" s="8">
        <v>28703</v>
      </c>
      <c r="B94">
        <v>176734</v>
      </c>
      <c r="C94">
        <v>14960</v>
      </c>
    </row>
    <row r="95" spans="1:3" x14ac:dyDescent="0.25">
      <c r="A95" s="8">
        <v>28734</v>
      </c>
      <c r="B95">
        <v>91610</v>
      </c>
      <c r="C95">
        <v>13555</v>
      </c>
    </row>
    <row r="96" spans="1:3" x14ac:dyDescent="0.25">
      <c r="A96" s="8">
        <v>28764</v>
      </c>
      <c r="B96">
        <v>57560</v>
      </c>
      <c r="C96">
        <v>22248</v>
      </c>
    </row>
    <row r="97" spans="1:3" x14ac:dyDescent="0.25">
      <c r="A97" s="8">
        <v>28795</v>
      </c>
      <c r="B97">
        <v>56750</v>
      </c>
      <c r="C97">
        <v>14233</v>
      </c>
    </row>
    <row r="98" spans="1:3" x14ac:dyDescent="0.25">
      <c r="A98" s="8">
        <v>28825</v>
      </c>
      <c r="B98">
        <v>125849</v>
      </c>
      <c r="C98">
        <v>15786</v>
      </c>
    </row>
    <row r="99" spans="1:3" x14ac:dyDescent="0.25">
      <c r="A99" s="8">
        <v>28856</v>
      </c>
      <c r="B99">
        <v>80936</v>
      </c>
      <c r="C99">
        <v>21659</v>
      </c>
    </row>
    <row r="100" spans="1:3" x14ac:dyDescent="0.25">
      <c r="A100" s="8">
        <v>28887</v>
      </c>
      <c r="B100">
        <v>76350</v>
      </c>
      <c r="C100">
        <v>35616</v>
      </c>
    </row>
    <row r="101" spans="1:3" x14ac:dyDescent="0.25">
      <c r="A101" s="8">
        <v>28915</v>
      </c>
      <c r="B101">
        <v>175721</v>
      </c>
      <c r="C101">
        <v>38300</v>
      </c>
    </row>
    <row r="102" spans="1:3" x14ac:dyDescent="0.25">
      <c r="A102" s="8">
        <v>28946</v>
      </c>
      <c r="B102">
        <v>226912</v>
      </c>
      <c r="C102">
        <v>14673</v>
      </c>
    </row>
    <row r="103" spans="1:3" x14ac:dyDescent="0.25">
      <c r="A103" s="8">
        <v>28976</v>
      </c>
      <c r="B103">
        <v>110144</v>
      </c>
      <c r="C103">
        <v>205908</v>
      </c>
    </row>
    <row r="104" spans="1:3" x14ac:dyDescent="0.25">
      <c r="A104" s="8">
        <v>29007</v>
      </c>
      <c r="B104">
        <v>151626</v>
      </c>
      <c r="C104">
        <v>176011</v>
      </c>
    </row>
    <row r="105" spans="1:3" x14ac:dyDescent="0.25">
      <c r="A105" s="8">
        <v>29037</v>
      </c>
      <c r="B105">
        <v>229995</v>
      </c>
      <c r="C105">
        <v>182139</v>
      </c>
    </row>
    <row r="106" spans="1:3" x14ac:dyDescent="0.25">
      <c r="A106" s="8">
        <v>29068</v>
      </c>
      <c r="B106">
        <v>234640</v>
      </c>
      <c r="C106">
        <v>183143</v>
      </c>
    </row>
    <row r="107" spans="1:3" x14ac:dyDescent="0.25">
      <c r="A107" s="8">
        <v>29099</v>
      </c>
      <c r="B107">
        <v>141518</v>
      </c>
      <c r="C107">
        <v>188745</v>
      </c>
    </row>
    <row r="108" spans="1:3" x14ac:dyDescent="0.25">
      <c r="A108" s="8">
        <v>29129</v>
      </c>
      <c r="B108">
        <v>88683</v>
      </c>
      <c r="C108">
        <v>220073</v>
      </c>
    </row>
    <row r="109" spans="1:3" x14ac:dyDescent="0.25">
      <c r="A109" s="8">
        <v>29160</v>
      </c>
      <c r="B109">
        <v>56750</v>
      </c>
      <c r="C109">
        <v>225947</v>
      </c>
    </row>
    <row r="110" spans="1:3" x14ac:dyDescent="0.25">
      <c r="A110" s="8">
        <v>29190</v>
      </c>
      <c r="B110">
        <v>126725</v>
      </c>
      <c r="C110">
        <v>153199</v>
      </c>
    </row>
    <row r="111" spans="1:3" x14ac:dyDescent="0.25">
      <c r="A111" s="8">
        <v>29221</v>
      </c>
      <c r="B111">
        <v>5370</v>
      </c>
      <c r="C111">
        <v>244001</v>
      </c>
    </row>
    <row r="112" spans="1:3" x14ac:dyDescent="0.25">
      <c r="A112" s="8">
        <v>29252</v>
      </c>
      <c r="B112">
        <v>108473</v>
      </c>
      <c r="C112">
        <v>181712</v>
      </c>
    </row>
    <row r="113" spans="1:3" x14ac:dyDescent="0.25">
      <c r="A113" s="8">
        <v>29281</v>
      </c>
      <c r="B113">
        <v>204931</v>
      </c>
      <c r="C113">
        <v>471526</v>
      </c>
    </row>
    <row r="114" spans="1:3" x14ac:dyDescent="0.25">
      <c r="A114" s="8">
        <v>29312</v>
      </c>
      <c r="B114">
        <v>225067</v>
      </c>
      <c r="C114">
        <v>483091</v>
      </c>
    </row>
    <row r="115" spans="1:3" x14ac:dyDescent="0.25">
      <c r="A115" s="8">
        <v>29342</v>
      </c>
      <c r="B115">
        <v>116652</v>
      </c>
      <c r="C115">
        <v>583427</v>
      </c>
    </row>
    <row r="116" spans="1:3" x14ac:dyDescent="0.25">
      <c r="A116" s="8">
        <v>29373</v>
      </c>
      <c r="B116">
        <v>163798</v>
      </c>
      <c r="C116">
        <v>519242</v>
      </c>
    </row>
    <row r="117" spans="1:3" x14ac:dyDescent="0.25">
      <c r="A117" s="8">
        <v>29403</v>
      </c>
      <c r="B117">
        <v>218337</v>
      </c>
      <c r="C117">
        <v>463880</v>
      </c>
    </row>
    <row r="118" spans="1:3" x14ac:dyDescent="0.25">
      <c r="A118" s="8">
        <v>29434</v>
      </c>
      <c r="B118">
        <v>248457</v>
      </c>
      <c r="C118">
        <v>449160</v>
      </c>
    </row>
    <row r="119" spans="1:3" x14ac:dyDescent="0.25">
      <c r="A119" s="8">
        <v>29465</v>
      </c>
      <c r="B119">
        <v>93507</v>
      </c>
      <c r="C119">
        <v>574277</v>
      </c>
    </row>
    <row r="120" spans="1:3" x14ac:dyDescent="0.25">
      <c r="A120" s="8">
        <v>29495</v>
      </c>
      <c r="B120">
        <v>62259</v>
      </c>
      <c r="C120">
        <v>675850</v>
      </c>
    </row>
    <row r="121" spans="1:3" x14ac:dyDescent="0.25">
      <c r="A121" s="8">
        <v>29526</v>
      </c>
      <c r="B121">
        <v>60309</v>
      </c>
      <c r="C121">
        <v>586411</v>
      </c>
    </row>
    <row r="122" spans="1:3" x14ac:dyDescent="0.25">
      <c r="A122" s="8">
        <v>29556</v>
      </c>
      <c r="B122">
        <v>142840</v>
      </c>
      <c r="C122">
        <v>417251</v>
      </c>
    </row>
    <row r="123" spans="1:3" x14ac:dyDescent="0.25">
      <c r="A123" s="8">
        <v>29587</v>
      </c>
      <c r="B123">
        <v>55370</v>
      </c>
      <c r="C123">
        <v>311386</v>
      </c>
    </row>
    <row r="124" spans="1:3" x14ac:dyDescent="0.25">
      <c r="A124" s="8">
        <v>29618</v>
      </c>
      <c r="B124">
        <v>81731</v>
      </c>
      <c r="C124">
        <v>28933</v>
      </c>
    </row>
    <row r="125" spans="1:3" x14ac:dyDescent="0.25">
      <c r="A125" s="8">
        <v>29646</v>
      </c>
      <c r="B125">
        <v>211991</v>
      </c>
      <c r="C125">
        <v>31639</v>
      </c>
    </row>
    <row r="126" spans="1:3" x14ac:dyDescent="0.25">
      <c r="A126" s="8">
        <v>29677</v>
      </c>
      <c r="B126">
        <v>241042</v>
      </c>
      <c r="C126">
        <v>16211</v>
      </c>
    </row>
    <row r="127" spans="1:3" x14ac:dyDescent="0.25">
      <c r="A127" s="8">
        <v>29707</v>
      </c>
      <c r="B127">
        <v>155617</v>
      </c>
      <c r="C127">
        <v>14095</v>
      </c>
    </row>
    <row r="128" spans="1:3" x14ac:dyDescent="0.25">
      <c r="A128" s="8">
        <v>29738</v>
      </c>
      <c r="B128">
        <v>178542</v>
      </c>
      <c r="C128">
        <v>12023</v>
      </c>
    </row>
    <row r="129" spans="1:3" x14ac:dyDescent="0.25">
      <c r="A129" s="8">
        <v>29768</v>
      </c>
      <c r="B129">
        <v>220798</v>
      </c>
      <c r="C129">
        <v>11437</v>
      </c>
    </row>
    <row r="130" spans="1:3" x14ac:dyDescent="0.25">
      <c r="A130" s="8">
        <v>29799</v>
      </c>
      <c r="B130">
        <v>234825</v>
      </c>
      <c r="C130">
        <v>15905</v>
      </c>
    </row>
    <row r="131" spans="1:3" x14ac:dyDescent="0.25">
      <c r="A131" s="8">
        <v>29830</v>
      </c>
      <c r="B131">
        <v>105522</v>
      </c>
      <c r="C131">
        <v>12228</v>
      </c>
    </row>
    <row r="132" spans="1:3" x14ac:dyDescent="0.25">
      <c r="A132" s="8">
        <v>29860</v>
      </c>
      <c r="B132">
        <v>57209</v>
      </c>
      <c r="C132">
        <v>12334</v>
      </c>
    </row>
    <row r="133" spans="1:3" x14ac:dyDescent="0.25">
      <c r="A133" s="8">
        <v>29891</v>
      </c>
      <c r="B133">
        <v>54519</v>
      </c>
      <c r="C133">
        <v>12015</v>
      </c>
    </row>
    <row r="134" spans="1:3" x14ac:dyDescent="0.25">
      <c r="A134" s="8">
        <v>29921</v>
      </c>
      <c r="B134">
        <v>102834</v>
      </c>
      <c r="C134">
        <v>12692</v>
      </c>
    </row>
    <row r="135" spans="1:3" x14ac:dyDescent="0.25">
      <c r="A135" s="8">
        <v>29952</v>
      </c>
      <c r="B135">
        <v>126192</v>
      </c>
      <c r="C135">
        <v>12884</v>
      </c>
    </row>
    <row r="136" spans="1:3" x14ac:dyDescent="0.25">
      <c r="A136" s="8">
        <v>29983</v>
      </c>
      <c r="B136">
        <v>121653</v>
      </c>
      <c r="C136">
        <v>11607</v>
      </c>
    </row>
    <row r="137" spans="1:3" x14ac:dyDescent="0.25">
      <c r="A137" s="8">
        <v>30011</v>
      </c>
      <c r="B137">
        <v>217827</v>
      </c>
      <c r="C137">
        <v>16901</v>
      </c>
    </row>
    <row r="138" spans="1:3" x14ac:dyDescent="0.25">
      <c r="A138" s="8">
        <v>30042</v>
      </c>
      <c r="B138">
        <v>230990</v>
      </c>
      <c r="C138">
        <v>12630</v>
      </c>
    </row>
    <row r="139" spans="1:3" x14ac:dyDescent="0.25">
      <c r="A139" s="8">
        <v>30072</v>
      </c>
      <c r="B139">
        <v>114202</v>
      </c>
      <c r="C139">
        <v>20257</v>
      </c>
    </row>
    <row r="140" spans="1:3" x14ac:dyDescent="0.25">
      <c r="A140" s="8">
        <v>30103</v>
      </c>
      <c r="B140">
        <v>105699</v>
      </c>
      <c r="C140">
        <v>19379</v>
      </c>
    </row>
    <row r="141" spans="1:3" x14ac:dyDescent="0.25">
      <c r="A141" s="8">
        <v>30133</v>
      </c>
      <c r="B141">
        <v>133612</v>
      </c>
      <c r="C141">
        <v>13711</v>
      </c>
    </row>
    <row r="142" spans="1:3" x14ac:dyDescent="0.25">
      <c r="A142" s="8">
        <v>30164</v>
      </c>
      <c r="B142">
        <v>140714</v>
      </c>
      <c r="C142">
        <v>17724</v>
      </c>
    </row>
    <row r="143" spans="1:3" x14ac:dyDescent="0.25">
      <c r="A143" s="8">
        <v>30195</v>
      </c>
      <c r="B143">
        <v>89308</v>
      </c>
      <c r="C143">
        <v>13654</v>
      </c>
    </row>
    <row r="144" spans="1:3" x14ac:dyDescent="0.25">
      <c r="A144" s="8">
        <v>30225</v>
      </c>
      <c r="B144">
        <v>56398</v>
      </c>
      <c r="C144">
        <v>13859</v>
      </c>
    </row>
    <row r="145" spans="1:3" x14ac:dyDescent="0.25">
      <c r="A145" s="8">
        <v>30256</v>
      </c>
      <c r="B145">
        <v>55857</v>
      </c>
      <c r="C145">
        <v>13538</v>
      </c>
    </row>
    <row r="146" spans="1:3" x14ac:dyDescent="0.25">
      <c r="A146" s="8">
        <v>30286</v>
      </c>
      <c r="B146">
        <v>107548</v>
      </c>
      <c r="C146">
        <v>32872</v>
      </c>
    </row>
    <row r="147" spans="1:3" x14ac:dyDescent="0.25">
      <c r="A147" s="8">
        <v>30317</v>
      </c>
      <c r="B147">
        <v>64057</v>
      </c>
      <c r="C147">
        <v>597506</v>
      </c>
    </row>
    <row r="148" spans="1:3" x14ac:dyDescent="0.25">
      <c r="A148" s="8">
        <v>30348</v>
      </c>
      <c r="B148">
        <v>107506</v>
      </c>
      <c r="C148">
        <v>223530</v>
      </c>
    </row>
    <row r="149" spans="1:3" x14ac:dyDescent="0.25">
      <c r="A149" s="8">
        <v>30376</v>
      </c>
      <c r="B149">
        <v>230382</v>
      </c>
      <c r="C149">
        <v>20376</v>
      </c>
    </row>
    <row r="150" spans="1:3" x14ac:dyDescent="0.25">
      <c r="A150" s="8">
        <v>30407</v>
      </c>
      <c r="B150">
        <v>256382</v>
      </c>
      <c r="C150">
        <v>289563</v>
      </c>
    </row>
    <row r="151" spans="1:3" x14ac:dyDescent="0.25">
      <c r="A151" s="8">
        <v>30437</v>
      </c>
      <c r="B151">
        <v>132133</v>
      </c>
      <c r="C151">
        <v>558637</v>
      </c>
    </row>
    <row r="152" spans="1:3" x14ac:dyDescent="0.25">
      <c r="A152" s="8">
        <v>30468</v>
      </c>
      <c r="B152">
        <v>153054</v>
      </c>
      <c r="C152">
        <v>884314</v>
      </c>
    </row>
    <row r="153" spans="1:3" x14ac:dyDescent="0.25">
      <c r="A153" s="8">
        <v>30498</v>
      </c>
      <c r="B153">
        <v>173674</v>
      </c>
      <c r="C153">
        <v>1722338</v>
      </c>
    </row>
    <row r="154" spans="1:3" x14ac:dyDescent="0.25">
      <c r="A154" s="8">
        <v>30529</v>
      </c>
      <c r="B154">
        <v>184881</v>
      </c>
      <c r="C154">
        <v>1855140</v>
      </c>
    </row>
    <row r="155" spans="1:3" x14ac:dyDescent="0.25">
      <c r="A155" s="8">
        <v>30560</v>
      </c>
      <c r="B155">
        <v>124459</v>
      </c>
      <c r="C155">
        <v>1757854</v>
      </c>
    </row>
    <row r="156" spans="1:3" x14ac:dyDescent="0.25">
      <c r="A156" s="8">
        <v>30590</v>
      </c>
      <c r="B156">
        <v>68100</v>
      </c>
      <c r="C156">
        <v>1927177</v>
      </c>
    </row>
    <row r="157" spans="1:3" x14ac:dyDescent="0.25">
      <c r="A157" s="8">
        <v>30621</v>
      </c>
      <c r="B157">
        <v>68100</v>
      </c>
      <c r="C157">
        <v>1487589</v>
      </c>
    </row>
    <row r="158" spans="1:3" x14ac:dyDescent="0.25">
      <c r="A158" s="8">
        <v>30651</v>
      </c>
      <c r="B158">
        <v>137272</v>
      </c>
      <c r="C158">
        <v>1344789</v>
      </c>
    </row>
    <row r="159" spans="1:3" x14ac:dyDescent="0.25">
      <c r="A159" s="8">
        <v>30682</v>
      </c>
      <c r="B159">
        <v>55370</v>
      </c>
      <c r="C159">
        <v>1532085</v>
      </c>
    </row>
    <row r="160" spans="1:3" x14ac:dyDescent="0.25">
      <c r="A160" s="8">
        <v>30713</v>
      </c>
      <c r="B160">
        <v>51798</v>
      </c>
      <c r="C160">
        <v>1349634</v>
      </c>
    </row>
    <row r="161" spans="1:3" x14ac:dyDescent="0.25">
      <c r="A161" s="8">
        <v>30742</v>
      </c>
      <c r="B161">
        <v>248062</v>
      </c>
      <c r="C161">
        <v>1032082</v>
      </c>
    </row>
    <row r="162" spans="1:3" x14ac:dyDescent="0.25">
      <c r="A162" s="8">
        <v>30773</v>
      </c>
      <c r="B162">
        <v>225680</v>
      </c>
      <c r="C162">
        <v>867289</v>
      </c>
    </row>
    <row r="163" spans="1:3" x14ac:dyDescent="0.25">
      <c r="A163" s="8">
        <v>30803</v>
      </c>
      <c r="B163">
        <v>121406</v>
      </c>
      <c r="C163">
        <v>996503</v>
      </c>
    </row>
    <row r="164" spans="1:3" x14ac:dyDescent="0.25">
      <c r="A164" s="8">
        <v>30834</v>
      </c>
      <c r="B164">
        <v>174413</v>
      </c>
      <c r="C164">
        <v>1116892</v>
      </c>
    </row>
    <row r="165" spans="1:3" x14ac:dyDescent="0.25">
      <c r="A165" s="8">
        <v>30864</v>
      </c>
      <c r="B165">
        <v>213546</v>
      </c>
      <c r="C165">
        <v>1255095</v>
      </c>
    </row>
    <row r="166" spans="1:3" x14ac:dyDescent="0.25">
      <c r="A166" s="8">
        <v>30895</v>
      </c>
      <c r="B166">
        <v>233303</v>
      </c>
      <c r="C166">
        <v>1116112</v>
      </c>
    </row>
    <row r="167" spans="1:3" x14ac:dyDescent="0.25">
      <c r="A167" s="8">
        <v>30926</v>
      </c>
      <c r="B167">
        <v>96537</v>
      </c>
      <c r="C167">
        <v>1084685</v>
      </c>
    </row>
    <row r="168" spans="1:3" x14ac:dyDescent="0.25">
      <c r="A168" s="8">
        <v>30956</v>
      </c>
      <c r="B168">
        <v>67170</v>
      </c>
      <c r="C168">
        <v>1129428</v>
      </c>
    </row>
    <row r="169" spans="1:3" x14ac:dyDescent="0.25">
      <c r="A169" s="8">
        <v>30987</v>
      </c>
      <c r="B169">
        <v>56749</v>
      </c>
      <c r="C169">
        <v>1164716</v>
      </c>
    </row>
    <row r="170" spans="1:3" x14ac:dyDescent="0.25">
      <c r="A170" s="8">
        <v>31017</v>
      </c>
      <c r="B170">
        <v>155966</v>
      </c>
      <c r="C170">
        <v>1274111</v>
      </c>
    </row>
    <row r="171" spans="1:3" x14ac:dyDescent="0.25">
      <c r="A171" s="8">
        <v>31048</v>
      </c>
      <c r="B171">
        <v>55371</v>
      </c>
      <c r="C171">
        <v>1339821</v>
      </c>
    </row>
    <row r="172" spans="1:3" x14ac:dyDescent="0.25">
      <c r="A172" s="8">
        <v>31079</v>
      </c>
      <c r="B172">
        <v>50013</v>
      </c>
      <c r="C172">
        <v>1282499</v>
      </c>
    </row>
    <row r="173" spans="1:3" x14ac:dyDescent="0.25">
      <c r="A173" s="8">
        <v>31107</v>
      </c>
      <c r="B173">
        <v>99149</v>
      </c>
      <c r="C173">
        <v>1039808</v>
      </c>
    </row>
    <row r="174" spans="1:3" x14ac:dyDescent="0.25">
      <c r="A174" s="8">
        <v>31138</v>
      </c>
      <c r="B174">
        <v>248962</v>
      </c>
      <c r="C174">
        <v>535687</v>
      </c>
    </row>
    <row r="175" spans="1:3" x14ac:dyDescent="0.25">
      <c r="A175" s="8">
        <v>31168</v>
      </c>
      <c r="B175">
        <v>145855</v>
      </c>
      <c r="C175">
        <v>720189</v>
      </c>
    </row>
    <row r="176" spans="1:3" x14ac:dyDescent="0.25">
      <c r="A176" s="8">
        <v>31199</v>
      </c>
      <c r="B176">
        <v>191228</v>
      </c>
      <c r="C176">
        <v>764169</v>
      </c>
    </row>
    <row r="177" spans="1:3" x14ac:dyDescent="0.25">
      <c r="A177" s="8">
        <v>31229</v>
      </c>
      <c r="B177">
        <v>246023</v>
      </c>
      <c r="C177">
        <v>730940</v>
      </c>
    </row>
    <row r="178" spans="1:3" x14ac:dyDescent="0.25">
      <c r="A178" s="8">
        <v>31260</v>
      </c>
      <c r="B178">
        <v>248707</v>
      </c>
      <c r="C178">
        <v>713020</v>
      </c>
    </row>
    <row r="179" spans="1:3" x14ac:dyDescent="0.25">
      <c r="A179" s="8">
        <v>31291</v>
      </c>
      <c r="B179">
        <v>105700</v>
      </c>
      <c r="C179">
        <v>899773</v>
      </c>
    </row>
    <row r="180" spans="1:3" x14ac:dyDescent="0.25">
      <c r="A180" s="8">
        <v>31321</v>
      </c>
      <c r="B180">
        <v>66297</v>
      </c>
      <c r="C180">
        <v>720311</v>
      </c>
    </row>
    <row r="181" spans="1:3" x14ac:dyDescent="0.25">
      <c r="A181" s="8">
        <v>31352</v>
      </c>
      <c r="B181">
        <v>66463</v>
      </c>
      <c r="C181">
        <v>682557</v>
      </c>
    </row>
    <row r="182" spans="1:3" x14ac:dyDescent="0.25">
      <c r="A182" s="8">
        <v>31382</v>
      </c>
      <c r="B182">
        <v>176232</v>
      </c>
      <c r="C182">
        <v>812228</v>
      </c>
    </row>
    <row r="183" spans="1:3" x14ac:dyDescent="0.25">
      <c r="A183" s="8">
        <v>31413</v>
      </c>
      <c r="B183">
        <v>55371</v>
      </c>
      <c r="C183">
        <v>1007788</v>
      </c>
    </row>
    <row r="184" spans="1:3" x14ac:dyDescent="0.25">
      <c r="A184" s="8">
        <v>31444</v>
      </c>
      <c r="B184">
        <v>50013</v>
      </c>
      <c r="C184">
        <v>736348</v>
      </c>
    </row>
    <row r="185" spans="1:3" x14ac:dyDescent="0.25">
      <c r="A185" s="8">
        <v>31472</v>
      </c>
      <c r="B185">
        <v>92285</v>
      </c>
      <c r="C185">
        <v>841034</v>
      </c>
    </row>
    <row r="186" spans="1:3" x14ac:dyDescent="0.25">
      <c r="A186" s="8">
        <v>31503</v>
      </c>
      <c r="B186">
        <v>226997</v>
      </c>
      <c r="C186">
        <v>544198</v>
      </c>
    </row>
    <row r="187" spans="1:3" x14ac:dyDescent="0.25">
      <c r="A187" s="8">
        <v>31533</v>
      </c>
      <c r="B187">
        <v>162142</v>
      </c>
      <c r="C187">
        <v>969946</v>
      </c>
    </row>
    <row r="188" spans="1:3" x14ac:dyDescent="0.25">
      <c r="A188" s="8">
        <v>31564</v>
      </c>
      <c r="B188">
        <v>183074</v>
      </c>
      <c r="C188">
        <v>929757</v>
      </c>
    </row>
    <row r="189" spans="1:3" x14ac:dyDescent="0.25">
      <c r="A189" s="8">
        <v>31594</v>
      </c>
      <c r="B189">
        <v>223159</v>
      </c>
      <c r="C189">
        <v>746046</v>
      </c>
    </row>
    <row r="190" spans="1:3" x14ac:dyDescent="0.25">
      <c r="A190" s="8">
        <v>31625</v>
      </c>
      <c r="B190">
        <v>223556</v>
      </c>
      <c r="C190">
        <v>668751</v>
      </c>
    </row>
    <row r="191" spans="1:3" x14ac:dyDescent="0.25">
      <c r="A191" s="8">
        <v>31656</v>
      </c>
      <c r="B191">
        <v>117749</v>
      </c>
      <c r="C191">
        <v>706419</v>
      </c>
    </row>
    <row r="192" spans="1:3" x14ac:dyDescent="0.25">
      <c r="A192" s="8">
        <v>31686</v>
      </c>
      <c r="B192">
        <v>87151</v>
      </c>
      <c r="C192">
        <v>713903</v>
      </c>
    </row>
    <row r="193" spans="1:3" x14ac:dyDescent="0.25">
      <c r="A193" s="8">
        <v>31717</v>
      </c>
      <c r="B193">
        <v>101339</v>
      </c>
      <c r="C193">
        <v>614465</v>
      </c>
    </row>
    <row r="194" spans="1:3" x14ac:dyDescent="0.25">
      <c r="A194" s="8">
        <v>31747</v>
      </c>
      <c r="B194">
        <v>177164</v>
      </c>
      <c r="C194">
        <v>745126</v>
      </c>
    </row>
    <row r="195" spans="1:3" x14ac:dyDescent="0.25">
      <c r="A195" s="8">
        <v>31778</v>
      </c>
      <c r="B195">
        <v>55371</v>
      </c>
      <c r="C195">
        <v>1030559</v>
      </c>
    </row>
    <row r="196" spans="1:3" x14ac:dyDescent="0.25">
      <c r="A196" s="8">
        <v>31809</v>
      </c>
      <c r="B196">
        <v>62173</v>
      </c>
      <c r="C196">
        <v>703819</v>
      </c>
    </row>
    <row r="197" spans="1:3" x14ac:dyDescent="0.25">
      <c r="A197" s="8">
        <v>31837</v>
      </c>
      <c r="B197">
        <v>198624</v>
      </c>
      <c r="C197">
        <v>351467</v>
      </c>
    </row>
    <row r="198" spans="1:3" x14ac:dyDescent="0.25">
      <c r="A198" s="8">
        <v>31868</v>
      </c>
      <c r="B198">
        <v>219701</v>
      </c>
      <c r="C198">
        <v>70085</v>
      </c>
    </row>
    <row r="199" spans="1:3" x14ac:dyDescent="0.25">
      <c r="A199" s="8">
        <v>31898</v>
      </c>
      <c r="B199">
        <v>129714</v>
      </c>
      <c r="C199">
        <v>91182</v>
      </c>
    </row>
    <row r="200" spans="1:3" x14ac:dyDescent="0.25">
      <c r="A200" s="8">
        <v>31929</v>
      </c>
      <c r="B200">
        <v>175113</v>
      </c>
      <c r="C200">
        <v>60006</v>
      </c>
    </row>
    <row r="201" spans="1:3" x14ac:dyDescent="0.25">
      <c r="A201" s="8">
        <v>31959</v>
      </c>
      <c r="B201">
        <v>210784</v>
      </c>
      <c r="C201">
        <v>43663</v>
      </c>
    </row>
    <row r="202" spans="1:3" x14ac:dyDescent="0.25">
      <c r="A202" s="8">
        <v>31990</v>
      </c>
      <c r="B202">
        <v>222945</v>
      </c>
      <c r="C202">
        <v>6433</v>
      </c>
    </row>
    <row r="203" spans="1:3" x14ac:dyDescent="0.25">
      <c r="A203" s="8">
        <v>32021</v>
      </c>
      <c r="B203">
        <v>113499</v>
      </c>
      <c r="C203">
        <v>133788</v>
      </c>
    </row>
    <row r="204" spans="1:3" x14ac:dyDescent="0.25">
      <c r="A204" s="8">
        <v>32051</v>
      </c>
      <c r="B204">
        <v>77017</v>
      </c>
      <c r="C204">
        <v>183975</v>
      </c>
    </row>
    <row r="205" spans="1:3" x14ac:dyDescent="0.25">
      <c r="A205" s="8">
        <v>32082</v>
      </c>
      <c r="B205">
        <v>89178</v>
      </c>
      <c r="C205">
        <v>98251</v>
      </c>
    </row>
    <row r="206" spans="1:3" x14ac:dyDescent="0.25">
      <c r="A206" s="8">
        <v>32112</v>
      </c>
      <c r="B206">
        <v>145881</v>
      </c>
      <c r="C206">
        <v>213096</v>
      </c>
    </row>
    <row r="207" spans="1:3" x14ac:dyDescent="0.25">
      <c r="A207" s="8">
        <v>32143</v>
      </c>
      <c r="B207">
        <v>58417</v>
      </c>
      <c r="C207">
        <v>360924</v>
      </c>
    </row>
    <row r="208" spans="1:3" x14ac:dyDescent="0.25">
      <c r="A208" s="8">
        <v>32174</v>
      </c>
      <c r="B208">
        <v>113256</v>
      </c>
      <c r="C208">
        <v>134418</v>
      </c>
    </row>
    <row r="209" spans="1:3" x14ac:dyDescent="0.25">
      <c r="A209" s="8">
        <v>32203</v>
      </c>
      <c r="B209">
        <v>224852</v>
      </c>
      <c r="C209">
        <v>19101</v>
      </c>
    </row>
    <row r="210" spans="1:3" x14ac:dyDescent="0.25">
      <c r="A210" s="8">
        <v>32234</v>
      </c>
      <c r="B210">
        <v>218618</v>
      </c>
      <c r="C210">
        <v>21598</v>
      </c>
    </row>
    <row r="211" spans="1:3" x14ac:dyDescent="0.25">
      <c r="A211" s="8">
        <v>32264</v>
      </c>
      <c r="B211">
        <v>124798</v>
      </c>
      <c r="C211">
        <v>13917</v>
      </c>
    </row>
    <row r="212" spans="1:3" x14ac:dyDescent="0.25">
      <c r="A212" s="8">
        <v>32295</v>
      </c>
      <c r="B212">
        <v>158616</v>
      </c>
      <c r="C212">
        <v>11486</v>
      </c>
    </row>
    <row r="213" spans="1:3" x14ac:dyDescent="0.25">
      <c r="A213" s="8">
        <v>32325</v>
      </c>
      <c r="B213">
        <v>218206</v>
      </c>
      <c r="C213">
        <v>9394</v>
      </c>
    </row>
    <row r="214" spans="1:3" x14ac:dyDescent="0.25">
      <c r="A214" s="8">
        <v>32356</v>
      </c>
      <c r="B214">
        <v>215150</v>
      </c>
      <c r="C214">
        <v>68410</v>
      </c>
    </row>
    <row r="215" spans="1:3" x14ac:dyDescent="0.25">
      <c r="A215" s="8">
        <v>32387</v>
      </c>
      <c r="B215">
        <v>89308</v>
      </c>
      <c r="C215">
        <v>35191</v>
      </c>
    </row>
    <row r="216" spans="1:3" x14ac:dyDescent="0.25">
      <c r="A216" s="8">
        <v>32417</v>
      </c>
      <c r="B216">
        <v>73852</v>
      </c>
      <c r="C216">
        <v>36189</v>
      </c>
    </row>
    <row r="217" spans="1:3" x14ac:dyDescent="0.25">
      <c r="A217" s="8">
        <v>32448</v>
      </c>
      <c r="B217">
        <v>87007</v>
      </c>
      <c r="C217">
        <v>22656</v>
      </c>
    </row>
    <row r="218" spans="1:3" x14ac:dyDescent="0.25">
      <c r="A218" s="8">
        <v>32478</v>
      </c>
      <c r="B218">
        <v>117920</v>
      </c>
      <c r="C218">
        <v>25603</v>
      </c>
    </row>
    <row r="219" spans="1:3" x14ac:dyDescent="0.25">
      <c r="A219" s="8">
        <v>32509</v>
      </c>
      <c r="B219">
        <v>85074</v>
      </c>
      <c r="C219">
        <v>50628</v>
      </c>
    </row>
    <row r="220" spans="1:3" x14ac:dyDescent="0.25">
      <c r="A220" s="8">
        <v>32540</v>
      </c>
      <c r="B220">
        <v>103941</v>
      </c>
      <c r="C220">
        <v>14938</v>
      </c>
    </row>
    <row r="221" spans="1:3" x14ac:dyDescent="0.25">
      <c r="A221" s="8">
        <v>32568</v>
      </c>
      <c r="B221">
        <v>175154</v>
      </c>
      <c r="C221">
        <v>13211</v>
      </c>
    </row>
    <row r="222" spans="1:3" x14ac:dyDescent="0.25">
      <c r="A222" s="8">
        <v>32599</v>
      </c>
      <c r="B222">
        <v>216955</v>
      </c>
      <c r="C222">
        <v>10341</v>
      </c>
    </row>
    <row r="223" spans="1:3" x14ac:dyDescent="0.25">
      <c r="A223" s="8">
        <v>32629</v>
      </c>
      <c r="B223">
        <v>139775</v>
      </c>
      <c r="C223">
        <v>10697</v>
      </c>
    </row>
    <row r="224" spans="1:3" x14ac:dyDescent="0.25">
      <c r="A224" s="8">
        <v>32660</v>
      </c>
      <c r="B224">
        <v>111692</v>
      </c>
      <c r="C224">
        <v>7665</v>
      </c>
    </row>
    <row r="225" spans="1:3" x14ac:dyDescent="0.25">
      <c r="A225" s="8">
        <v>32690</v>
      </c>
      <c r="B225">
        <v>170339</v>
      </c>
      <c r="C225">
        <v>21276</v>
      </c>
    </row>
    <row r="226" spans="1:3" x14ac:dyDescent="0.25">
      <c r="A226" s="8">
        <v>32721</v>
      </c>
      <c r="B226">
        <v>174040</v>
      </c>
      <c r="C226">
        <v>25156</v>
      </c>
    </row>
    <row r="227" spans="1:3" x14ac:dyDescent="0.25">
      <c r="A227" s="8">
        <v>32752</v>
      </c>
      <c r="B227">
        <v>92064</v>
      </c>
      <c r="C227">
        <v>23692</v>
      </c>
    </row>
    <row r="228" spans="1:3" x14ac:dyDescent="0.25">
      <c r="A228" s="8">
        <v>32782</v>
      </c>
      <c r="B228">
        <v>64451</v>
      </c>
      <c r="C228">
        <v>22852</v>
      </c>
    </row>
    <row r="229" spans="1:3" x14ac:dyDescent="0.25">
      <c r="A229" s="8">
        <v>32813</v>
      </c>
      <c r="B229">
        <v>69754</v>
      </c>
      <c r="C229">
        <v>13998</v>
      </c>
    </row>
    <row r="230" spans="1:3" x14ac:dyDescent="0.25">
      <c r="A230" s="8">
        <v>32843</v>
      </c>
      <c r="B230">
        <v>96761</v>
      </c>
      <c r="C230">
        <v>13778</v>
      </c>
    </row>
    <row r="231" spans="1:3" x14ac:dyDescent="0.25">
      <c r="A231" s="8">
        <v>32874</v>
      </c>
      <c r="B231">
        <v>103994</v>
      </c>
      <c r="C231">
        <v>2760</v>
      </c>
    </row>
    <row r="232" spans="1:3" x14ac:dyDescent="0.25">
      <c r="A232" s="8">
        <v>32905</v>
      </c>
      <c r="B232">
        <v>125255</v>
      </c>
      <c r="C232">
        <v>25</v>
      </c>
    </row>
    <row r="233" spans="1:3" x14ac:dyDescent="0.25">
      <c r="A233" s="8">
        <v>32933</v>
      </c>
      <c r="B233">
        <v>175390</v>
      </c>
      <c r="C233">
        <v>276</v>
      </c>
    </row>
    <row r="234" spans="1:3" x14ac:dyDescent="0.25">
      <c r="A234" s="8">
        <v>32964</v>
      </c>
      <c r="B234">
        <v>182238</v>
      </c>
      <c r="C234">
        <v>431</v>
      </c>
    </row>
    <row r="235" spans="1:3" x14ac:dyDescent="0.25">
      <c r="A235" s="8">
        <v>32994</v>
      </c>
      <c r="B235">
        <v>110135</v>
      </c>
      <c r="C235">
        <v>334</v>
      </c>
    </row>
    <row r="236" spans="1:3" x14ac:dyDescent="0.25">
      <c r="A236" s="8">
        <v>33025</v>
      </c>
      <c r="B236">
        <v>150213</v>
      </c>
      <c r="C236">
        <v>259</v>
      </c>
    </row>
    <row r="237" spans="1:3" x14ac:dyDescent="0.25">
      <c r="A237" s="8">
        <v>33055</v>
      </c>
      <c r="B237">
        <v>164774</v>
      </c>
      <c r="C237">
        <v>278</v>
      </c>
    </row>
    <row r="238" spans="1:3" x14ac:dyDescent="0.25">
      <c r="A238" s="8">
        <v>33086</v>
      </c>
      <c r="B238">
        <v>140486</v>
      </c>
      <c r="C238">
        <v>21940</v>
      </c>
    </row>
    <row r="239" spans="1:3" x14ac:dyDescent="0.25">
      <c r="A239" s="8">
        <v>33117</v>
      </c>
      <c r="B239">
        <v>90381</v>
      </c>
      <c r="C239">
        <v>12500</v>
      </c>
    </row>
    <row r="240" spans="1:3" x14ac:dyDescent="0.25">
      <c r="A240" s="8">
        <v>33147</v>
      </c>
      <c r="B240">
        <v>78639</v>
      </c>
      <c r="C240">
        <v>2761</v>
      </c>
    </row>
    <row r="241" spans="1:3" x14ac:dyDescent="0.25">
      <c r="A241" s="8">
        <v>33178</v>
      </c>
      <c r="B241">
        <v>81070</v>
      </c>
      <c r="C241">
        <v>158</v>
      </c>
    </row>
    <row r="242" spans="1:3" x14ac:dyDescent="0.25">
      <c r="A242" s="8">
        <v>33208</v>
      </c>
      <c r="B242">
        <v>97425</v>
      </c>
      <c r="C242">
        <v>266</v>
      </c>
    </row>
    <row r="243" spans="1:3" x14ac:dyDescent="0.25">
      <c r="A243" s="8">
        <v>33239</v>
      </c>
      <c r="B243">
        <v>111495</v>
      </c>
      <c r="C243">
        <v>13912</v>
      </c>
    </row>
    <row r="244" spans="1:3" x14ac:dyDescent="0.25">
      <c r="A244" s="8">
        <v>33270</v>
      </c>
      <c r="B244">
        <v>113499</v>
      </c>
      <c r="C244">
        <v>237</v>
      </c>
    </row>
    <row r="245" spans="1:3" x14ac:dyDescent="0.25">
      <c r="A245" s="8">
        <v>33298</v>
      </c>
      <c r="B245">
        <v>170667</v>
      </c>
      <c r="C245">
        <v>647</v>
      </c>
    </row>
    <row r="246" spans="1:3" x14ac:dyDescent="0.25">
      <c r="A246" s="8">
        <v>33329</v>
      </c>
      <c r="B246">
        <v>189152</v>
      </c>
      <c r="C246">
        <v>247</v>
      </c>
    </row>
    <row r="247" spans="1:3" x14ac:dyDescent="0.25">
      <c r="A247" s="8">
        <v>33359</v>
      </c>
      <c r="B247">
        <v>119253</v>
      </c>
      <c r="C247">
        <v>209</v>
      </c>
    </row>
    <row r="248" spans="1:3" x14ac:dyDescent="0.25">
      <c r="A248" s="8">
        <v>33390</v>
      </c>
      <c r="B248">
        <v>146509</v>
      </c>
      <c r="C248">
        <v>108</v>
      </c>
    </row>
    <row r="249" spans="1:3" x14ac:dyDescent="0.25">
      <c r="A249" s="8">
        <v>33420</v>
      </c>
      <c r="B249">
        <v>169089</v>
      </c>
      <c r="C249">
        <v>59</v>
      </c>
    </row>
    <row r="250" spans="1:3" x14ac:dyDescent="0.25">
      <c r="A250" s="8">
        <v>33451</v>
      </c>
      <c r="B250">
        <v>141168</v>
      </c>
      <c r="C250">
        <v>451</v>
      </c>
    </row>
    <row r="251" spans="1:3" x14ac:dyDescent="0.25">
      <c r="A251" s="8">
        <v>33482</v>
      </c>
      <c r="B251">
        <v>89470</v>
      </c>
      <c r="C251">
        <v>2717</v>
      </c>
    </row>
    <row r="252" spans="1:3" x14ac:dyDescent="0.25">
      <c r="A252" s="8">
        <v>33512</v>
      </c>
      <c r="B252">
        <v>73778</v>
      </c>
      <c r="C252">
        <v>336</v>
      </c>
    </row>
    <row r="253" spans="1:3" x14ac:dyDescent="0.25">
      <c r="A253" s="8">
        <v>33543</v>
      </c>
      <c r="B253">
        <v>78639</v>
      </c>
      <c r="C253">
        <v>276</v>
      </c>
    </row>
    <row r="254" spans="1:3" x14ac:dyDescent="0.25">
      <c r="A254" s="8">
        <v>33573</v>
      </c>
      <c r="B254">
        <v>97284</v>
      </c>
      <c r="C254">
        <v>1674</v>
      </c>
    </row>
    <row r="255" spans="1:3" x14ac:dyDescent="0.25">
      <c r="A255" s="8">
        <v>33604</v>
      </c>
      <c r="B255">
        <v>117179</v>
      </c>
      <c r="C255">
        <v>378</v>
      </c>
    </row>
    <row r="256" spans="1:3" x14ac:dyDescent="0.25">
      <c r="A256" s="8">
        <v>33635</v>
      </c>
      <c r="B256">
        <v>126168</v>
      </c>
      <c r="C256">
        <v>143</v>
      </c>
    </row>
    <row r="257" spans="1:3" x14ac:dyDescent="0.25">
      <c r="A257" s="8">
        <v>33664</v>
      </c>
      <c r="B257">
        <v>183818</v>
      </c>
      <c r="C257">
        <v>13796</v>
      </c>
    </row>
    <row r="258" spans="1:3" x14ac:dyDescent="0.25">
      <c r="A258" s="8">
        <v>33695</v>
      </c>
      <c r="B258">
        <v>177259</v>
      </c>
      <c r="C258">
        <v>13407</v>
      </c>
    </row>
    <row r="259" spans="1:3" x14ac:dyDescent="0.25">
      <c r="A259" s="8">
        <v>33725</v>
      </c>
      <c r="B259">
        <v>111058</v>
      </c>
      <c r="C259">
        <v>12141</v>
      </c>
    </row>
    <row r="260" spans="1:3" x14ac:dyDescent="0.25">
      <c r="A260" s="8">
        <v>33756</v>
      </c>
      <c r="B260">
        <v>124184</v>
      </c>
      <c r="C260">
        <v>386</v>
      </c>
    </row>
    <row r="261" spans="1:3" x14ac:dyDescent="0.25">
      <c r="A261" s="8">
        <v>33786</v>
      </c>
      <c r="B261">
        <v>158383</v>
      </c>
      <c r="C261">
        <v>83</v>
      </c>
    </row>
    <row r="262" spans="1:3" x14ac:dyDescent="0.25">
      <c r="A262" s="8">
        <v>33817</v>
      </c>
      <c r="B262">
        <v>128234</v>
      </c>
      <c r="C262">
        <v>17924</v>
      </c>
    </row>
    <row r="263" spans="1:3" x14ac:dyDescent="0.25">
      <c r="A263" s="8">
        <v>33848</v>
      </c>
      <c r="B263">
        <v>95644</v>
      </c>
      <c r="C263">
        <v>753</v>
      </c>
    </row>
    <row r="264" spans="1:3" x14ac:dyDescent="0.25">
      <c r="A264" s="8">
        <v>33878</v>
      </c>
      <c r="B264">
        <v>73775</v>
      </c>
      <c r="C264">
        <v>12545</v>
      </c>
    </row>
    <row r="265" spans="1:3" x14ac:dyDescent="0.25">
      <c r="A265" s="8">
        <v>33909</v>
      </c>
      <c r="B265">
        <v>86745</v>
      </c>
      <c r="C265">
        <v>1466</v>
      </c>
    </row>
    <row r="266" spans="1:3" x14ac:dyDescent="0.25">
      <c r="A266" s="8">
        <v>33939</v>
      </c>
      <c r="B266">
        <v>117553</v>
      </c>
      <c r="C266">
        <v>7710</v>
      </c>
    </row>
    <row r="267" spans="1:3" x14ac:dyDescent="0.25">
      <c r="A267" s="8">
        <v>33970</v>
      </c>
      <c r="B267">
        <v>136548</v>
      </c>
      <c r="C267">
        <v>129015</v>
      </c>
    </row>
    <row r="268" spans="1:3" x14ac:dyDescent="0.25">
      <c r="A268" s="8">
        <v>34001</v>
      </c>
      <c r="B268">
        <v>143430</v>
      </c>
      <c r="C268">
        <v>451669</v>
      </c>
    </row>
    <row r="269" spans="1:3" x14ac:dyDescent="0.25">
      <c r="A269" s="8">
        <v>34029</v>
      </c>
      <c r="B269">
        <v>159095</v>
      </c>
      <c r="C269">
        <v>1180811</v>
      </c>
    </row>
    <row r="270" spans="1:3" x14ac:dyDescent="0.25">
      <c r="A270" s="8">
        <v>34060</v>
      </c>
      <c r="B270">
        <v>142699</v>
      </c>
      <c r="C270">
        <v>795122</v>
      </c>
    </row>
    <row r="271" spans="1:3" x14ac:dyDescent="0.25">
      <c r="A271" s="8">
        <v>34090</v>
      </c>
      <c r="B271">
        <v>110782</v>
      </c>
      <c r="C271">
        <v>452938</v>
      </c>
    </row>
    <row r="272" spans="1:3" x14ac:dyDescent="0.25">
      <c r="A272" s="8">
        <v>34121</v>
      </c>
      <c r="B272">
        <v>117136</v>
      </c>
      <c r="C272">
        <v>199878</v>
      </c>
    </row>
    <row r="273" spans="1:3" x14ac:dyDescent="0.25">
      <c r="A273" s="8">
        <v>34151</v>
      </c>
      <c r="B273">
        <v>151813</v>
      </c>
      <c r="C273">
        <v>64253</v>
      </c>
    </row>
    <row r="274" spans="1:3" x14ac:dyDescent="0.25">
      <c r="A274" s="8">
        <v>34182</v>
      </c>
      <c r="B274">
        <v>142245</v>
      </c>
      <c r="C274">
        <v>52663</v>
      </c>
    </row>
    <row r="275" spans="1:3" x14ac:dyDescent="0.25">
      <c r="A275" s="8">
        <v>34213</v>
      </c>
      <c r="B275">
        <v>111858</v>
      </c>
      <c r="C275">
        <v>67664</v>
      </c>
    </row>
    <row r="276" spans="1:3" x14ac:dyDescent="0.25">
      <c r="A276" s="8">
        <v>34243</v>
      </c>
      <c r="B276">
        <v>69721</v>
      </c>
      <c r="C276">
        <v>143246</v>
      </c>
    </row>
    <row r="277" spans="1:3" x14ac:dyDescent="0.25">
      <c r="A277" s="8">
        <v>34274</v>
      </c>
      <c r="B277">
        <v>98906</v>
      </c>
      <c r="C277">
        <v>125747</v>
      </c>
    </row>
    <row r="278" spans="1:3" x14ac:dyDescent="0.25">
      <c r="A278" s="8">
        <v>34304</v>
      </c>
      <c r="B278">
        <v>133767</v>
      </c>
      <c r="C278">
        <v>29766</v>
      </c>
    </row>
    <row r="279" spans="1:3" x14ac:dyDescent="0.25">
      <c r="A279" s="8">
        <v>34335</v>
      </c>
      <c r="B279">
        <v>124849</v>
      </c>
      <c r="C279">
        <v>152</v>
      </c>
    </row>
    <row r="280" spans="1:3" x14ac:dyDescent="0.25">
      <c r="A280" s="8">
        <v>34366</v>
      </c>
      <c r="B280">
        <v>154035</v>
      </c>
      <c r="C280">
        <v>78</v>
      </c>
    </row>
    <row r="281" spans="1:3" x14ac:dyDescent="0.25">
      <c r="A281" s="8">
        <v>34394</v>
      </c>
      <c r="B281">
        <v>204299</v>
      </c>
      <c r="C281">
        <v>674</v>
      </c>
    </row>
    <row r="282" spans="1:3" x14ac:dyDescent="0.25">
      <c r="A282" s="8">
        <v>34425</v>
      </c>
      <c r="B282">
        <v>175113</v>
      </c>
      <c r="C282">
        <v>119</v>
      </c>
    </row>
    <row r="283" spans="1:3" x14ac:dyDescent="0.25">
      <c r="A283" s="8">
        <v>34455</v>
      </c>
      <c r="B283">
        <v>129713</v>
      </c>
      <c r="C283">
        <v>3318</v>
      </c>
    </row>
    <row r="284" spans="1:3" x14ac:dyDescent="0.25">
      <c r="A284" s="8">
        <v>34486</v>
      </c>
      <c r="B284">
        <v>124039</v>
      </c>
      <c r="C284">
        <v>63</v>
      </c>
    </row>
    <row r="285" spans="1:3" x14ac:dyDescent="0.25">
      <c r="A285" s="8">
        <v>34516</v>
      </c>
      <c r="B285">
        <v>127282</v>
      </c>
      <c r="C285">
        <v>129</v>
      </c>
    </row>
    <row r="286" spans="1:3" x14ac:dyDescent="0.25">
      <c r="A286" s="8">
        <v>34547</v>
      </c>
      <c r="B286">
        <v>108824</v>
      </c>
      <c r="C286">
        <v>1964</v>
      </c>
    </row>
    <row r="287" spans="1:3" x14ac:dyDescent="0.25">
      <c r="A287" s="8">
        <v>34578</v>
      </c>
      <c r="B287">
        <v>100527</v>
      </c>
      <c r="C287">
        <v>775</v>
      </c>
    </row>
    <row r="288" spans="1:3" x14ac:dyDescent="0.25">
      <c r="A288" s="8">
        <v>34608</v>
      </c>
      <c r="B288">
        <v>72964</v>
      </c>
      <c r="C288">
        <v>671</v>
      </c>
    </row>
    <row r="289" spans="1:3" x14ac:dyDescent="0.25">
      <c r="A289" s="8">
        <v>34639</v>
      </c>
      <c r="B289">
        <v>82191</v>
      </c>
      <c r="C289">
        <v>3700</v>
      </c>
    </row>
    <row r="290" spans="1:3" x14ac:dyDescent="0.25">
      <c r="A290" s="8">
        <v>34669</v>
      </c>
      <c r="B290">
        <v>96164</v>
      </c>
      <c r="C290">
        <v>13877</v>
      </c>
    </row>
    <row r="291" spans="1:3" x14ac:dyDescent="0.25">
      <c r="A291" s="8">
        <v>34700</v>
      </c>
      <c r="B291">
        <v>124463</v>
      </c>
      <c r="C291">
        <v>7485</v>
      </c>
    </row>
    <row r="292" spans="1:3" x14ac:dyDescent="0.25">
      <c r="A292" s="8">
        <v>34731</v>
      </c>
      <c r="B292">
        <v>163088</v>
      </c>
      <c r="C292">
        <v>1083</v>
      </c>
    </row>
    <row r="293" spans="1:3" x14ac:dyDescent="0.25">
      <c r="A293" s="8">
        <v>34759</v>
      </c>
      <c r="B293">
        <v>183314</v>
      </c>
      <c r="C293">
        <v>65</v>
      </c>
    </row>
    <row r="294" spans="1:3" x14ac:dyDescent="0.25">
      <c r="A294" s="8">
        <v>34790</v>
      </c>
      <c r="B294">
        <v>157029</v>
      </c>
      <c r="C294">
        <v>19150</v>
      </c>
    </row>
    <row r="295" spans="1:3" x14ac:dyDescent="0.25">
      <c r="A295" s="8">
        <v>34820</v>
      </c>
      <c r="B295">
        <v>151189</v>
      </c>
      <c r="C295">
        <v>23216</v>
      </c>
    </row>
    <row r="296" spans="1:3" x14ac:dyDescent="0.25">
      <c r="A296" s="8">
        <v>34851</v>
      </c>
      <c r="B296">
        <v>118256</v>
      </c>
      <c r="C296">
        <v>75538</v>
      </c>
    </row>
    <row r="297" spans="1:3" x14ac:dyDescent="0.25">
      <c r="A297" s="8">
        <v>34881</v>
      </c>
      <c r="B297">
        <v>125994</v>
      </c>
      <c r="C297">
        <v>78315</v>
      </c>
    </row>
    <row r="298" spans="1:3" x14ac:dyDescent="0.25">
      <c r="A298" s="8">
        <v>34912</v>
      </c>
      <c r="B298">
        <v>95786</v>
      </c>
      <c r="C298">
        <v>5581</v>
      </c>
    </row>
    <row r="299" spans="1:3" x14ac:dyDescent="0.25">
      <c r="A299" s="8">
        <v>34943</v>
      </c>
      <c r="B299">
        <v>92420</v>
      </c>
      <c r="C299">
        <v>245</v>
      </c>
    </row>
    <row r="300" spans="1:3" x14ac:dyDescent="0.25">
      <c r="A300" s="8">
        <v>34973</v>
      </c>
      <c r="B300">
        <v>80232</v>
      </c>
      <c r="C300">
        <v>691</v>
      </c>
    </row>
    <row r="301" spans="1:3" x14ac:dyDescent="0.25">
      <c r="A301" s="8">
        <v>35004</v>
      </c>
      <c r="B301">
        <v>105392</v>
      </c>
      <c r="C301">
        <v>833</v>
      </c>
    </row>
    <row r="302" spans="1:3" x14ac:dyDescent="0.25">
      <c r="A302" s="8">
        <v>35034</v>
      </c>
      <c r="B302">
        <v>102838</v>
      </c>
      <c r="C302">
        <v>121</v>
      </c>
    </row>
    <row r="303" spans="1:3" x14ac:dyDescent="0.25">
      <c r="A303" s="8">
        <v>35065</v>
      </c>
      <c r="B303">
        <v>100826</v>
      </c>
      <c r="C303">
        <v>113</v>
      </c>
    </row>
    <row r="304" spans="1:3" x14ac:dyDescent="0.25">
      <c r="A304" s="8">
        <v>35096</v>
      </c>
      <c r="B304">
        <v>145880</v>
      </c>
      <c r="C304">
        <v>281</v>
      </c>
    </row>
    <row r="305" spans="1:3" x14ac:dyDescent="0.25">
      <c r="A305" s="8">
        <v>35125</v>
      </c>
      <c r="B305">
        <v>186671</v>
      </c>
      <c r="C305">
        <v>238</v>
      </c>
    </row>
    <row r="306" spans="1:3" x14ac:dyDescent="0.25">
      <c r="A306" s="8">
        <v>35156</v>
      </c>
      <c r="B306">
        <v>170465</v>
      </c>
      <c r="C306">
        <v>421</v>
      </c>
    </row>
    <row r="307" spans="1:3" x14ac:dyDescent="0.25">
      <c r="A307" s="8">
        <v>35186</v>
      </c>
      <c r="B307">
        <v>180767</v>
      </c>
      <c r="C307">
        <v>94</v>
      </c>
    </row>
    <row r="308" spans="1:3" x14ac:dyDescent="0.25">
      <c r="A308" s="8">
        <v>35217</v>
      </c>
      <c r="B308">
        <v>183197</v>
      </c>
      <c r="C308">
        <v>441</v>
      </c>
    </row>
    <row r="309" spans="1:3" x14ac:dyDescent="0.25">
      <c r="A309" s="8">
        <v>35247</v>
      </c>
      <c r="B309">
        <v>147926</v>
      </c>
      <c r="C309">
        <v>50</v>
      </c>
    </row>
    <row r="310" spans="1:3" x14ac:dyDescent="0.25">
      <c r="A310" s="8">
        <v>35278</v>
      </c>
      <c r="B310">
        <v>110120</v>
      </c>
      <c r="C310">
        <v>176</v>
      </c>
    </row>
    <row r="311" spans="1:3" x14ac:dyDescent="0.25">
      <c r="A311" s="8">
        <v>35309</v>
      </c>
      <c r="B311">
        <v>89308</v>
      </c>
      <c r="C311">
        <v>35</v>
      </c>
    </row>
    <row r="312" spans="1:3" x14ac:dyDescent="0.25">
      <c r="A312" s="8">
        <v>35339</v>
      </c>
      <c r="B312">
        <v>55371</v>
      </c>
      <c r="C312">
        <v>2446</v>
      </c>
    </row>
    <row r="313" spans="1:3" x14ac:dyDescent="0.25">
      <c r="A313" s="8">
        <v>35370</v>
      </c>
      <c r="B313">
        <v>64856</v>
      </c>
      <c r="C313">
        <v>126</v>
      </c>
    </row>
    <row r="314" spans="1:3" x14ac:dyDescent="0.25">
      <c r="A314" s="8">
        <v>35400</v>
      </c>
      <c r="B314">
        <v>64615</v>
      </c>
      <c r="C314">
        <v>911</v>
      </c>
    </row>
    <row r="315" spans="1:3" x14ac:dyDescent="0.25">
      <c r="A315" s="8">
        <v>35431</v>
      </c>
      <c r="B315">
        <v>115090</v>
      </c>
      <c r="C315">
        <v>109693</v>
      </c>
    </row>
    <row r="316" spans="1:3" x14ac:dyDescent="0.25">
      <c r="A316" s="8">
        <v>35462</v>
      </c>
      <c r="B316">
        <v>127130</v>
      </c>
      <c r="C316">
        <v>255296</v>
      </c>
    </row>
    <row r="317" spans="1:3" x14ac:dyDescent="0.25">
      <c r="A317" s="8">
        <v>35490</v>
      </c>
      <c r="B317">
        <v>163345</v>
      </c>
      <c r="C317">
        <v>172865</v>
      </c>
    </row>
    <row r="318" spans="1:3" x14ac:dyDescent="0.25">
      <c r="A318" s="8">
        <v>35521</v>
      </c>
      <c r="B318">
        <v>187566</v>
      </c>
      <c r="C318">
        <v>32405</v>
      </c>
    </row>
    <row r="319" spans="1:3" x14ac:dyDescent="0.25">
      <c r="A319" s="8">
        <v>35551</v>
      </c>
      <c r="B319">
        <v>189022</v>
      </c>
      <c r="C319">
        <v>124</v>
      </c>
    </row>
    <row r="320" spans="1:3" x14ac:dyDescent="0.25">
      <c r="A320" s="8">
        <v>35582</v>
      </c>
      <c r="B320">
        <v>157158</v>
      </c>
      <c r="C320">
        <v>919</v>
      </c>
    </row>
    <row r="321" spans="1:3" x14ac:dyDescent="0.25">
      <c r="A321" s="8">
        <v>35612</v>
      </c>
      <c r="B321">
        <v>192635</v>
      </c>
      <c r="C321">
        <v>1154</v>
      </c>
    </row>
    <row r="322" spans="1:3" x14ac:dyDescent="0.25">
      <c r="A322" s="8">
        <v>35643</v>
      </c>
      <c r="B322">
        <v>126899</v>
      </c>
      <c r="C322">
        <v>216660</v>
      </c>
    </row>
    <row r="323" spans="1:3" x14ac:dyDescent="0.25">
      <c r="A323" s="8">
        <v>35674</v>
      </c>
      <c r="B323">
        <v>99036</v>
      </c>
      <c r="C323">
        <v>305820</v>
      </c>
    </row>
    <row r="324" spans="1:3" x14ac:dyDescent="0.25">
      <c r="A324" s="8">
        <v>35704</v>
      </c>
      <c r="B324">
        <v>110256</v>
      </c>
      <c r="C324">
        <v>25615</v>
      </c>
    </row>
    <row r="325" spans="1:3" x14ac:dyDescent="0.25">
      <c r="A325" s="8">
        <v>35735</v>
      </c>
      <c r="B325">
        <v>121606</v>
      </c>
      <c r="C325">
        <v>18699</v>
      </c>
    </row>
    <row r="326" spans="1:3" x14ac:dyDescent="0.25">
      <c r="A326" s="8">
        <v>35765</v>
      </c>
      <c r="B326">
        <v>110257</v>
      </c>
      <c r="C326">
        <v>332074</v>
      </c>
    </row>
    <row r="327" spans="1:3" x14ac:dyDescent="0.25">
      <c r="A327" s="8">
        <v>35796</v>
      </c>
      <c r="B327">
        <v>56750</v>
      </c>
      <c r="C327">
        <v>588274</v>
      </c>
    </row>
    <row r="328" spans="1:3" x14ac:dyDescent="0.25">
      <c r="A328" s="8">
        <v>35827</v>
      </c>
      <c r="B328">
        <v>113499</v>
      </c>
      <c r="C328">
        <v>650870</v>
      </c>
    </row>
    <row r="329" spans="1:3" x14ac:dyDescent="0.25">
      <c r="A329" s="8">
        <v>35855</v>
      </c>
      <c r="B329">
        <v>181082</v>
      </c>
      <c r="C329">
        <v>357184</v>
      </c>
    </row>
    <row r="330" spans="1:3" x14ac:dyDescent="0.25">
      <c r="A330" s="8">
        <v>35886</v>
      </c>
      <c r="B330">
        <v>161403</v>
      </c>
      <c r="C330">
        <v>125488</v>
      </c>
    </row>
    <row r="331" spans="1:3" x14ac:dyDescent="0.25">
      <c r="A331" s="8">
        <v>35916</v>
      </c>
      <c r="B331">
        <v>192030</v>
      </c>
      <c r="C331">
        <v>41051</v>
      </c>
    </row>
    <row r="332" spans="1:3" x14ac:dyDescent="0.25">
      <c r="A332" s="8">
        <v>35947</v>
      </c>
      <c r="B332">
        <v>196292</v>
      </c>
      <c r="C332">
        <v>9546</v>
      </c>
    </row>
    <row r="333" spans="1:3" x14ac:dyDescent="0.25">
      <c r="A333" s="8">
        <v>35977</v>
      </c>
      <c r="B333">
        <v>210312</v>
      </c>
      <c r="C333">
        <v>1786</v>
      </c>
    </row>
    <row r="334" spans="1:3" x14ac:dyDescent="0.25">
      <c r="A334" s="8">
        <v>36008</v>
      </c>
      <c r="B334">
        <v>144212</v>
      </c>
      <c r="C334">
        <v>9444</v>
      </c>
    </row>
    <row r="335" spans="1:3" x14ac:dyDescent="0.25">
      <c r="A335" s="8">
        <v>36039</v>
      </c>
      <c r="B335">
        <v>105522</v>
      </c>
      <c r="C335">
        <v>208526</v>
      </c>
    </row>
    <row r="336" spans="1:3" x14ac:dyDescent="0.25">
      <c r="A336" s="8">
        <v>36069</v>
      </c>
      <c r="B336">
        <v>111900</v>
      </c>
      <c r="C336">
        <v>141999</v>
      </c>
    </row>
    <row r="337" spans="1:3" x14ac:dyDescent="0.25">
      <c r="A337" s="8">
        <v>36100</v>
      </c>
      <c r="B337">
        <v>113499</v>
      </c>
      <c r="C337">
        <v>267573</v>
      </c>
    </row>
    <row r="338" spans="1:3" x14ac:dyDescent="0.25">
      <c r="A338" s="8">
        <v>36130</v>
      </c>
      <c r="B338">
        <v>113499</v>
      </c>
      <c r="C338">
        <v>616700</v>
      </c>
    </row>
    <row r="339" spans="1:3" x14ac:dyDescent="0.25">
      <c r="A339" s="8">
        <v>36161</v>
      </c>
      <c r="B339">
        <v>78135</v>
      </c>
      <c r="C339">
        <v>342583</v>
      </c>
    </row>
    <row r="340" spans="1:3" x14ac:dyDescent="0.25">
      <c r="A340" s="8">
        <v>36192</v>
      </c>
      <c r="B340">
        <v>164062</v>
      </c>
      <c r="C340">
        <v>14941</v>
      </c>
    </row>
    <row r="341" spans="1:3" x14ac:dyDescent="0.25">
      <c r="A341" s="8">
        <v>36220</v>
      </c>
      <c r="B341">
        <v>207550</v>
      </c>
      <c r="C341">
        <v>4414</v>
      </c>
    </row>
    <row r="342" spans="1:3" x14ac:dyDescent="0.25">
      <c r="A342" s="8">
        <v>36251</v>
      </c>
      <c r="B342">
        <v>201920</v>
      </c>
      <c r="C342">
        <v>15708</v>
      </c>
    </row>
    <row r="343" spans="1:3" x14ac:dyDescent="0.25">
      <c r="A343" s="8">
        <v>36281</v>
      </c>
      <c r="B343">
        <v>171251</v>
      </c>
      <c r="C343">
        <v>10554</v>
      </c>
    </row>
    <row r="344" spans="1:3" x14ac:dyDescent="0.25">
      <c r="A344" s="8">
        <v>36312</v>
      </c>
      <c r="B344">
        <v>159050</v>
      </c>
      <c r="C344">
        <v>15878</v>
      </c>
    </row>
    <row r="345" spans="1:3" x14ac:dyDescent="0.25">
      <c r="A345" s="8">
        <v>36342</v>
      </c>
      <c r="B345">
        <v>179086</v>
      </c>
      <c r="C345">
        <v>33244</v>
      </c>
    </row>
    <row r="346" spans="1:3" x14ac:dyDescent="0.25">
      <c r="A346" s="8">
        <v>36373</v>
      </c>
      <c r="B346">
        <v>123545</v>
      </c>
      <c r="C346">
        <v>4841</v>
      </c>
    </row>
    <row r="347" spans="1:3" x14ac:dyDescent="0.25">
      <c r="A347" s="8">
        <v>36404</v>
      </c>
      <c r="B347">
        <v>89308</v>
      </c>
      <c r="C347">
        <v>187368</v>
      </c>
    </row>
    <row r="348" spans="1:3" x14ac:dyDescent="0.25">
      <c r="A348" s="8">
        <v>36434</v>
      </c>
      <c r="B348">
        <v>92460</v>
      </c>
      <c r="C348">
        <v>294144</v>
      </c>
    </row>
    <row r="349" spans="1:3" x14ac:dyDescent="0.25">
      <c r="A349" s="8">
        <v>36465</v>
      </c>
      <c r="B349">
        <v>113499</v>
      </c>
      <c r="C349">
        <v>205460</v>
      </c>
    </row>
    <row r="350" spans="1:3" x14ac:dyDescent="0.25">
      <c r="A350" s="8">
        <v>36495</v>
      </c>
      <c r="B350">
        <v>120134</v>
      </c>
      <c r="C350">
        <v>64970</v>
      </c>
    </row>
    <row r="351" spans="1:3" x14ac:dyDescent="0.25">
      <c r="A351" s="8">
        <v>36526</v>
      </c>
      <c r="B351">
        <v>156991</v>
      </c>
      <c r="C351">
        <v>14958</v>
      </c>
    </row>
    <row r="352" spans="1:3" x14ac:dyDescent="0.25">
      <c r="A352" s="8">
        <v>36557</v>
      </c>
      <c r="B352">
        <v>179548</v>
      </c>
      <c r="C352">
        <v>7410</v>
      </c>
    </row>
    <row r="353" spans="1:3" x14ac:dyDescent="0.25">
      <c r="A353" s="8">
        <v>36586</v>
      </c>
      <c r="B353">
        <v>194570</v>
      </c>
      <c r="C353">
        <v>24011</v>
      </c>
    </row>
    <row r="354" spans="1:3" x14ac:dyDescent="0.25">
      <c r="A354" s="8">
        <v>36617</v>
      </c>
      <c r="B354">
        <v>185874</v>
      </c>
      <c r="C354">
        <v>12969</v>
      </c>
    </row>
    <row r="355" spans="1:3" x14ac:dyDescent="0.25">
      <c r="A355" s="8">
        <v>36647</v>
      </c>
      <c r="B355">
        <v>140916</v>
      </c>
      <c r="C355">
        <v>29643</v>
      </c>
    </row>
    <row r="356" spans="1:3" x14ac:dyDescent="0.25">
      <c r="A356" s="8">
        <v>36678</v>
      </c>
      <c r="B356">
        <v>143402</v>
      </c>
      <c r="C356">
        <v>13648</v>
      </c>
    </row>
    <row r="357" spans="1:3" x14ac:dyDescent="0.25">
      <c r="A357" s="8">
        <v>36708</v>
      </c>
      <c r="B357">
        <v>145643</v>
      </c>
      <c r="C357">
        <v>18291</v>
      </c>
    </row>
    <row r="358" spans="1:3" x14ac:dyDescent="0.25">
      <c r="A358" s="8">
        <v>36739</v>
      </c>
      <c r="B358">
        <v>104679</v>
      </c>
      <c r="C358">
        <v>29111</v>
      </c>
    </row>
    <row r="359" spans="1:3" x14ac:dyDescent="0.25">
      <c r="A359" s="8">
        <v>36770</v>
      </c>
      <c r="B359">
        <v>93141</v>
      </c>
      <c r="C359">
        <v>38195</v>
      </c>
    </row>
    <row r="360" spans="1:3" x14ac:dyDescent="0.25">
      <c r="A360" s="8">
        <v>36800</v>
      </c>
      <c r="B360">
        <v>98737</v>
      </c>
      <c r="C360">
        <v>74784</v>
      </c>
    </row>
    <row r="361" spans="1:3" x14ac:dyDescent="0.25">
      <c r="A361" s="8">
        <v>36831</v>
      </c>
      <c r="B361">
        <v>113473</v>
      </c>
      <c r="C361">
        <v>41749</v>
      </c>
    </row>
    <row r="362" spans="1:3" x14ac:dyDescent="0.25">
      <c r="A362" s="8">
        <v>36861</v>
      </c>
      <c r="B362">
        <v>143026</v>
      </c>
      <c r="C362">
        <v>32369</v>
      </c>
    </row>
    <row r="363" spans="1:3" x14ac:dyDescent="0.25">
      <c r="A363" s="8">
        <v>36892</v>
      </c>
      <c r="B363">
        <v>136798</v>
      </c>
      <c r="C363">
        <v>29676</v>
      </c>
    </row>
    <row r="364" spans="1:3" x14ac:dyDescent="0.25">
      <c r="A364" s="8">
        <v>36923</v>
      </c>
      <c r="B364">
        <v>160824</v>
      </c>
      <c r="C364">
        <v>31836</v>
      </c>
    </row>
    <row r="365" spans="1:3" x14ac:dyDescent="0.25">
      <c r="A365" s="8">
        <v>36951</v>
      </c>
      <c r="B365">
        <v>204111</v>
      </c>
      <c r="C365">
        <v>37609</v>
      </c>
    </row>
    <row r="366" spans="1:3" x14ac:dyDescent="0.25">
      <c r="A366" s="8">
        <v>36982</v>
      </c>
      <c r="B366">
        <v>187021</v>
      </c>
      <c r="C366">
        <v>12987</v>
      </c>
    </row>
    <row r="367" spans="1:3" x14ac:dyDescent="0.25">
      <c r="A367" s="8">
        <v>37012</v>
      </c>
      <c r="B367">
        <v>102809</v>
      </c>
      <c r="C367">
        <v>7790</v>
      </c>
    </row>
    <row r="368" spans="1:3" x14ac:dyDescent="0.25">
      <c r="A368" s="8">
        <v>37043</v>
      </c>
      <c r="B368">
        <v>119777</v>
      </c>
      <c r="C368">
        <v>2406</v>
      </c>
    </row>
    <row r="369" spans="1:3" x14ac:dyDescent="0.25">
      <c r="A369" s="8">
        <v>37073</v>
      </c>
      <c r="B369">
        <v>125941</v>
      </c>
      <c r="C369">
        <v>17037</v>
      </c>
    </row>
    <row r="370" spans="1:3" x14ac:dyDescent="0.25">
      <c r="A370" s="8">
        <v>37104</v>
      </c>
      <c r="B370">
        <v>96410</v>
      </c>
      <c r="C370">
        <v>17179</v>
      </c>
    </row>
    <row r="371" spans="1:3" x14ac:dyDescent="0.25">
      <c r="A371" s="8">
        <v>37135</v>
      </c>
      <c r="B371">
        <v>89308</v>
      </c>
      <c r="C371">
        <v>13787</v>
      </c>
    </row>
    <row r="372" spans="1:3" x14ac:dyDescent="0.25">
      <c r="A372" s="8">
        <v>37165</v>
      </c>
      <c r="B372">
        <v>67474</v>
      </c>
      <c r="C372">
        <v>17687</v>
      </c>
    </row>
    <row r="373" spans="1:3" x14ac:dyDescent="0.25">
      <c r="A373" s="8">
        <v>37196</v>
      </c>
      <c r="B373">
        <v>94169</v>
      </c>
      <c r="C373">
        <v>4785</v>
      </c>
    </row>
    <row r="374" spans="1:3" x14ac:dyDescent="0.25">
      <c r="A374" s="8">
        <v>37226</v>
      </c>
      <c r="B374">
        <v>115358</v>
      </c>
      <c r="C374">
        <v>7798</v>
      </c>
    </row>
    <row r="375" spans="1:3" x14ac:dyDescent="0.25">
      <c r="A375" s="8">
        <v>37257</v>
      </c>
      <c r="B375">
        <v>132456</v>
      </c>
      <c r="C375">
        <v>10844</v>
      </c>
    </row>
    <row r="376" spans="1:3" x14ac:dyDescent="0.25">
      <c r="A376" s="8">
        <v>37288</v>
      </c>
      <c r="B376">
        <v>156901</v>
      </c>
      <c r="C376">
        <v>2616</v>
      </c>
    </row>
    <row r="377" spans="1:3" x14ac:dyDescent="0.25">
      <c r="A377" s="8">
        <v>37316</v>
      </c>
      <c r="B377">
        <v>195426</v>
      </c>
      <c r="C377">
        <v>20068</v>
      </c>
    </row>
    <row r="378" spans="1:3" x14ac:dyDescent="0.25">
      <c r="A378" s="8">
        <v>37347</v>
      </c>
      <c r="B378">
        <v>191223</v>
      </c>
      <c r="C378">
        <v>16107</v>
      </c>
    </row>
    <row r="379" spans="1:3" x14ac:dyDescent="0.25">
      <c r="A379" s="8">
        <v>37377</v>
      </c>
      <c r="B379">
        <v>107268</v>
      </c>
      <c r="C379">
        <v>13909</v>
      </c>
    </row>
    <row r="380" spans="1:3" x14ac:dyDescent="0.25">
      <c r="A380" s="8">
        <v>37408</v>
      </c>
      <c r="B380">
        <v>113473</v>
      </c>
      <c r="C380">
        <v>9417</v>
      </c>
    </row>
    <row r="381" spans="1:3" x14ac:dyDescent="0.25">
      <c r="A381" s="8">
        <v>37438</v>
      </c>
      <c r="B381">
        <v>119427</v>
      </c>
      <c r="C381">
        <v>8058</v>
      </c>
    </row>
    <row r="382" spans="1:3" x14ac:dyDescent="0.25">
      <c r="A382" s="8">
        <v>37469</v>
      </c>
      <c r="B382">
        <v>100753</v>
      </c>
      <c r="C382">
        <v>4480</v>
      </c>
    </row>
    <row r="383" spans="1:3" x14ac:dyDescent="0.25">
      <c r="A383" s="8">
        <v>37500</v>
      </c>
      <c r="B383">
        <v>92460</v>
      </c>
      <c r="C383">
        <v>19994</v>
      </c>
    </row>
    <row r="384" spans="1:3" x14ac:dyDescent="0.25">
      <c r="A384" s="8">
        <v>37530</v>
      </c>
      <c r="B384">
        <v>69485</v>
      </c>
      <c r="C384">
        <v>9698</v>
      </c>
    </row>
    <row r="385" spans="1:3" x14ac:dyDescent="0.25">
      <c r="A385" s="8">
        <v>37561</v>
      </c>
      <c r="B385">
        <v>99466</v>
      </c>
      <c r="C385">
        <v>4230</v>
      </c>
    </row>
    <row r="386" spans="1:3" x14ac:dyDescent="0.25">
      <c r="A386" s="8">
        <v>37591</v>
      </c>
      <c r="B386">
        <v>121662</v>
      </c>
      <c r="C386">
        <v>3742</v>
      </c>
    </row>
    <row r="387" spans="1:3" x14ac:dyDescent="0.25">
      <c r="A387" s="8">
        <v>37622</v>
      </c>
      <c r="B387">
        <v>130285</v>
      </c>
      <c r="C387">
        <v>4196</v>
      </c>
    </row>
    <row r="388" spans="1:3" x14ac:dyDescent="0.25">
      <c r="A388" s="8">
        <v>37653</v>
      </c>
      <c r="B388">
        <v>154940</v>
      </c>
      <c r="C388">
        <v>26551</v>
      </c>
    </row>
    <row r="389" spans="1:3" x14ac:dyDescent="0.25">
      <c r="A389" s="8">
        <v>37681</v>
      </c>
      <c r="B389">
        <v>199770</v>
      </c>
      <c r="C389">
        <v>7240</v>
      </c>
    </row>
    <row r="390" spans="1:3" x14ac:dyDescent="0.25">
      <c r="A390" s="8">
        <v>37712</v>
      </c>
      <c r="B390">
        <v>193325</v>
      </c>
      <c r="C390">
        <v>11389</v>
      </c>
    </row>
    <row r="391" spans="1:3" x14ac:dyDescent="0.25">
      <c r="A391" s="8">
        <v>37742</v>
      </c>
      <c r="B391">
        <v>108570</v>
      </c>
      <c r="C391">
        <v>3788</v>
      </c>
    </row>
    <row r="392" spans="1:3" x14ac:dyDescent="0.25">
      <c r="A392" s="8">
        <v>37773</v>
      </c>
      <c r="B392">
        <v>111372</v>
      </c>
      <c r="C392">
        <v>118</v>
      </c>
    </row>
    <row r="393" spans="1:3" x14ac:dyDescent="0.25">
      <c r="A393" s="8">
        <v>37803</v>
      </c>
      <c r="B393">
        <v>121513</v>
      </c>
      <c r="C393">
        <v>664</v>
      </c>
    </row>
    <row r="394" spans="1:3" x14ac:dyDescent="0.25">
      <c r="A394" s="8">
        <v>37834</v>
      </c>
      <c r="B394">
        <v>99884</v>
      </c>
      <c r="C394">
        <v>992</v>
      </c>
    </row>
    <row r="395" spans="1:3" x14ac:dyDescent="0.25">
      <c r="A395" s="8">
        <v>37865</v>
      </c>
      <c r="B395">
        <v>90358</v>
      </c>
      <c r="C395">
        <v>2478</v>
      </c>
    </row>
    <row r="396" spans="1:3" x14ac:dyDescent="0.25">
      <c r="A396" s="8">
        <v>37895</v>
      </c>
      <c r="B396">
        <v>71655</v>
      </c>
      <c r="C396">
        <v>1169</v>
      </c>
    </row>
    <row r="397" spans="1:3" x14ac:dyDescent="0.25">
      <c r="A397" s="8">
        <v>37926</v>
      </c>
      <c r="B397">
        <v>98904</v>
      </c>
      <c r="C397">
        <v>1784</v>
      </c>
    </row>
    <row r="398" spans="1:3" x14ac:dyDescent="0.25">
      <c r="A398" s="8">
        <v>37956</v>
      </c>
      <c r="B398">
        <v>119424</v>
      </c>
      <c r="C398">
        <v>1486</v>
      </c>
    </row>
    <row r="399" spans="1:3" x14ac:dyDescent="0.25">
      <c r="A399" s="8">
        <v>37987</v>
      </c>
      <c r="B399">
        <v>128113</v>
      </c>
      <c r="C399">
        <v>555</v>
      </c>
    </row>
    <row r="400" spans="1:3" x14ac:dyDescent="0.25">
      <c r="A400" s="8">
        <v>38018</v>
      </c>
      <c r="B400">
        <v>158443</v>
      </c>
      <c r="C400">
        <v>10201</v>
      </c>
    </row>
    <row r="401" spans="1:3" x14ac:dyDescent="0.25">
      <c r="A401" s="8">
        <v>38047</v>
      </c>
      <c r="B401">
        <v>199768</v>
      </c>
      <c r="C401">
        <v>2282</v>
      </c>
    </row>
    <row r="402" spans="1:3" x14ac:dyDescent="0.25">
      <c r="A402" s="8">
        <v>38078</v>
      </c>
      <c r="B402">
        <v>197528</v>
      </c>
      <c r="C402">
        <v>14800</v>
      </c>
    </row>
    <row r="403" spans="1:3" x14ac:dyDescent="0.25">
      <c r="A403" s="8">
        <v>38108</v>
      </c>
      <c r="B403">
        <v>108570</v>
      </c>
      <c r="C403">
        <v>3505</v>
      </c>
    </row>
    <row r="404" spans="1:3" x14ac:dyDescent="0.25">
      <c r="A404" s="8">
        <v>38139</v>
      </c>
      <c r="B404">
        <v>109271</v>
      </c>
      <c r="C404">
        <v>374</v>
      </c>
    </row>
    <row r="405" spans="1:3" x14ac:dyDescent="0.25">
      <c r="A405" s="8">
        <v>38169</v>
      </c>
      <c r="B405">
        <v>119426</v>
      </c>
      <c r="C405">
        <v>1116</v>
      </c>
    </row>
    <row r="406" spans="1:3" x14ac:dyDescent="0.25">
      <c r="A406" s="8">
        <v>38200</v>
      </c>
      <c r="B406">
        <v>97713</v>
      </c>
      <c r="C406">
        <v>563</v>
      </c>
    </row>
    <row r="407" spans="1:3" x14ac:dyDescent="0.25">
      <c r="A407" s="8">
        <v>38231</v>
      </c>
      <c r="B407">
        <v>89308</v>
      </c>
      <c r="C407">
        <v>5139</v>
      </c>
    </row>
    <row r="408" spans="1:3" x14ac:dyDescent="0.25">
      <c r="A408" s="8">
        <v>38261</v>
      </c>
      <c r="B408">
        <v>73669</v>
      </c>
      <c r="C408">
        <v>38712</v>
      </c>
    </row>
    <row r="409" spans="1:3" x14ac:dyDescent="0.25">
      <c r="A409" s="8">
        <v>38292</v>
      </c>
      <c r="B409">
        <v>98764</v>
      </c>
      <c r="C409">
        <v>6221</v>
      </c>
    </row>
    <row r="410" spans="1:3" x14ac:dyDescent="0.25">
      <c r="A410" s="8">
        <v>38322</v>
      </c>
      <c r="B410">
        <v>119427</v>
      </c>
      <c r="C410">
        <v>9674</v>
      </c>
    </row>
    <row r="411" spans="1:3" x14ac:dyDescent="0.25">
      <c r="A411" s="8">
        <v>38353</v>
      </c>
      <c r="B411">
        <v>128111</v>
      </c>
      <c r="C411">
        <v>12588</v>
      </c>
    </row>
    <row r="412" spans="1:3" x14ac:dyDescent="0.25">
      <c r="A412" s="8">
        <v>38384</v>
      </c>
      <c r="B412">
        <v>152979</v>
      </c>
      <c r="C412">
        <v>33278</v>
      </c>
    </row>
    <row r="413" spans="1:3" x14ac:dyDescent="0.25">
      <c r="A413" s="8">
        <v>38412</v>
      </c>
      <c r="B413">
        <v>204112</v>
      </c>
      <c r="C413">
        <v>11511</v>
      </c>
    </row>
    <row r="414" spans="1:3" x14ac:dyDescent="0.25">
      <c r="A414" s="8">
        <v>38443</v>
      </c>
      <c r="B414">
        <v>197528</v>
      </c>
      <c r="C414">
        <v>1654</v>
      </c>
    </row>
    <row r="415" spans="1:3" x14ac:dyDescent="0.25">
      <c r="A415" s="8">
        <v>38473</v>
      </c>
      <c r="B415">
        <v>104228</v>
      </c>
      <c r="C415">
        <v>9269</v>
      </c>
    </row>
    <row r="416" spans="1:3" x14ac:dyDescent="0.25">
      <c r="A416" s="8">
        <v>38504</v>
      </c>
      <c r="B416">
        <v>109271</v>
      </c>
      <c r="C416">
        <v>467</v>
      </c>
    </row>
    <row r="417" spans="1:3" x14ac:dyDescent="0.25">
      <c r="A417" s="8">
        <v>38534</v>
      </c>
      <c r="B417">
        <v>121598</v>
      </c>
      <c r="C417">
        <v>2397</v>
      </c>
    </row>
    <row r="418" spans="1:3" x14ac:dyDescent="0.25">
      <c r="A418" s="8">
        <v>38565</v>
      </c>
      <c r="B418">
        <v>97713</v>
      </c>
      <c r="C418">
        <v>20556</v>
      </c>
    </row>
    <row r="419" spans="1:3" x14ac:dyDescent="0.25">
      <c r="A419" s="8">
        <v>38596</v>
      </c>
      <c r="B419">
        <v>89308</v>
      </c>
      <c r="C419">
        <v>2863</v>
      </c>
    </row>
    <row r="420" spans="1:3" x14ac:dyDescent="0.25">
      <c r="A420" s="8">
        <v>38626</v>
      </c>
      <c r="B420">
        <v>74789</v>
      </c>
      <c r="C420">
        <v>15930</v>
      </c>
    </row>
    <row r="421" spans="1:3" x14ac:dyDescent="0.25">
      <c r="A421" s="8">
        <v>38657</v>
      </c>
      <c r="B421">
        <v>98764</v>
      </c>
      <c r="C421">
        <v>978</v>
      </c>
    </row>
    <row r="422" spans="1:3" x14ac:dyDescent="0.25">
      <c r="A422" s="8">
        <v>38687</v>
      </c>
      <c r="B422">
        <v>121599</v>
      </c>
      <c r="C422">
        <v>4851</v>
      </c>
    </row>
    <row r="423" spans="1:3" x14ac:dyDescent="0.25">
      <c r="A423" s="8">
        <v>38718</v>
      </c>
      <c r="B423">
        <v>123770</v>
      </c>
      <c r="C423">
        <v>2513</v>
      </c>
    </row>
    <row r="424" spans="1:3" x14ac:dyDescent="0.25">
      <c r="A424" s="8">
        <v>38749</v>
      </c>
      <c r="B424">
        <v>149056</v>
      </c>
      <c r="C424">
        <v>1272</v>
      </c>
    </row>
    <row r="425" spans="1:3" x14ac:dyDescent="0.25">
      <c r="A425" s="8">
        <v>38777</v>
      </c>
      <c r="B425">
        <v>206283</v>
      </c>
      <c r="C425">
        <v>2754</v>
      </c>
    </row>
    <row r="426" spans="1:3" x14ac:dyDescent="0.25">
      <c r="A426" s="8">
        <v>38808</v>
      </c>
      <c r="B426">
        <v>193325</v>
      </c>
      <c r="C426">
        <v>884</v>
      </c>
    </row>
    <row r="427" spans="1:3" x14ac:dyDescent="0.25">
      <c r="A427" s="8">
        <v>38838</v>
      </c>
      <c r="B427">
        <v>108570</v>
      </c>
      <c r="C427">
        <v>988</v>
      </c>
    </row>
    <row r="428" spans="1:3" x14ac:dyDescent="0.25">
      <c r="A428" s="8">
        <v>38869</v>
      </c>
      <c r="B428">
        <v>127251</v>
      </c>
      <c r="C428">
        <v>718</v>
      </c>
    </row>
    <row r="429" spans="1:3" x14ac:dyDescent="0.25">
      <c r="A429" s="8">
        <v>38899</v>
      </c>
      <c r="B429">
        <v>121879</v>
      </c>
      <c r="C429">
        <v>2615</v>
      </c>
    </row>
    <row r="430" spans="1:3" x14ac:dyDescent="0.25">
      <c r="A430" s="8">
        <v>38930</v>
      </c>
      <c r="B430">
        <v>92705</v>
      </c>
      <c r="C430">
        <v>6180</v>
      </c>
    </row>
    <row r="431" spans="1:3" x14ac:dyDescent="0.25">
      <c r="A431" s="8">
        <v>38961</v>
      </c>
      <c r="B431">
        <v>89308</v>
      </c>
      <c r="C431">
        <v>4526</v>
      </c>
    </row>
    <row r="432" spans="1:3" x14ac:dyDescent="0.25">
      <c r="A432" s="8">
        <v>38991</v>
      </c>
      <c r="B432">
        <v>70097</v>
      </c>
      <c r="C432">
        <v>9566</v>
      </c>
    </row>
    <row r="433" spans="1:3" x14ac:dyDescent="0.25">
      <c r="A433" s="8">
        <v>39022</v>
      </c>
      <c r="B433">
        <v>98764</v>
      </c>
      <c r="C433">
        <v>1199</v>
      </c>
    </row>
    <row r="434" spans="1:3" x14ac:dyDescent="0.25">
      <c r="A434" s="8">
        <v>39052</v>
      </c>
      <c r="B434">
        <v>118993</v>
      </c>
      <c r="C434">
        <v>3017</v>
      </c>
    </row>
    <row r="435" spans="1:3" x14ac:dyDescent="0.25">
      <c r="A435" s="8">
        <v>39083</v>
      </c>
      <c r="B435">
        <v>121599</v>
      </c>
      <c r="C435">
        <v>1059</v>
      </c>
    </row>
    <row r="436" spans="1:3" x14ac:dyDescent="0.25">
      <c r="A436" s="8">
        <v>39114</v>
      </c>
      <c r="B436">
        <v>149057</v>
      </c>
      <c r="C436">
        <v>415</v>
      </c>
    </row>
    <row r="437" spans="1:3" x14ac:dyDescent="0.25">
      <c r="A437" s="8">
        <v>39142</v>
      </c>
      <c r="B437">
        <v>202851</v>
      </c>
      <c r="C437">
        <v>4</v>
      </c>
    </row>
    <row r="438" spans="1:3" x14ac:dyDescent="0.25">
      <c r="A438" s="8">
        <v>39173</v>
      </c>
      <c r="B438">
        <v>195427</v>
      </c>
      <c r="C438">
        <v>2331</v>
      </c>
    </row>
    <row r="439" spans="1:3" x14ac:dyDescent="0.25">
      <c r="A439" s="8">
        <v>39203</v>
      </c>
      <c r="B439">
        <v>108570</v>
      </c>
      <c r="C439">
        <v>708</v>
      </c>
    </row>
    <row r="440" spans="1:3" x14ac:dyDescent="0.25">
      <c r="A440" s="8">
        <v>39234</v>
      </c>
      <c r="B440">
        <v>117676</v>
      </c>
      <c r="C440">
        <v>257</v>
      </c>
    </row>
    <row r="441" spans="1:3" x14ac:dyDescent="0.25">
      <c r="A441" s="8">
        <v>39264</v>
      </c>
      <c r="B441">
        <v>122860</v>
      </c>
      <c r="C441">
        <v>523</v>
      </c>
    </row>
    <row r="442" spans="1:3" x14ac:dyDescent="0.25">
      <c r="A442" s="8">
        <v>39295</v>
      </c>
      <c r="B442">
        <v>95471</v>
      </c>
      <c r="C442">
        <v>1467</v>
      </c>
    </row>
    <row r="443" spans="1:3" x14ac:dyDescent="0.25">
      <c r="A443" s="8">
        <v>39326</v>
      </c>
      <c r="B443">
        <v>89307</v>
      </c>
      <c r="C443">
        <v>2511</v>
      </c>
    </row>
    <row r="444" spans="1:3" x14ac:dyDescent="0.25">
      <c r="A444" s="8">
        <v>39356</v>
      </c>
      <c r="B444">
        <v>74721</v>
      </c>
      <c r="C444">
        <v>5326</v>
      </c>
    </row>
    <row r="445" spans="1:3" x14ac:dyDescent="0.25">
      <c r="A445" s="8">
        <v>39387</v>
      </c>
      <c r="B445">
        <v>102966</v>
      </c>
      <c r="C445">
        <v>18</v>
      </c>
    </row>
    <row r="446" spans="1:3" x14ac:dyDescent="0.25">
      <c r="A446" s="8">
        <v>39417</v>
      </c>
      <c r="B446">
        <v>119495</v>
      </c>
      <c r="C446">
        <v>6984</v>
      </c>
    </row>
    <row r="447" spans="1:3" x14ac:dyDescent="0.25">
      <c r="A447" s="8">
        <v>39448</v>
      </c>
      <c r="B447">
        <v>119428</v>
      </c>
      <c r="C447">
        <v>12366</v>
      </c>
    </row>
    <row r="448" spans="1:3" x14ac:dyDescent="0.25">
      <c r="A448" s="8">
        <v>39479</v>
      </c>
      <c r="B448">
        <v>154380</v>
      </c>
      <c r="C448">
        <v>168</v>
      </c>
    </row>
    <row r="449" spans="1:3" x14ac:dyDescent="0.25">
      <c r="A449" s="8">
        <v>39508</v>
      </c>
      <c r="B449">
        <v>204112</v>
      </c>
      <c r="C449">
        <v>592</v>
      </c>
    </row>
    <row r="450" spans="1:3" x14ac:dyDescent="0.25">
      <c r="A450" s="8">
        <v>39539</v>
      </c>
      <c r="B450">
        <v>198669</v>
      </c>
      <c r="C450">
        <v>3261</v>
      </c>
    </row>
    <row r="451" spans="1:3" x14ac:dyDescent="0.25">
      <c r="A451" s="8">
        <v>39569</v>
      </c>
      <c r="B451">
        <v>110741</v>
      </c>
      <c r="C451">
        <v>2575</v>
      </c>
    </row>
    <row r="452" spans="1:3" x14ac:dyDescent="0.25">
      <c r="A452" s="8">
        <v>39600</v>
      </c>
      <c r="B452">
        <v>115575</v>
      </c>
      <c r="C452">
        <v>10</v>
      </c>
    </row>
    <row r="453" spans="1:3" x14ac:dyDescent="0.25">
      <c r="A453" s="8">
        <v>39630</v>
      </c>
      <c r="B453">
        <v>119428</v>
      </c>
      <c r="C453">
        <v>2224</v>
      </c>
    </row>
    <row r="454" spans="1:3" x14ac:dyDescent="0.25">
      <c r="A454" s="8">
        <v>39661</v>
      </c>
      <c r="B454">
        <v>93370</v>
      </c>
      <c r="C454">
        <v>15215</v>
      </c>
    </row>
    <row r="455" spans="1:3" x14ac:dyDescent="0.25">
      <c r="A455" s="8">
        <v>39692</v>
      </c>
      <c r="B455">
        <v>89307</v>
      </c>
      <c r="C455">
        <v>9869</v>
      </c>
    </row>
    <row r="456" spans="1:3" x14ac:dyDescent="0.25">
      <c r="A456" s="8">
        <v>39722</v>
      </c>
      <c r="B456">
        <v>73739</v>
      </c>
      <c r="C456">
        <v>9950</v>
      </c>
    </row>
    <row r="457" spans="1:3" x14ac:dyDescent="0.25">
      <c r="A457" s="8">
        <v>39753</v>
      </c>
      <c r="B457">
        <v>102966</v>
      </c>
      <c r="C457">
        <v>14604</v>
      </c>
    </row>
    <row r="458" spans="1:3" x14ac:dyDescent="0.25">
      <c r="A458" s="8">
        <v>39783</v>
      </c>
      <c r="B458">
        <v>118285</v>
      </c>
      <c r="C458">
        <v>20545</v>
      </c>
    </row>
    <row r="459" spans="1:3" x14ac:dyDescent="0.25">
      <c r="A459" s="8">
        <v>39814</v>
      </c>
      <c r="B459">
        <v>119428</v>
      </c>
      <c r="C459">
        <v>1676</v>
      </c>
    </row>
    <row r="460" spans="1:3" x14ac:dyDescent="0.25">
      <c r="A460" s="8">
        <v>39845</v>
      </c>
      <c r="B460">
        <v>152979</v>
      </c>
      <c r="C460">
        <v>9578</v>
      </c>
    </row>
    <row r="461" spans="1:3" x14ac:dyDescent="0.25">
      <c r="A461" s="8">
        <v>39873</v>
      </c>
      <c r="B461">
        <v>208455</v>
      </c>
      <c r="C461">
        <v>558</v>
      </c>
    </row>
    <row r="462" spans="1:3" x14ac:dyDescent="0.25">
      <c r="A462" s="8">
        <v>39904</v>
      </c>
      <c r="B462">
        <v>199629</v>
      </c>
      <c r="C462">
        <v>5927</v>
      </c>
    </row>
    <row r="463" spans="1:3" x14ac:dyDescent="0.25">
      <c r="A463" s="8">
        <v>39934</v>
      </c>
      <c r="B463">
        <v>112754</v>
      </c>
      <c r="C463">
        <v>9636</v>
      </c>
    </row>
    <row r="464" spans="1:3" x14ac:dyDescent="0.25">
      <c r="A464" s="8">
        <v>39965</v>
      </c>
      <c r="B464">
        <v>112353</v>
      </c>
      <c r="C464">
        <v>1216</v>
      </c>
    </row>
    <row r="465" spans="1:3" x14ac:dyDescent="0.25">
      <c r="A465" s="8">
        <v>39995</v>
      </c>
      <c r="B465">
        <v>118342</v>
      </c>
      <c r="C465">
        <v>1689</v>
      </c>
    </row>
    <row r="466" spans="1:3" x14ac:dyDescent="0.25">
      <c r="A466" s="8">
        <v>40026</v>
      </c>
      <c r="B466">
        <v>92284</v>
      </c>
      <c r="C466">
        <v>8934</v>
      </c>
    </row>
    <row r="467" spans="1:3" x14ac:dyDescent="0.25">
      <c r="A467" s="8">
        <v>40057</v>
      </c>
      <c r="B467">
        <v>89307</v>
      </c>
      <c r="C467">
        <v>3968</v>
      </c>
    </row>
    <row r="468" spans="1:3" x14ac:dyDescent="0.25">
      <c r="A468" s="8">
        <v>40087</v>
      </c>
      <c r="B468">
        <v>72742</v>
      </c>
      <c r="C468">
        <v>4333</v>
      </c>
    </row>
    <row r="469" spans="1:3" x14ac:dyDescent="0.25">
      <c r="A469" s="8">
        <v>40118</v>
      </c>
      <c r="B469">
        <v>102966</v>
      </c>
      <c r="C469">
        <v>1365</v>
      </c>
    </row>
    <row r="470" spans="1:3" x14ac:dyDescent="0.25">
      <c r="A470" s="8">
        <v>40148</v>
      </c>
      <c r="B470">
        <v>118761</v>
      </c>
      <c r="C470">
        <v>16043</v>
      </c>
    </row>
    <row r="471" spans="1:3" x14ac:dyDescent="0.25">
      <c r="A471" s="8">
        <v>40179</v>
      </c>
      <c r="B471">
        <v>121598</v>
      </c>
      <c r="C471">
        <v>52787</v>
      </c>
    </row>
    <row r="472" spans="1:3" x14ac:dyDescent="0.25">
      <c r="A472" s="8">
        <v>40210</v>
      </c>
      <c r="B472">
        <v>140231</v>
      </c>
      <c r="C472">
        <v>664</v>
      </c>
    </row>
    <row r="473" spans="1:3" x14ac:dyDescent="0.25">
      <c r="A473" s="8">
        <v>40238</v>
      </c>
      <c r="B473">
        <v>214968</v>
      </c>
      <c r="C473">
        <v>18056</v>
      </c>
    </row>
    <row r="474" spans="1:3" x14ac:dyDescent="0.25">
      <c r="A474" s="8">
        <v>40269</v>
      </c>
      <c r="B474">
        <v>195356</v>
      </c>
      <c r="C474">
        <v>14139</v>
      </c>
    </row>
    <row r="475" spans="1:3" x14ac:dyDescent="0.25">
      <c r="A475" s="8">
        <v>40299</v>
      </c>
      <c r="B475">
        <v>104228</v>
      </c>
      <c r="C475">
        <v>9941</v>
      </c>
    </row>
    <row r="476" spans="1:3" x14ac:dyDescent="0.25">
      <c r="A476" s="8">
        <v>40330</v>
      </c>
      <c r="B476">
        <v>112423</v>
      </c>
      <c r="C476">
        <v>246</v>
      </c>
    </row>
    <row r="477" spans="1:3" x14ac:dyDescent="0.25">
      <c r="A477" s="8">
        <v>40360</v>
      </c>
      <c r="B477">
        <v>122685</v>
      </c>
      <c r="C477">
        <v>3367</v>
      </c>
    </row>
    <row r="478" spans="1:3" x14ac:dyDescent="0.25">
      <c r="A478" s="8">
        <v>40391</v>
      </c>
      <c r="B478">
        <v>95542</v>
      </c>
      <c r="C478">
        <v>5039</v>
      </c>
    </row>
    <row r="479" spans="1:3" x14ac:dyDescent="0.25">
      <c r="A479" s="8">
        <v>40422</v>
      </c>
      <c r="B479">
        <v>89308</v>
      </c>
      <c r="C479">
        <v>3427</v>
      </c>
    </row>
    <row r="480" spans="1:3" x14ac:dyDescent="0.25">
      <c r="A480" s="8">
        <v>40452</v>
      </c>
      <c r="B480">
        <v>75999</v>
      </c>
      <c r="C480">
        <v>30186</v>
      </c>
    </row>
    <row r="481" spans="1:3" x14ac:dyDescent="0.25">
      <c r="A481" s="8">
        <v>40483</v>
      </c>
      <c r="B481">
        <v>109322</v>
      </c>
      <c r="C481">
        <v>4646</v>
      </c>
    </row>
    <row r="482" spans="1:3" x14ac:dyDescent="0.25">
      <c r="A482" s="8">
        <v>40513</v>
      </c>
      <c r="B482">
        <v>118340</v>
      </c>
      <c r="C482">
        <v>28826</v>
      </c>
    </row>
    <row r="483" spans="1:3" x14ac:dyDescent="0.25">
      <c r="A483" s="8">
        <v>40544</v>
      </c>
      <c r="B483">
        <v>128113</v>
      </c>
      <c r="C483">
        <v>12684</v>
      </c>
    </row>
    <row r="484" spans="1:3" x14ac:dyDescent="0.25">
      <c r="A484" s="8">
        <v>40575</v>
      </c>
      <c r="B484">
        <v>155921</v>
      </c>
      <c r="C484">
        <v>17442</v>
      </c>
    </row>
    <row r="485" spans="1:3" x14ac:dyDescent="0.25">
      <c r="A485" s="8">
        <v>40603</v>
      </c>
      <c r="B485">
        <v>195426</v>
      </c>
      <c r="C485">
        <v>3471</v>
      </c>
    </row>
    <row r="486" spans="1:3" x14ac:dyDescent="0.25">
      <c r="A486" s="8">
        <v>40634</v>
      </c>
      <c r="B486">
        <v>192064</v>
      </c>
      <c r="C486">
        <v>11596</v>
      </c>
    </row>
    <row r="487" spans="1:3" x14ac:dyDescent="0.25">
      <c r="A487" s="8">
        <v>40664</v>
      </c>
      <c r="B487">
        <v>110741</v>
      </c>
      <c r="C487">
        <v>4472</v>
      </c>
    </row>
    <row r="488" spans="1:3" x14ac:dyDescent="0.25">
      <c r="A488" s="8">
        <v>40695</v>
      </c>
      <c r="B488">
        <v>119566</v>
      </c>
      <c r="C488">
        <v>743</v>
      </c>
    </row>
    <row r="489" spans="1:3" x14ac:dyDescent="0.25">
      <c r="A489" s="8">
        <v>40725</v>
      </c>
      <c r="B489">
        <v>125942</v>
      </c>
      <c r="C489">
        <v>1227</v>
      </c>
    </row>
    <row r="490" spans="1:3" x14ac:dyDescent="0.25">
      <c r="A490" s="8">
        <v>40756</v>
      </c>
      <c r="B490">
        <v>94770</v>
      </c>
      <c r="C490">
        <v>1776</v>
      </c>
    </row>
    <row r="491" spans="1:3" x14ac:dyDescent="0.25">
      <c r="A491" s="8">
        <v>40787</v>
      </c>
      <c r="B491">
        <v>89307</v>
      </c>
      <c r="C491">
        <v>1307</v>
      </c>
    </row>
    <row r="492" spans="1:3" x14ac:dyDescent="0.25">
      <c r="A492" s="8">
        <v>40817</v>
      </c>
      <c r="B492">
        <v>63478</v>
      </c>
      <c r="C492">
        <v>6707</v>
      </c>
    </row>
    <row r="493" spans="1:3" x14ac:dyDescent="0.25">
      <c r="A493" s="8">
        <v>40848</v>
      </c>
      <c r="B493">
        <v>109271</v>
      </c>
      <c r="C493">
        <v>2685</v>
      </c>
    </row>
    <row r="494" spans="1:3" x14ac:dyDescent="0.25">
      <c r="A494" s="8">
        <v>40878</v>
      </c>
      <c r="B494">
        <v>115401</v>
      </c>
      <c r="C494">
        <v>13844</v>
      </c>
    </row>
    <row r="495" spans="1:3" x14ac:dyDescent="0.25">
      <c r="A495" s="8">
        <v>40909</v>
      </c>
      <c r="B495">
        <v>130284</v>
      </c>
      <c r="C495">
        <v>308</v>
      </c>
    </row>
    <row r="496" spans="1:3" x14ac:dyDescent="0.25">
      <c r="A496" s="8">
        <v>40940</v>
      </c>
      <c r="B496">
        <v>158442</v>
      </c>
      <c r="C496">
        <v>390</v>
      </c>
    </row>
    <row r="497" spans="1:3" x14ac:dyDescent="0.25">
      <c r="A497" s="8">
        <v>40969</v>
      </c>
      <c r="B497">
        <v>186740</v>
      </c>
      <c r="C497">
        <v>481</v>
      </c>
    </row>
    <row r="498" spans="1:3" x14ac:dyDescent="0.25">
      <c r="A498" s="8">
        <v>41000</v>
      </c>
      <c r="B498">
        <v>205408</v>
      </c>
      <c r="C498">
        <v>5835</v>
      </c>
    </row>
    <row r="499" spans="1:3" x14ac:dyDescent="0.25">
      <c r="A499" s="8">
        <v>41030</v>
      </c>
      <c r="B499">
        <v>112315</v>
      </c>
      <c r="C499">
        <v>1101</v>
      </c>
    </row>
    <row r="500" spans="1:3" x14ac:dyDescent="0.25">
      <c r="A500" s="8">
        <v>41061</v>
      </c>
      <c r="B500">
        <v>118175</v>
      </c>
      <c r="C500">
        <v>177</v>
      </c>
    </row>
    <row r="501" spans="1:3" x14ac:dyDescent="0.25">
      <c r="A501" s="8">
        <v>41091</v>
      </c>
      <c r="B501">
        <v>118498</v>
      </c>
      <c r="C501">
        <v>21366</v>
      </c>
    </row>
    <row r="502" spans="1:3" x14ac:dyDescent="0.25">
      <c r="A502" s="8">
        <v>41122</v>
      </c>
      <c r="B502">
        <v>104505</v>
      </c>
      <c r="C502">
        <v>5043</v>
      </c>
    </row>
    <row r="503" spans="1:3" x14ac:dyDescent="0.25">
      <c r="A503" s="8">
        <v>41153</v>
      </c>
      <c r="B503">
        <v>101509</v>
      </c>
      <c r="C503">
        <v>460</v>
      </c>
    </row>
    <row r="504" spans="1:3" x14ac:dyDescent="0.25">
      <c r="A504" s="8">
        <v>41183</v>
      </c>
      <c r="B504">
        <v>63672</v>
      </c>
      <c r="C504">
        <v>14373</v>
      </c>
    </row>
    <row r="505" spans="1:3" x14ac:dyDescent="0.25">
      <c r="A505" s="8">
        <v>41214</v>
      </c>
      <c r="B505">
        <v>98741</v>
      </c>
      <c r="C505">
        <v>1535</v>
      </c>
    </row>
    <row r="506" spans="1:3" x14ac:dyDescent="0.25">
      <c r="A506" s="8">
        <v>41244</v>
      </c>
      <c r="B506">
        <v>101711</v>
      </c>
      <c r="C506">
        <v>43761</v>
      </c>
    </row>
    <row r="507" spans="1:3" x14ac:dyDescent="0.25">
      <c r="A507" s="8">
        <v>41275</v>
      </c>
      <c r="B507">
        <v>125151</v>
      </c>
      <c r="C507">
        <v>17679</v>
      </c>
    </row>
    <row r="508" spans="1:3" x14ac:dyDescent="0.25">
      <c r="A508" s="8">
        <v>41306</v>
      </c>
      <c r="B508">
        <v>155921</v>
      </c>
      <c r="C508">
        <v>1664</v>
      </c>
    </row>
    <row r="509" spans="1:3" x14ac:dyDescent="0.25">
      <c r="A509" s="8">
        <v>41334</v>
      </c>
      <c r="B509">
        <v>200712</v>
      </c>
      <c r="C509">
        <v>1132</v>
      </c>
    </row>
    <row r="510" spans="1:3" x14ac:dyDescent="0.25">
      <c r="A510" s="8">
        <v>41365</v>
      </c>
      <c r="B510">
        <v>212137</v>
      </c>
      <c r="C510">
        <v>955</v>
      </c>
    </row>
    <row r="511" spans="1:3" x14ac:dyDescent="0.25">
      <c r="A511" s="8">
        <v>41395</v>
      </c>
      <c r="B511">
        <v>111275</v>
      </c>
      <c r="C511">
        <v>1179</v>
      </c>
    </row>
    <row r="512" spans="1:3" x14ac:dyDescent="0.25">
      <c r="A512" s="8">
        <v>41426</v>
      </c>
      <c r="B512">
        <v>109209</v>
      </c>
      <c r="C512">
        <v>515</v>
      </c>
    </row>
    <row r="513" spans="1:3" x14ac:dyDescent="0.25">
      <c r="A513" s="8">
        <v>41456</v>
      </c>
      <c r="B513">
        <v>111424</v>
      </c>
      <c r="C513">
        <v>6533</v>
      </c>
    </row>
    <row r="514" spans="1:3" x14ac:dyDescent="0.25">
      <c r="A514" s="8">
        <v>41487</v>
      </c>
      <c r="B514">
        <v>104505</v>
      </c>
      <c r="C514">
        <v>16422</v>
      </c>
    </row>
    <row r="515" spans="1:3" x14ac:dyDescent="0.25">
      <c r="A515" s="8">
        <v>41518</v>
      </c>
      <c r="B515">
        <v>101509</v>
      </c>
      <c r="C515">
        <v>7150</v>
      </c>
    </row>
    <row r="516" spans="1:3" x14ac:dyDescent="0.25">
      <c r="A516" s="8">
        <v>41548</v>
      </c>
      <c r="B516">
        <v>64711</v>
      </c>
      <c r="C516">
        <v>14959</v>
      </c>
    </row>
    <row r="517" spans="1:3" x14ac:dyDescent="0.25">
      <c r="A517" s="8">
        <v>41579</v>
      </c>
      <c r="B517">
        <v>98740</v>
      </c>
      <c r="C517">
        <v>2869</v>
      </c>
    </row>
    <row r="518" spans="1:3" x14ac:dyDescent="0.25">
      <c r="A518" s="8">
        <v>41609</v>
      </c>
      <c r="B518">
        <v>104706</v>
      </c>
      <c r="C518">
        <v>913</v>
      </c>
    </row>
    <row r="519" spans="1:3" x14ac:dyDescent="0.25">
      <c r="A519" s="8">
        <v>41640</v>
      </c>
      <c r="B519">
        <v>130285</v>
      </c>
      <c r="C519">
        <v>355</v>
      </c>
    </row>
    <row r="520" spans="1:3" x14ac:dyDescent="0.25">
      <c r="A520" s="8">
        <v>41671</v>
      </c>
      <c r="B520">
        <v>160824</v>
      </c>
      <c r="C520">
        <v>881</v>
      </c>
    </row>
    <row r="521" spans="1:3" x14ac:dyDescent="0.25">
      <c r="A521" s="8">
        <v>41699</v>
      </c>
      <c r="B521">
        <v>205198</v>
      </c>
      <c r="C521">
        <v>2668</v>
      </c>
    </row>
    <row r="522" spans="1:3" x14ac:dyDescent="0.25">
      <c r="A522" s="8">
        <v>41730</v>
      </c>
      <c r="B522">
        <v>204851</v>
      </c>
      <c r="C522">
        <v>3239</v>
      </c>
    </row>
    <row r="523" spans="1:3" x14ac:dyDescent="0.25">
      <c r="A523" s="8">
        <v>41760</v>
      </c>
      <c r="B523">
        <v>112913</v>
      </c>
      <c r="C523">
        <v>833</v>
      </c>
    </row>
    <row r="524" spans="1:3" x14ac:dyDescent="0.25">
      <c r="A524" s="8">
        <v>41791</v>
      </c>
      <c r="B524">
        <v>111372</v>
      </c>
      <c r="C524">
        <v>666</v>
      </c>
    </row>
    <row r="525" spans="1:3" x14ac:dyDescent="0.25">
      <c r="A525" s="8">
        <v>41821</v>
      </c>
      <c r="B525">
        <v>119427</v>
      </c>
      <c r="C525">
        <v>1238</v>
      </c>
    </row>
    <row r="526" spans="1:3" x14ac:dyDescent="0.25">
      <c r="A526" s="8">
        <v>41852</v>
      </c>
      <c r="B526">
        <v>99884</v>
      </c>
      <c r="C526">
        <v>8169</v>
      </c>
    </row>
    <row r="527" spans="1:3" x14ac:dyDescent="0.25">
      <c r="A527" s="8">
        <v>41883</v>
      </c>
      <c r="B527">
        <v>89307</v>
      </c>
      <c r="C527">
        <v>346</v>
      </c>
    </row>
    <row r="528" spans="1:3" x14ac:dyDescent="0.25">
      <c r="A528" s="8">
        <v>41913</v>
      </c>
      <c r="B528">
        <v>55371</v>
      </c>
      <c r="C528">
        <v>10148</v>
      </c>
    </row>
    <row r="529" spans="1:3" x14ac:dyDescent="0.25">
      <c r="A529" s="8">
        <v>41944</v>
      </c>
      <c r="B529">
        <v>102966</v>
      </c>
      <c r="C529">
        <v>2661</v>
      </c>
    </row>
    <row r="530" spans="1:3" x14ac:dyDescent="0.25">
      <c r="A530" s="8">
        <v>41974</v>
      </c>
      <c r="B530">
        <v>107602</v>
      </c>
      <c r="C530">
        <v>947</v>
      </c>
    </row>
    <row r="531" spans="1:3" x14ac:dyDescent="0.25">
      <c r="A531" s="8">
        <v>42005</v>
      </c>
      <c r="B531">
        <v>145484</v>
      </c>
      <c r="C531">
        <v>404</v>
      </c>
    </row>
    <row r="532" spans="1:3" x14ac:dyDescent="0.25">
      <c r="A532" s="8">
        <v>42036</v>
      </c>
      <c r="B532">
        <v>171611</v>
      </c>
      <c r="C532">
        <v>606</v>
      </c>
    </row>
    <row r="533" spans="1:3" x14ac:dyDescent="0.25">
      <c r="A533" s="8">
        <v>42064</v>
      </c>
      <c r="B533">
        <v>218226</v>
      </c>
      <c r="C533">
        <v>455</v>
      </c>
    </row>
    <row r="534" spans="1:3" x14ac:dyDescent="0.25">
      <c r="A534" s="8">
        <v>42095</v>
      </c>
      <c r="B534">
        <v>209085</v>
      </c>
      <c r="C534">
        <v>976</v>
      </c>
    </row>
    <row r="535" spans="1:3" x14ac:dyDescent="0.25">
      <c r="A535" s="8">
        <v>42125</v>
      </c>
      <c r="B535">
        <v>104227</v>
      </c>
      <c r="C535">
        <v>8422</v>
      </c>
    </row>
    <row r="536" spans="1:3" x14ac:dyDescent="0.25">
      <c r="A536" s="8">
        <v>42156</v>
      </c>
      <c r="B536">
        <v>108220</v>
      </c>
      <c r="C536">
        <v>420</v>
      </c>
    </row>
    <row r="537" spans="1:3" x14ac:dyDescent="0.25">
      <c r="A537" s="8">
        <v>42186</v>
      </c>
      <c r="B537">
        <v>106399</v>
      </c>
      <c r="C537">
        <v>956</v>
      </c>
    </row>
    <row r="538" spans="1:3" x14ac:dyDescent="0.25">
      <c r="A538" s="8">
        <v>42217</v>
      </c>
      <c r="B538">
        <v>92284</v>
      </c>
      <c r="C538">
        <v>473</v>
      </c>
    </row>
    <row r="539" spans="1:3" x14ac:dyDescent="0.25">
      <c r="A539" s="8">
        <v>42248</v>
      </c>
      <c r="B539">
        <v>89307</v>
      </c>
      <c r="C539">
        <v>602</v>
      </c>
    </row>
    <row r="540" spans="1:3" x14ac:dyDescent="0.25">
      <c r="A540" s="8">
        <v>42278</v>
      </c>
      <c r="B540">
        <v>58470</v>
      </c>
      <c r="C540">
        <v>567</v>
      </c>
    </row>
    <row r="541" spans="1:3" x14ac:dyDescent="0.25">
      <c r="A541" s="8">
        <v>42309</v>
      </c>
      <c r="B541">
        <v>92459</v>
      </c>
      <c r="C541">
        <v>485</v>
      </c>
    </row>
    <row r="542" spans="1:3" x14ac:dyDescent="0.25">
      <c r="A542" s="8">
        <v>42339</v>
      </c>
      <c r="B542">
        <v>104228</v>
      </c>
      <c r="C542">
        <v>463</v>
      </c>
    </row>
    <row r="543" spans="1:3" x14ac:dyDescent="0.25">
      <c r="A543" s="8">
        <v>42370</v>
      </c>
      <c r="B543">
        <v>154170</v>
      </c>
      <c r="C543">
        <v>157</v>
      </c>
    </row>
    <row r="544" spans="1:3" x14ac:dyDescent="0.25">
      <c r="A544" s="8">
        <v>42401</v>
      </c>
      <c r="B544">
        <v>179771</v>
      </c>
      <c r="C544">
        <v>308</v>
      </c>
    </row>
    <row r="545" spans="1:3" x14ac:dyDescent="0.25">
      <c r="A545" s="8">
        <v>42430</v>
      </c>
      <c r="B545">
        <v>220432</v>
      </c>
      <c r="C545">
        <v>286</v>
      </c>
    </row>
    <row r="546" spans="1:3" x14ac:dyDescent="0.25">
      <c r="A546" s="8">
        <v>42461</v>
      </c>
      <c r="B546">
        <v>201730</v>
      </c>
      <c r="C546">
        <v>276</v>
      </c>
    </row>
    <row r="547" spans="1:3" x14ac:dyDescent="0.25">
      <c r="A547" s="8">
        <v>42491</v>
      </c>
      <c r="B547">
        <v>96627</v>
      </c>
      <c r="C547">
        <v>819</v>
      </c>
    </row>
    <row r="548" spans="1:3" x14ac:dyDescent="0.25">
      <c r="A548" s="8">
        <v>42522</v>
      </c>
      <c r="B548">
        <v>91409</v>
      </c>
      <c r="C548">
        <v>211</v>
      </c>
    </row>
    <row r="549" spans="1:3" x14ac:dyDescent="0.25">
      <c r="A549" s="8">
        <v>42552</v>
      </c>
      <c r="B549">
        <v>102056</v>
      </c>
      <c r="C549">
        <v>216</v>
      </c>
    </row>
    <row r="550" spans="1:3" x14ac:dyDescent="0.25">
      <c r="A550" s="8">
        <v>42583</v>
      </c>
      <c r="B550">
        <v>98799</v>
      </c>
      <c r="C550">
        <v>275</v>
      </c>
    </row>
    <row r="551" spans="1:3" x14ac:dyDescent="0.25">
      <c r="A551" s="8">
        <v>42614</v>
      </c>
      <c r="B551">
        <v>91409</v>
      </c>
      <c r="C551">
        <v>200</v>
      </c>
    </row>
    <row r="552" spans="1:3" x14ac:dyDescent="0.25">
      <c r="A552" s="8">
        <v>42644</v>
      </c>
      <c r="B552">
        <v>60536</v>
      </c>
      <c r="C552">
        <v>253</v>
      </c>
    </row>
    <row r="553" spans="1:3" x14ac:dyDescent="0.25">
      <c r="A553" s="8">
        <v>42675</v>
      </c>
      <c r="B553">
        <v>96662</v>
      </c>
      <c r="C553">
        <v>225</v>
      </c>
    </row>
    <row r="554" spans="1:3" x14ac:dyDescent="0.25">
      <c r="A554" s="8">
        <v>42705</v>
      </c>
      <c r="B554">
        <v>106399</v>
      </c>
      <c r="C554">
        <v>6003</v>
      </c>
    </row>
    <row r="555" spans="1:3" x14ac:dyDescent="0.25">
      <c r="A555" s="8">
        <v>42736</v>
      </c>
      <c r="B555">
        <v>120828</v>
      </c>
      <c r="C555">
        <v>5420</v>
      </c>
    </row>
    <row r="556" spans="1:3" x14ac:dyDescent="0.25">
      <c r="A556" s="8">
        <v>42767</v>
      </c>
      <c r="B556">
        <v>159843</v>
      </c>
      <c r="C556">
        <v>183</v>
      </c>
    </row>
    <row r="557" spans="1:3" x14ac:dyDescent="0.25">
      <c r="A557" s="8">
        <v>42795</v>
      </c>
      <c r="B557">
        <v>202732</v>
      </c>
      <c r="C557">
        <v>240</v>
      </c>
    </row>
    <row r="558" spans="1:3" x14ac:dyDescent="0.25">
      <c r="A558" s="8">
        <v>42826</v>
      </c>
      <c r="B558">
        <v>180717</v>
      </c>
      <c r="C558">
        <v>217</v>
      </c>
    </row>
    <row r="559" spans="1:3" x14ac:dyDescent="0.25">
      <c r="A559" s="8">
        <v>42856</v>
      </c>
      <c r="B559">
        <v>109656</v>
      </c>
      <c r="C559">
        <v>1010</v>
      </c>
    </row>
    <row r="560" spans="1:3" x14ac:dyDescent="0.25">
      <c r="A560" s="8">
        <v>42887</v>
      </c>
      <c r="B560">
        <v>125661</v>
      </c>
      <c r="C560">
        <v>235</v>
      </c>
    </row>
    <row r="561" spans="1:3" x14ac:dyDescent="0.25">
      <c r="A561" s="8">
        <v>42917</v>
      </c>
      <c r="B561">
        <v>130284</v>
      </c>
      <c r="C561">
        <v>281</v>
      </c>
    </row>
    <row r="562" spans="1:3" x14ac:dyDescent="0.25">
      <c r="A562" s="8">
        <v>42948</v>
      </c>
      <c r="B562">
        <v>102056</v>
      </c>
      <c r="C562">
        <v>168</v>
      </c>
    </row>
    <row r="563" spans="1:3" x14ac:dyDescent="0.25">
      <c r="A563" s="8">
        <v>42979</v>
      </c>
      <c r="B563">
        <v>95612</v>
      </c>
      <c r="C563">
        <v>8172</v>
      </c>
    </row>
    <row r="564" spans="1:3" x14ac:dyDescent="0.25">
      <c r="A564" s="8">
        <v>43009</v>
      </c>
      <c r="B564">
        <v>65142</v>
      </c>
      <c r="C564">
        <v>319</v>
      </c>
    </row>
    <row r="565" spans="1:3" x14ac:dyDescent="0.25">
      <c r="A565" s="8">
        <v>43040</v>
      </c>
      <c r="B565">
        <v>98764</v>
      </c>
      <c r="C565">
        <v>246</v>
      </c>
    </row>
    <row r="566" spans="1:3" x14ac:dyDescent="0.25">
      <c r="A566" s="8">
        <v>43070</v>
      </c>
      <c r="B566">
        <v>108705</v>
      </c>
      <c r="C566">
        <v>195</v>
      </c>
    </row>
    <row r="567" spans="1:3" x14ac:dyDescent="0.25">
      <c r="A567" s="8">
        <v>43101</v>
      </c>
      <c r="B567">
        <v>124856</v>
      </c>
      <c r="C567">
        <v>210</v>
      </c>
    </row>
    <row r="568" spans="1:3" x14ac:dyDescent="0.25">
      <c r="A568" s="8">
        <v>43132</v>
      </c>
      <c r="B568">
        <v>145325</v>
      </c>
      <c r="C568">
        <v>0</v>
      </c>
    </row>
    <row r="569" spans="1:3" x14ac:dyDescent="0.25">
      <c r="A569" s="8">
        <v>43160</v>
      </c>
      <c r="B569">
        <v>194558</v>
      </c>
      <c r="C569">
        <v>128</v>
      </c>
    </row>
    <row r="570" spans="1:3" x14ac:dyDescent="0.25">
      <c r="A570" s="8">
        <v>43191</v>
      </c>
      <c r="B570">
        <v>175176</v>
      </c>
      <c r="C570">
        <v>92</v>
      </c>
    </row>
    <row r="571" spans="1:3" x14ac:dyDescent="0.25">
      <c r="A571" s="8">
        <v>43221</v>
      </c>
      <c r="B571">
        <v>123770</v>
      </c>
      <c r="C571">
        <v>197</v>
      </c>
    </row>
    <row r="572" spans="1:3" x14ac:dyDescent="0.25">
      <c r="A572" s="8">
        <v>43252</v>
      </c>
      <c r="B572">
        <v>135537</v>
      </c>
      <c r="C572">
        <v>24</v>
      </c>
    </row>
    <row r="573" spans="1:3" x14ac:dyDescent="0.25">
      <c r="A573" s="8">
        <v>43282</v>
      </c>
      <c r="B573">
        <v>132455</v>
      </c>
      <c r="C573">
        <v>260</v>
      </c>
    </row>
    <row r="574" spans="1:3" x14ac:dyDescent="0.25">
      <c r="A574" s="8">
        <v>43313</v>
      </c>
      <c r="B574">
        <v>104227</v>
      </c>
      <c r="C574">
        <v>155</v>
      </c>
    </row>
    <row r="575" spans="1:3" x14ac:dyDescent="0.25">
      <c r="A575" s="8">
        <v>43344</v>
      </c>
      <c r="B575">
        <v>93509</v>
      </c>
      <c r="C575">
        <v>506</v>
      </c>
    </row>
    <row r="576" spans="1:3" x14ac:dyDescent="0.25">
      <c r="A576" s="8">
        <v>43374</v>
      </c>
      <c r="B576">
        <v>62971</v>
      </c>
      <c r="C576">
        <v>4962</v>
      </c>
    </row>
    <row r="577" spans="1:3" x14ac:dyDescent="0.25">
      <c r="A577" s="8">
        <v>43405</v>
      </c>
      <c r="B577">
        <v>96662</v>
      </c>
      <c r="C577">
        <v>511</v>
      </c>
    </row>
    <row r="578" spans="1:3" x14ac:dyDescent="0.25">
      <c r="A578" s="8">
        <v>43435</v>
      </c>
      <c r="B578">
        <v>104281</v>
      </c>
      <c r="C578">
        <v>370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workbookViewId="0">
      <selection activeCell="K8" sqref="K8"/>
    </sheetView>
  </sheetViews>
  <sheetFormatPr defaultRowHeight="15" x14ac:dyDescent="0.25"/>
  <cols>
    <col min="1" max="1" width="9.7109375" bestFit="1" customWidth="1"/>
    <col min="2" max="2" width="16.140625" customWidth="1"/>
  </cols>
  <sheetData>
    <row r="1" spans="1:12" ht="75" x14ac:dyDescent="0.25">
      <c r="B1" s="32" t="s">
        <v>189</v>
      </c>
      <c r="C1" s="32" t="s">
        <v>188</v>
      </c>
      <c r="D1" s="32"/>
      <c r="I1" t="s">
        <v>190</v>
      </c>
    </row>
    <row r="2" spans="1:12" x14ac:dyDescent="0.25">
      <c r="A2" s="5">
        <v>42736</v>
      </c>
      <c r="B2">
        <v>9943</v>
      </c>
      <c r="C2">
        <v>2720</v>
      </c>
      <c r="D2">
        <f>B2+C2</f>
        <v>12663</v>
      </c>
      <c r="E2">
        <f>C2/D2</f>
        <v>0.21479902076917001</v>
      </c>
    </row>
    <row r="3" spans="1:12" x14ac:dyDescent="0.25">
      <c r="A3" s="5">
        <v>42767</v>
      </c>
      <c r="B3">
        <v>26660</v>
      </c>
      <c r="C3">
        <v>1287</v>
      </c>
      <c r="D3">
        <f t="shared" ref="D3:D25" si="0">B3+C3</f>
        <v>27947</v>
      </c>
      <c r="E3">
        <f t="shared" ref="E3:E25" si="1">C3/D3</f>
        <v>4.6051454538948725E-2</v>
      </c>
      <c r="K3" s="39" t="s">
        <v>192</v>
      </c>
      <c r="L3" s="39" t="s">
        <v>193</v>
      </c>
    </row>
    <row r="4" spans="1:12" x14ac:dyDescent="0.25">
      <c r="A4" s="5">
        <v>42795</v>
      </c>
      <c r="B4">
        <v>50990</v>
      </c>
      <c r="C4">
        <v>2575</v>
      </c>
      <c r="D4">
        <f t="shared" si="0"/>
        <v>53565</v>
      </c>
      <c r="E4">
        <f t="shared" si="1"/>
        <v>4.8072435358909739E-2</v>
      </c>
      <c r="I4">
        <v>7.4000000000000341</v>
      </c>
      <c r="J4">
        <v>-147</v>
      </c>
      <c r="K4">
        <v>2.1593230230522422E-2</v>
      </c>
      <c r="L4">
        <v>-0.34754901960784318</v>
      </c>
    </row>
    <row r="5" spans="1:12" x14ac:dyDescent="0.25">
      <c r="A5" s="5">
        <v>42826</v>
      </c>
      <c r="B5">
        <v>70780</v>
      </c>
      <c r="C5">
        <v>3606</v>
      </c>
      <c r="D5">
        <f t="shared" si="0"/>
        <v>74386</v>
      </c>
      <c r="E5">
        <f t="shared" si="1"/>
        <v>4.8476863926007585E-2</v>
      </c>
      <c r="I5">
        <v>8.6999999999999886</v>
      </c>
      <c r="J5">
        <v>-135.70000000000005</v>
      </c>
      <c r="K5">
        <v>3.3947623666343352E-2</v>
      </c>
      <c r="L5">
        <v>-0.32040686586141132</v>
      </c>
    </row>
    <row r="6" spans="1:12" x14ac:dyDescent="0.25">
      <c r="A6" s="5">
        <v>42856</v>
      </c>
      <c r="B6">
        <v>68290</v>
      </c>
      <c r="C6">
        <v>4503</v>
      </c>
      <c r="D6">
        <f t="shared" si="0"/>
        <v>72793</v>
      </c>
      <c r="E6">
        <f t="shared" si="1"/>
        <v>6.1860343714368139E-2</v>
      </c>
      <c r="I6">
        <v>10.5</v>
      </c>
      <c r="J6">
        <v>-100.80000000000001</v>
      </c>
      <c r="K6">
        <v>3.553921568627446E-2</v>
      </c>
      <c r="L6">
        <v>-0.3144114921223356</v>
      </c>
    </row>
    <row r="7" spans="1:12" x14ac:dyDescent="0.25">
      <c r="A7" s="5">
        <v>42887</v>
      </c>
      <c r="B7">
        <v>73450</v>
      </c>
      <c r="C7">
        <v>4318</v>
      </c>
      <c r="D7">
        <f t="shared" si="0"/>
        <v>77768</v>
      </c>
      <c r="E7">
        <f t="shared" si="1"/>
        <v>5.5524123032609812E-2</v>
      </c>
      <c r="I7">
        <v>13.300000000000011</v>
      </c>
      <c r="J7">
        <v>-94.699999999999989</v>
      </c>
      <c r="K7">
        <v>4.6357615894039778E-2</v>
      </c>
      <c r="L7">
        <v>-0.30006123698714027</v>
      </c>
    </row>
    <row r="8" spans="1:12" x14ac:dyDescent="0.25">
      <c r="A8" s="5">
        <v>42917</v>
      </c>
      <c r="B8">
        <v>74520</v>
      </c>
      <c r="C8">
        <v>3146</v>
      </c>
      <c r="D8">
        <f t="shared" si="0"/>
        <v>77666</v>
      </c>
      <c r="E8">
        <f t="shared" si="1"/>
        <v>4.0506785465969662E-2</v>
      </c>
      <c r="I8">
        <v>20.700000000000017</v>
      </c>
      <c r="J8">
        <v>-81.400000000000006</v>
      </c>
      <c r="K8">
        <v>7.1607254534083731E-2</v>
      </c>
      <c r="L8">
        <v>-0.28214904679376085</v>
      </c>
    </row>
    <row r="9" spans="1:12" x14ac:dyDescent="0.25">
      <c r="A9" s="5">
        <v>42948</v>
      </c>
      <c r="B9">
        <v>65550</v>
      </c>
      <c r="C9">
        <v>6244</v>
      </c>
      <c r="D9">
        <f t="shared" si="0"/>
        <v>71794</v>
      </c>
      <c r="E9">
        <f t="shared" si="1"/>
        <v>8.6971056077109504E-2</v>
      </c>
      <c r="I9">
        <v>22.899999999999977</v>
      </c>
      <c r="J9">
        <v>-75.700000000000045</v>
      </c>
      <c r="K9">
        <v>8.6991869918699255E-2</v>
      </c>
      <c r="L9">
        <v>-0.20422687082165192</v>
      </c>
    </row>
    <row r="10" spans="1:12" x14ac:dyDescent="0.25">
      <c r="A10" s="5">
        <v>42979</v>
      </c>
      <c r="B10">
        <v>52020</v>
      </c>
      <c r="C10">
        <v>4677</v>
      </c>
      <c r="D10">
        <f t="shared" si="0"/>
        <v>56697</v>
      </c>
      <c r="E10">
        <f t="shared" si="1"/>
        <v>8.2491137097200906E-2</v>
      </c>
      <c r="I10">
        <v>25.5</v>
      </c>
      <c r="J10">
        <v>-70.900000000000006</v>
      </c>
      <c r="K10">
        <v>9.1038914673330945E-2</v>
      </c>
      <c r="L10">
        <v>-0.18873098977811029</v>
      </c>
    </row>
    <row r="11" spans="1:12" x14ac:dyDescent="0.25">
      <c r="A11" s="5">
        <v>43009</v>
      </c>
      <c r="B11">
        <v>44450</v>
      </c>
      <c r="C11">
        <v>3001</v>
      </c>
      <c r="D11">
        <f t="shared" si="0"/>
        <v>47451</v>
      </c>
      <c r="E11">
        <f t="shared" si="1"/>
        <v>6.3244188742070773E-2</v>
      </c>
      <c r="I11">
        <v>28.899999999999977</v>
      </c>
      <c r="J11">
        <v>-57.799999999999955</v>
      </c>
      <c r="K11">
        <v>9.1918294849023169E-2</v>
      </c>
      <c r="L11">
        <v>-0.17156426239240119</v>
      </c>
    </row>
    <row r="12" spans="1:12" x14ac:dyDescent="0.25">
      <c r="A12" s="5">
        <v>43040</v>
      </c>
      <c r="B12">
        <v>26420</v>
      </c>
      <c r="C12">
        <v>1488</v>
      </c>
      <c r="D12">
        <f t="shared" si="0"/>
        <v>27908</v>
      </c>
      <c r="E12">
        <f t="shared" si="1"/>
        <v>5.3318045005016482E-2</v>
      </c>
      <c r="I12">
        <v>28.900000000000034</v>
      </c>
      <c r="J12">
        <v>-50.400000000000034</v>
      </c>
      <c r="K12">
        <v>0.10115505775288777</v>
      </c>
      <c r="L12">
        <v>-0.13444767441860467</v>
      </c>
    </row>
    <row r="13" spans="1:12" x14ac:dyDescent="0.25">
      <c r="A13" s="5">
        <v>43070</v>
      </c>
      <c r="B13">
        <v>29809</v>
      </c>
      <c r="C13">
        <v>3477</v>
      </c>
      <c r="D13">
        <f t="shared" si="0"/>
        <v>33286</v>
      </c>
      <c r="E13">
        <f t="shared" si="1"/>
        <v>0.10445833082977829</v>
      </c>
      <c r="I13">
        <v>30.199999999999989</v>
      </c>
      <c r="J13">
        <v>-37</v>
      </c>
      <c r="K13">
        <v>0.10820494446434964</v>
      </c>
      <c r="L13">
        <v>-0.13013168086754462</v>
      </c>
    </row>
    <row r="14" spans="1:12" x14ac:dyDescent="0.25">
      <c r="A14" s="5">
        <v>43101</v>
      </c>
      <c r="B14">
        <v>18660</v>
      </c>
      <c r="C14">
        <v>6809</v>
      </c>
      <c r="D14">
        <f t="shared" si="0"/>
        <v>25469</v>
      </c>
      <c r="E14">
        <f t="shared" si="1"/>
        <v>0.26734461502218382</v>
      </c>
      <c r="I14">
        <v>32.100000000000023</v>
      </c>
      <c r="J14">
        <v>-35.900000000000034</v>
      </c>
      <c r="K14">
        <v>0.12884529647793122</v>
      </c>
      <c r="L14">
        <v>-0.11121437422552674</v>
      </c>
    </row>
    <row r="15" spans="1:12" x14ac:dyDescent="0.25">
      <c r="A15" s="5">
        <v>43132</v>
      </c>
      <c r="B15">
        <v>30480</v>
      </c>
      <c r="C15">
        <v>1154</v>
      </c>
      <c r="D15">
        <f t="shared" si="0"/>
        <v>31634</v>
      </c>
      <c r="E15">
        <f t="shared" si="1"/>
        <v>3.6479736991844217E-2</v>
      </c>
      <c r="I15">
        <v>42.699999999999989</v>
      </c>
      <c r="J15">
        <v>-32.5</v>
      </c>
      <c r="K15">
        <v>0.12948381452318472</v>
      </c>
      <c r="L15">
        <v>-0.11058451816745656</v>
      </c>
    </row>
    <row r="16" spans="1:12" x14ac:dyDescent="0.25">
      <c r="A16" s="5">
        <v>43160</v>
      </c>
      <c r="B16">
        <v>52640</v>
      </c>
      <c r="C16">
        <v>3358</v>
      </c>
      <c r="D16">
        <f t="shared" si="0"/>
        <v>55998</v>
      </c>
      <c r="E16">
        <f t="shared" si="1"/>
        <v>5.9966427372406157E-2</v>
      </c>
      <c r="I16">
        <v>44.400000000000034</v>
      </c>
      <c r="J16">
        <v>-31.900000000000034</v>
      </c>
      <c r="K16">
        <v>0.13240310077519377</v>
      </c>
      <c r="L16">
        <v>-0.10044080604534016</v>
      </c>
    </row>
    <row r="17" spans="1:12" x14ac:dyDescent="0.25">
      <c r="A17" s="5">
        <v>43191</v>
      </c>
      <c r="B17">
        <v>58909</v>
      </c>
      <c r="C17">
        <v>4195</v>
      </c>
      <c r="D17">
        <f t="shared" si="0"/>
        <v>63104</v>
      </c>
      <c r="E17">
        <f t="shared" si="1"/>
        <v>6.6477560851926978E-2</v>
      </c>
      <c r="I17">
        <v>53.199999999999989</v>
      </c>
      <c r="J17">
        <v>-28.100000000000023</v>
      </c>
      <c r="K17">
        <v>0.22542283298097257</v>
      </c>
      <c r="L17">
        <v>-9.2830619822907731E-2</v>
      </c>
    </row>
    <row r="18" spans="1:12" x14ac:dyDescent="0.25">
      <c r="A18" s="5">
        <v>43221</v>
      </c>
      <c r="B18">
        <v>74200</v>
      </c>
      <c r="C18">
        <v>4352</v>
      </c>
      <c r="D18">
        <f t="shared" si="0"/>
        <v>78552</v>
      </c>
      <c r="E18">
        <f t="shared" si="1"/>
        <v>5.5402790508198393E-2</v>
      </c>
      <c r="I18">
        <v>64.199999999999989</v>
      </c>
      <c r="J18">
        <v>-28</v>
      </c>
      <c r="K18">
        <v>0.2260943476413089</v>
      </c>
      <c r="L18">
        <v>-9.1950261780104778E-2</v>
      </c>
    </row>
    <row r="19" spans="1:12" x14ac:dyDescent="0.25">
      <c r="A19" s="5">
        <v>43252</v>
      </c>
      <c r="B19">
        <v>73350</v>
      </c>
      <c r="C19">
        <v>4384</v>
      </c>
      <c r="D19">
        <f t="shared" si="0"/>
        <v>77734</v>
      </c>
      <c r="E19">
        <f t="shared" si="1"/>
        <v>5.6397457997787323E-2</v>
      </c>
      <c r="I19">
        <v>85.300000000000011</v>
      </c>
      <c r="J19">
        <v>-20.099999999999966</v>
      </c>
      <c r="K19">
        <v>0.24854819976771192</v>
      </c>
      <c r="L19">
        <v>-6.6955363091272369E-2</v>
      </c>
    </row>
    <row r="20" spans="1:12" x14ac:dyDescent="0.25">
      <c r="A20" s="5">
        <v>43282</v>
      </c>
      <c r="B20">
        <v>75290</v>
      </c>
      <c r="C20">
        <v>6089</v>
      </c>
      <c r="D20">
        <f t="shared" si="0"/>
        <v>81379</v>
      </c>
      <c r="E20">
        <f t="shared" si="1"/>
        <v>7.4822742968087594E-2</v>
      </c>
      <c r="I20">
        <v>106.20000000000005</v>
      </c>
      <c r="J20">
        <v>-20.099999999999966</v>
      </c>
      <c r="K20">
        <v>0.32636754763368181</v>
      </c>
      <c r="L20">
        <v>-5.6015779092702125E-2</v>
      </c>
    </row>
    <row r="21" spans="1:12" x14ac:dyDescent="0.25">
      <c r="A21" s="5">
        <v>43313</v>
      </c>
      <c r="B21">
        <v>67490</v>
      </c>
      <c r="C21">
        <v>4564</v>
      </c>
      <c r="D21">
        <f t="shared" si="0"/>
        <v>72054</v>
      </c>
      <c r="E21">
        <f t="shared" si="1"/>
        <v>6.3341382851750075E-2</v>
      </c>
      <c r="I21">
        <v>109</v>
      </c>
      <c r="J21">
        <v>-14.199999999999989</v>
      </c>
      <c r="K21">
        <v>0.50982226379794193</v>
      </c>
      <c r="L21">
        <v>-5.5038335158816995E-2</v>
      </c>
    </row>
    <row r="22" spans="1:12" x14ac:dyDescent="0.25">
      <c r="A22" s="5">
        <v>43344</v>
      </c>
      <c r="B22">
        <v>59160</v>
      </c>
      <c r="C22">
        <v>6823</v>
      </c>
      <c r="D22">
        <f t="shared" si="0"/>
        <v>65983</v>
      </c>
      <c r="E22">
        <f t="shared" si="1"/>
        <v>0.1034054226088538</v>
      </c>
      <c r="I22">
        <v>111.70000000000002</v>
      </c>
      <c r="J22">
        <v>-12.799999999999983</v>
      </c>
      <c r="K22">
        <v>0.5481903212688084</v>
      </c>
      <c r="L22">
        <v>-5.3985660059046744E-2</v>
      </c>
    </row>
    <row r="23" spans="1:12" x14ac:dyDescent="0.25">
      <c r="A23" s="5">
        <v>43374</v>
      </c>
      <c r="B23">
        <v>31950</v>
      </c>
      <c r="C23">
        <v>1567</v>
      </c>
      <c r="D23">
        <f t="shared" si="0"/>
        <v>33517</v>
      </c>
      <c r="E23">
        <f t="shared" si="1"/>
        <v>4.6752394307366413E-2</v>
      </c>
      <c r="I23">
        <v>134.79999999999998</v>
      </c>
      <c r="J23">
        <v>-7.6999999999999886</v>
      </c>
      <c r="K23">
        <v>0.65562690098006093</v>
      </c>
      <c r="L23">
        <v>-2.7747747747747707E-2</v>
      </c>
    </row>
    <row r="24" spans="1:12" x14ac:dyDescent="0.25">
      <c r="A24" s="5">
        <v>43405</v>
      </c>
      <c r="B24">
        <v>31650</v>
      </c>
      <c r="C24">
        <v>2198</v>
      </c>
      <c r="D24">
        <f t="shared" si="0"/>
        <v>33848</v>
      </c>
      <c r="E24">
        <f t="shared" si="1"/>
        <v>6.493736705270621E-2</v>
      </c>
      <c r="I24">
        <v>194</v>
      </c>
      <c r="J24">
        <v>-6.6999999999999886</v>
      </c>
      <c r="K24">
        <v>0.83921863260706253</v>
      </c>
      <c r="L24">
        <v>-2.48332097850259E-2</v>
      </c>
    </row>
    <row r="25" spans="1:12" x14ac:dyDescent="0.25">
      <c r="A25" s="5">
        <v>43435</v>
      </c>
      <c r="B25">
        <v>21680</v>
      </c>
      <c r="C25">
        <v>1369</v>
      </c>
      <c r="D25">
        <f t="shared" si="0"/>
        <v>23049</v>
      </c>
      <c r="E25">
        <f t="shared" si="1"/>
        <v>5.9395201527181224E-2</v>
      </c>
      <c r="J25">
        <v>-4.8000000000000114</v>
      </c>
      <c r="L25">
        <v>-1.8244013683010304E-2</v>
      </c>
    </row>
    <row r="26" spans="1:12" x14ac:dyDescent="0.25">
      <c r="J26">
        <v>-3.0999999999999943</v>
      </c>
      <c r="L26">
        <v>-1.4968614196040533E-2</v>
      </c>
    </row>
    <row r="27" spans="1:12" x14ac:dyDescent="0.25">
      <c r="J27">
        <v>-2.8999999999999773</v>
      </c>
      <c r="L27">
        <v>-1.217464315701082E-2</v>
      </c>
    </row>
    <row r="28" spans="1:12" x14ac:dyDescent="0.25">
      <c r="J28">
        <v>-2.3000000000000114</v>
      </c>
      <c r="L28">
        <v>-9.1934809862098486E-3</v>
      </c>
    </row>
    <row r="29" spans="1:12" x14ac:dyDescent="0.25">
      <c r="J29">
        <v>-2.2000000000000171</v>
      </c>
      <c r="L29">
        <v>-6.0415024954032347E-3</v>
      </c>
    </row>
  </sheetData>
  <sortState ref="K4:K50">
    <sortCondition ref="K4"/>
  </sortState>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workbookViewId="0">
      <pane xSplit="1" ySplit="4" topLeftCell="B25" activePane="bottomRight" state="frozen"/>
      <selection pane="topRight" activeCell="B1" sqref="B1"/>
      <selection pane="bottomLeft" activeCell="A5" sqref="A5"/>
      <selection pane="bottomRight" activeCell="E5" sqref="E5:E51"/>
    </sheetView>
  </sheetViews>
  <sheetFormatPr defaultRowHeight="15" x14ac:dyDescent="0.25"/>
  <cols>
    <col min="1" max="1" width="15.5703125" style="1" bestFit="1" customWidth="1"/>
    <col min="2" max="2" width="37.7109375" customWidth="1"/>
    <col min="3" max="3" width="15.28515625" customWidth="1"/>
    <col min="4" max="4" width="14.42578125" customWidth="1"/>
    <col min="5" max="5" width="16.42578125" customWidth="1"/>
    <col min="6" max="6" width="38.7109375" customWidth="1"/>
    <col min="7" max="7" width="33" customWidth="1"/>
    <col min="8" max="8" width="26.28515625" customWidth="1"/>
    <col min="9" max="9" width="41" customWidth="1"/>
    <col min="10" max="10" width="27" customWidth="1"/>
    <col min="11" max="11" width="60.42578125" customWidth="1"/>
    <col min="12" max="12" width="31.7109375" customWidth="1"/>
    <col min="13" max="13" width="21.85546875" bestFit="1" customWidth="1"/>
  </cols>
  <sheetData>
    <row r="1" spans="1:13" ht="75" customHeight="1" x14ac:dyDescent="0.25">
      <c r="A1" s="9" t="s">
        <v>1</v>
      </c>
      <c r="B1" s="38" t="s">
        <v>55</v>
      </c>
      <c r="C1" s="38"/>
      <c r="D1" s="38"/>
      <c r="E1" s="38"/>
      <c r="F1" s="11" t="s">
        <v>61</v>
      </c>
      <c r="G1" s="1" t="s">
        <v>65</v>
      </c>
      <c r="H1" s="10" t="s">
        <v>67</v>
      </c>
      <c r="I1" s="10" t="s">
        <v>93</v>
      </c>
      <c r="J1" s="38" t="s">
        <v>112</v>
      </c>
      <c r="K1" s="38" t="s">
        <v>111</v>
      </c>
      <c r="L1" s="10" t="s">
        <v>113</v>
      </c>
      <c r="M1" s="38" t="s">
        <v>118</v>
      </c>
    </row>
    <row r="2" spans="1:13" x14ac:dyDescent="0.25">
      <c r="A2" s="9" t="s">
        <v>0</v>
      </c>
      <c r="B2" s="37" t="s">
        <v>56</v>
      </c>
      <c r="C2" s="37"/>
      <c r="D2" s="37"/>
      <c r="E2" s="37"/>
      <c r="F2" s="37" t="s">
        <v>60</v>
      </c>
      <c r="G2" s="37" t="s">
        <v>64</v>
      </c>
      <c r="H2" s="37" t="s">
        <v>66</v>
      </c>
      <c r="I2" s="37" t="s">
        <v>69</v>
      </c>
      <c r="J2" s="37" t="s">
        <v>109</v>
      </c>
      <c r="K2" s="37" t="s">
        <v>110</v>
      </c>
      <c r="L2" s="37" t="s">
        <v>71</v>
      </c>
      <c r="M2" s="37" t="s">
        <v>117</v>
      </c>
    </row>
    <row r="3" spans="1:13" x14ac:dyDescent="0.25">
      <c r="A3" s="1" t="s">
        <v>2</v>
      </c>
      <c r="B3" s="37" t="s">
        <v>62</v>
      </c>
      <c r="C3" s="37" t="s">
        <v>191</v>
      </c>
      <c r="D3" s="37" t="s">
        <v>190</v>
      </c>
      <c r="E3" s="37"/>
      <c r="F3" s="37" t="s">
        <v>63</v>
      </c>
      <c r="G3" s="37" t="s">
        <v>63</v>
      </c>
      <c r="H3" s="37" t="s">
        <v>63</v>
      </c>
      <c r="I3" s="37" t="s">
        <v>68</v>
      </c>
      <c r="J3" s="37" t="s">
        <v>72</v>
      </c>
      <c r="K3" s="37" t="s">
        <v>72</v>
      </c>
      <c r="L3" s="37" t="s">
        <v>72</v>
      </c>
      <c r="M3" s="37" t="s">
        <v>3</v>
      </c>
    </row>
    <row r="4" spans="1:13" x14ac:dyDescent="0.25">
      <c r="A4" s="1" t="s">
        <v>58</v>
      </c>
      <c r="B4" s="37" t="s">
        <v>57</v>
      </c>
      <c r="C4" s="37">
        <f>B5</f>
        <v>275.2</v>
      </c>
      <c r="D4" s="37"/>
      <c r="E4" s="37"/>
      <c r="F4" s="37" t="s">
        <v>57</v>
      </c>
      <c r="G4" s="37" t="s">
        <v>57</v>
      </c>
      <c r="H4" s="37" t="s">
        <v>57</v>
      </c>
      <c r="I4" s="37" t="s">
        <v>57</v>
      </c>
      <c r="J4" s="37" t="s">
        <v>57</v>
      </c>
      <c r="K4" s="37" t="s">
        <v>57</v>
      </c>
      <c r="L4" s="37" t="s">
        <v>57</v>
      </c>
      <c r="M4" s="37" t="s">
        <v>57</v>
      </c>
    </row>
    <row r="5" spans="1:13" x14ac:dyDescent="0.25">
      <c r="A5" s="1">
        <v>1971</v>
      </c>
      <c r="B5">
        <v>275.2</v>
      </c>
      <c r="C5" s="37">
        <f t="shared" ref="C5:C54" si="0">B6</f>
        <v>238.2</v>
      </c>
      <c r="D5">
        <f>C5-B5</f>
        <v>-37</v>
      </c>
      <c r="E5">
        <f>D5/B5</f>
        <v>-0.13444767441860467</v>
      </c>
      <c r="F5">
        <v>500.4</v>
      </c>
      <c r="G5">
        <v>9.6</v>
      </c>
      <c r="H5">
        <v>39.200000000000003</v>
      </c>
      <c r="I5">
        <v>80.900000000000006</v>
      </c>
      <c r="J5">
        <v>130</v>
      </c>
      <c r="K5">
        <v>889.7</v>
      </c>
      <c r="L5">
        <v>164.3</v>
      </c>
      <c r="M5">
        <v>2.5</v>
      </c>
    </row>
    <row r="6" spans="1:13" x14ac:dyDescent="0.25">
      <c r="A6" s="1">
        <v>1972</v>
      </c>
      <c r="B6">
        <v>238.2</v>
      </c>
      <c r="C6" s="37">
        <f t="shared" si="0"/>
        <v>235.3</v>
      </c>
      <c r="D6">
        <f t="shared" ref="D6:D54" si="1">C6-B6</f>
        <v>-2.8999999999999773</v>
      </c>
      <c r="E6">
        <f t="shared" ref="E6:E54" si="2">D6/B6</f>
        <v>-1.217464315701082E-2</v>
      </c>
      <c r="F6">
        <v>504</v>
      </c>
      <c r="G6">
        <v>8.9</v>
      </c>
      <c r="H6">
        <v>34.4</v>
      </c>
      <c r="I6">
        <v>93.3</v>
      </c>
      <c r="J6">
        <v>180.8</v>
      </c>
      <c r="K6">
        <v>891.1</v>
      </c>
      <c r="L6">
        <v>187</v>
      </c>
      <c r="M6">
        <v>2.9</v>
      </c>
    </row>
    <row r="7" spans="1:13" x14ac:dyDescent="0.25">
      <c r="A7" s="1">
        <v>1973</v>
      </c>
      <c r="B7">
        <v>235.3</v>
      </c>
      <c r="C7" s="37">
        <f t="shared" si="0"/>
        <v>288.5</v>
      </c>
      <c r="D7">
        <f t="shared" si="1"/>
        <v>53.199999999999989</v>
      </c>
      <c r="E7">
        <f t="shared" si="2"/>
        <v>0.2260943476413089</v>
      </c>
      <c r="F7">
        <v>502.1</v>
      </c>
      <c r="G7">
        <v>9.1</v>
      </c>
      <c r="H7">
        <v>48.2</v>
      </c>
      <c r="I7">
        <v>87.8</v>
      </c>
      <c r="J7">
        <v>95.2</v>
      </c>
      <c r="K7">
        <v>732.3</v>
      </c>
      <c r="L7">
        <v>169.1</v>
      </c>
      <c r="M7">
        <v>4</v>
      </c>
    </row>
    <row r="8" spans="1:13" x14ac:dyDescent="0.25">
      <c r="A8" s="1">
        <v>1974</v>
      </c>
      <c r="B8">
        <v>288.5</v>
      </c>
      <c r="C8" s="37">
        <f t="shared" si="0"/>
        <v>207.1</v>
      </c>
      <c r="D8">
        <f t="shared" si="1"/>
        <v>-81.400000000000006</v>
      </c>
      <c r="E8">
        <f t="shared" si="2"/>
        <v>-0.28214904679376085</v>
      </c>
      <c r="F8">
        <v>524.5</v>
      </c>
      <c r="G8">
        <v>9.9</v>
      </c>
      <c r="H8">
        <v>41</v>
      </c>
      <c r="I8">
        <v>96.5</v>
      </c>
      <c r="J8">
        <v>112.6</v>
      </c>
      <c r="K8">
        <v>946.9</v>
      </c>
      <c r="L8">
        <v>191.8</v>
      </c>
      <c r="M8">
        <v>4.3</v>
      </c>
    </row>
    <row r="9" spans="1:13" x14ac:dyDescent="0.25">
      <c r="A9" s="1">
        <v>1975</v>
      </c>
      <c r="B9">
        <v>207.1</v>
      </c>
      <c r="C9" s="37">
        <f t="shared" si="0"/>
        <v>204</v>
      </c>
      <c r="D9">
        <f t="shared" si="1"/>
        <v>-3.0999999999999943</v>
      </c>
      <c r="E9">
        <f t="shared" si="2"/>
        <v>-1.4968614196040533E-2</v>
      </c>
      <c r="F9">
        <v>393.8</v>
      </c>
      <c r="G9">
        <v>8.6999999999999993</v>
      </c>
      <c r="H9">
        <v>36.9</v>
      </c>
      <c r="I9">
        <v>89</v>
      </c>
      <c r="J9">
        <v>100.2</v>
      </c>
      <c r="K9">
        <v>826.1</v>
      </c>
      <c r="L9">
        <v>196.3</v>
      </c>
      <c r="M9">
        <v>5.0999999999999996</v>
      </c>
    </row>
    <row r="10" spans="1:13" x14ac:dyDescent="0.25">
      <c r="A10" s="1">
        <v>1976</v>
      </c>
      <c r="B10">
        <v>204</v>
      </c>
      <c r="C10" s="37">
        <f t="shared" si="0"/>
        <v>133.1</v>
      </c>
      <c r="D10">
        <f t="shared" si="1"/>
        <v>-70.900000000000006</v>
      </c>
      <c r="E10">
        <f t="shared" si="2"/>
        <v>-0.34754901960784318</v>
      </c>
      <c r="F10">
        <v>416.5</v>
      </c>
      <c r="G10">
        <v>10.4</v>
      </c>
      <c r="H10">
        <v>38.200000000000003</v>
      </c>
      <c r="I10">
        <v>141.4</v>
      </c>
      <c r="J10">
        <v>101.2</v>
      </c>
      <c r="K10">
        <v>839.9</v>
      </c>
      <c r="L10">
        <v>149.19999999999999</v>
      </c>
      <c r="M10">
        <v>2.7</v>
      </c>
    </row>
    <row r="11" spans="1:13" x14ac:dyDescent="0.25">
      <c r="A11" s="1">
        <v>1977</v>
      </c>
      <c r="B11">
        <v>133.1</v>
      </c>
      <c r="C11" s="37">
        <f t="shared" si="0"/>
        <v>244.8</v>
      </c>
      <c r="D11">
        <f t="shared" si="1"/>
        <v>111.70000000000002</v>
      </c>
      <c r="E11">
        <f t="shared" si="2"/>
        <v>0.83921863260706253</v>
      </c>
      <c r="F11">
        <v>228</v>
      </c>
      <c r="G11">
        <v>4</v>
      </c>
      <c r="H11">
        <v>15.9</v>
      </c>
      <c r="I11">
        <v>131.9</v>
      </c>
      <c r="J11">
        <v>89.3</v>
      </c>
      <c r="K11">
        <v>769.7</v>
      </c>
      <c r="L11">
        <v>118.6</v>
      </c>
      <c r="M11">
        <v>3.8</v>
      </c>
    </row>
    <row r="12" spans="1:13" x14ac:dyDescent="0.25">
      <c r="A12" s="1">
        <v>1978</v>
      </c>
      <c r="B12">
        <v>244.8</v>
      </c>
      <c r="C12" s="37">
        <f t="shared" si="0"/>
        <v>253.5</v>
      </c>
      <c r="D12">
        <f t="shared" si="1"/>
        <v>8.6999999999999886</v>
      </c>
      <c r="E12">
        <f t="shared" si="2"/>
        <v>3.553921568627446E-2</v>
      </c>
      <c r="F12">
        <v>436.8</v>
      </c>
      <c r="G12">
        <v>12.4</v>
      </c>
      <c r="H12">
        <v>44.2</v>
      </c>
      <c r="I12">
        <v>157.1</v>
      </c>
      <c r="J12">
        <v>121.3</v>
      </c>
      <c r="K12">
        <v>921.1</v>
      </c>
      <c r="L12">
        <v>140</v>
      </c>
      <c r="M12">
        <v>4.3</v>
      </c>
    </row>
    <row r="13" spans="1:13" x14ac:dyDescent="0.25">
      <c r="A13" s="1">
        <v>1979</v>
      </c>
      <c r="B13">
        <v>253.5</v>
      </c>
      <c r="C13" s="37">
        <f t="shared" si="0"/>
        <v>239.3</v>
      </c>
      <c r="D13">
        <f t="shared" si="1"/>
        <v>-14.199999999999989</v>
      </c>
      <c r="E13">
        <f t="shared" si="2"/>
        <v>-5.6015779092702125E-2</v>
      </c>
      <c r="F13">
        <v>450.1</v>
      </c>
      <c r="G13">
        <v>13.8</v>
      </c>
      <c r="H13">
        <v>56.3</v>
      </c>
      <c r="I13">
        <v>174.8</v>
      </c>
      <c r="J13">
        <v>119.9</v>
      </c>
      <c r="K13">
        <v>911.9</v>
      </c>
      <c r="L13">
        <v>171.2</v>
      </c>
      <c r="M13">
        <v>5.3</v>
      </c>
    </row>
    <row r="14" spans="1:13" x14ac:dyDescent="0.25">
      <c r="A14" s="1">
        <v>1980</v>
      </c>
      <c r="B14">
        <v>239.3</v>
      </c>
      <c r="C14" s="37">
        <f t="shared" si="0"/>
        <v>237.1</v>
      </c>
      <c r="D14">
        <f t="shared" si="1"/>
        <v>-2.2000000000000171</v>
      </c>
      <c r="E14">
        <f t="shared" si="2"/>
        <v>-9.1934809862098486E-3</v>
      </c>
      <c r="F14">
        <v>418.6</v>
      </c>
      <c r="G14">
        <v>13</v>
      </c>
      <c r="H14">
        <v>52.5</v>
      </c>
      <c r="I14">
        <v>204.8</v>
      </c>
      <c r="J14">
        <v>116.3</v>
      </c>
      <c r="K14">
        <v>937.2</v>
      </c>
      <c r="L14">
        <v>160.19999999999999</v>
      </c>
      <c r="M14">
        <v>6.3</v>
      </c>
    </row>
    <row r="15" spans="1:13" x14ac:dyDescent="0.25">
      <c r="A15" s="1">
        <v>1981</v>
      </c>
      <c r="B15">
        <v>237.1</v>
      </c>
      <c r="C15" s="37">
        <f t="shared" si="0"/>
        <v>224.3</v>
      </c>
      <c r="D15">
        <f t="shared" si="1"/>
        <v>-12.799999999999983</v>
      </c>
      <c r="E15">
        <f t="shared" si="2"/>
        <v>-5.3985660059046744E-2</v>
      </c>
      <c r="F15">
        <v>409.1</v>
      </c>
      <c r="G15">
        <v>9.1</v>
      </c>
      <c r="H15">
        <v>42.9</v>
      </c>
      <c r="I15">
        <v>175.7</v>
      </c>
      <c r="J15">
        <v>154.9</v>
      </c>
      <c r="K15">
        <v>1059.4000000000001</v>
      </c>
      <c r="L15">
        <v>187.3</v>
      </c>
      <c r="M15">
        <v>4.5999999999999996</v>
      </c>
    </row>
    <row r="16" spans="1:13" x14ac:dyDescent="0.25">
      <c r="A16" s="1">
        <v>1982</v>
      </c>
      <c r="B16">
        <v>224.3</v>
      </c>
      <c r="C16" s="37">
        <f t="shared" si="0"/>
        <v>253.2</v>
      </c>
      <c r="D16">
        <f t="shared" si="1"/>
        <v>28.899999999999977</v>
      </c>
      <c r="E16">
        <f t="shared" si="2"/>
        <v>0.12884529647793122</v>
      </c>
      <c r="F16">
        <v>403.5</v>
      </c>
      <c r="G16">
        <v>7.8</v>
      </c>
      <c r="H16">
        <v>46.8</v>
      </c>
      <c r="I16">
        <v>179.4</v>
      </c>
      <c r="J16">
        <v>140.80000000000001</v>
      </c>
      <c r="K16">
        <v>1016.9</v>
      </c>
      <c r="L16">
        <v>204.1</v>
      </c>
      <c r="M16">
        <v>5.7</v>
      </c>
    </row>
    <row r="17" spans="1:13" x14ac:dyDescent="0.25">
      <c r="A17" s="1">
        <v>1983</v>
      </c>
      <c r="B17">
        <v>253.2</v>
      </c>
      <c r="C17" s="37">
        <f t="shared" si="0"/>
        <v>225.2</v>
      </c>
      <c r="D17">
        <f t="shared" si="1"/>
        <v>-28</v>
      </c>
      <c r="E17">
        <f t="shared" si="2"/>
        <v>-0.11058451816745656</v>
      </c>
      <c r="F17">
        <v>407.3</v>
      </c>
      <c r="G17">
        <v>9.1</v>
      </c>
      <c r="H17">
        <v>58.8</v>
      </c>
      <c r="I17">
        <v>185.2</v>
      </c>
      <c r="J17">
        <v>138.19999999999999</v>
      </c>
      <c r="K17">
        <v>1009.5</v>
      </c>
      <c r="L17">
        <v>209.3</v>
      </c>
      <c r="M17">
        <v>6.5</v>
      </c>
    </row>
    <row r="18" spans="1:13" x14ac:dyDescent="0.25">
      <c r="A18" s="1">
        <v>1984</v>
      </c>
      <c r="B18">
        <v>225.2</v>
      </c>
      <c r="C18" s="37">
        <f t="shared" si="0"/>
        <v>245.9</v>
      </c>
      <c r="D18">
        <f t="shared" si="1"/>
        <v>20.700000000000017</v>
      </c>
      <c r="E18">
        <f t="shared" si="2"/>
        <v>9.1918294849023169E-2</v>
      </c>
      <c r="F18">
        <v>438.7</v>
      </c>
      <c r="G18">
        <v>10.1</v>
      </c>
      <c r="H18">
        <v>60.3</v>
      </c>
      <c r="I18">
        <v>186.7</v>
      </c>
      <c r="J18">
        <v>134.69999999999999</v>
      </c>
      <c r="K18">
        <v>922.5</v>
      </c>
      <c r="L18">
        <v>224.1</v>
      </c>
      <c r="M18">
        <v>5.8</v>
      </c>
    </row>
    <row r="19" spans="1:13" x14ac:dyDescent="0.25">
      <c r="A19" s="1">
        <v>1985</v>
      </c>
      <c r="B19">
        <v>245.9</v>
      </c>
      <c r="C19" s="37">
        <f t="shared" si="0"/>
        <v>380.7</v>
      </c>
      <c r="D19">
        <f t="shared" si="1"/>
        <v>134.79999999999998</v>
      </c>
      <c r="E19">
        <f t="shared" si="2"/>
        <v>0.5481903212688084</v>
      </c>
      <c r="F19">
        <v>510.7</v>
      </c>
      <c r="G19">
        <v>9.6</v>
      </c>
      <c r="H19">
        <v>63.5</v>
      </c>
      <c r="I19">
        <v>198.6</v>
      </c>
      <c r="J19">
        <v>129.80000000000001</v>
      </c>
      <c r="K19">
        <v>1011.3</v>
      </c>
      <c r="L19">
        <v>202</v>
      </c>
      <c r="M19">
        <v>5.8</v>
      </c>
    </row>
    <row r="20" spans="1:13" x14ac:dyDescent="0.25">
      <c r="A20" s="1">
        <v>1986</v>
      </c>
      <c r="B20">
        <v>380.7</v>
      </c>
      <c r="C20" s="37">
        <f t="shared" si="0"/>
        <v>378.4</v>
      </c>
      <c r="D20">
        <f t="shared" si="1"/>
        <v>-2.3000000000000114</v>
      </c>
      <c r="E20">
        <f t="shared" si="2"/>
        <v>-6.0415024954032347E-3</v>
      </c>
      <c r="F20">
        <v>473.1</v>
      </c>
      <c r="G20">
        <v>1.3</v>
      </c>
      <c r="H20">
        <v>6.7</v>
      </c>
      <c r="I20">
        <v>199.3</v>
      </c>
      <c r="J20">
        <v>120.2</v>
      </c>
      <c r="K20">
        <v>836.1</v>
      </c>
      <c r="L20">
        <v>196.2</v>
      </c>
      <c r="M20">
        <v>3.9</v>
      </c>
    </row>
    <row r="21" spans="1:13" x14ac:dyDescent="0.25">
      <c r="A21" s="1">
        <v>1987</v>
      </c>
      <c r="B21">
        <v>378.4</v>
      </c>
      <c r="C21" s="37">
        <f t="shared" si="0"/>
        <v>463.7</v>
      </c>
      <c r="D21">
        <f t="shared" si="1"/>
        <v>85.300000000000011</v>
      </c>
      <c r="E21">
        <f t="shared" si="2"/>
        <v>0.22542283298097257</v>
      </c>
      <c r="F21">
        <v>461.3</v>
      </c>
      <c r="G21">
        <v>10.3</v>
      </c>
      <c r="H21">
        <v>54.2</v>
      </c>
      <c r="I21">
        <v>167.5</v>
      </c>
      <c r="J21">
        <v>138</v>
      </c>
      <c r="K21">
        <v>964.5</v>
      </c>
      <c r="L21">
        <v>285.10000000000002</v>
      </c>
      <c r="M21">
        <v>3.4</v>
      </c>
    </row>
    <row r="22" spans="1:13" x14ac:dyDescent="0.25">
      <c r="A22" s="1">
        <v>1988</v>
      </c>
      <c r="B22">
        <v>463.7</v>
      </c>
      <c r="C22" s="37">
        <f t="shared" si="0"/>
        <v>369</v>
      </c>
      <c r="D22">
        <f t="shared" si="1"/>
        <v>-94.699999999999989</v>
      </c>
      <c r="E22">
        <f t="shared" si="2"/>
        <v>-0.20422687082165192</v>
      </c>
      <c r="F22">
        <v>440.4</v>
      </c>
      <c r="G22">
        <v>9.6999999999999993</v>
      </c>
      <c r="H22">
        <v>53.5</v>
      </c>
      <c r="I22">
        <v>161.9</v>
      </c>
      <c r="J22">
        <v>185.8</v>
      </c>
      <c r="K22">
        <v>1089.7</v>
      </c>
      <c r="L22">
        <v>318</v>
      </c>
      <c r="M22">
        <v>3.3</v>
      </c>
    </row>
    <row r="23" spans="1:13" x14ac:dyDescent="0.25">
      <c r="A23" s="1">
        <v>1989</v>
      </c>
      <c r="B23">
        <v>369</v>
      </c>
      <c r="C23" s="37">
        <f t="shared" si="0"/>
        <v>401.1</v>
      </c>
      <c r="D23">
        <f t="shared" si="1"/>
        <v>32.100000000000023</v>
      </c>
      <c r="E23">
        <f t="shared" si="2"/>
        <v>8.6991869918699255E-2</v>
      </c>
      <c r="F23">
        <v>421.8</v>
      </c>
      <c r="G23">
        <v>9.1</v>
      </c>
      <c r="H23">
        <v>53.8</v>
      </c>
      <c r="I23">
        <v>213.9</v>
      </c>
      <c r="J23">
        <v>167.1</v>
      </c>
      <c r="K23">
        <v>1125.8</v>
      </c>
      <c r="L23">
        <v>393.4</v>
      </c>
      <c r="M23">
        <v>3.4</v>
      </c>
    </row>
    <row r="24" spans="1:13" x14ac:dyDescent="0.25">
      <c r="A24" s="1">
        <v>1990</v>
      </c>
      <c r="B24">
        <v>401.1</v>
      </c>
      <c r="C24" s="37">
        <f t="shared" si="0"/>
        <v>325.39999999999998</v>
      </c>
      <c r="D24">
        <f t="shared" si="1"/>
        <v>-75.700000000000045</v>
      </c>
      <c r="E24">
        <f t="shared" si="2"/>
        <v>-0.18873098977811029</v>
      </c>
      <c r="F24">
        <v>463.4</v>
      </c>
      <c r="G24">
        <v>10.6</v>
      </c>
      <c r="H24">
        <v>48.9</v>
      </c>
      <c r="I24">
        <v>194.8</v>
      </c>
      <c r="J24">
        <v>169.8</v>
      </c>
      <c r="K24">
        <v>1033.2</v>
      </c>
      <c r="L24">
        <v>309.89999999999998</v>
      </c>
      <c r="M24">
        <v>3.6</v>
      </c>
    </row>
    <row r="25" spans="1:13" x14ac:dyDescent="0.25">
      <c r="A25" s="1">
        <v>1991</v>
      </c>
      <c r="B25">
        <v>325.39999999999998</v>
      </c>
      <c r="C25" s="37">
        <f t="shared" si="0"/>
        <v>431.6</v>
      </c>
      <c r="D25">
        <f t="shared" si="1"/>
        <v>106.20000000000005</v>
      </c>
      <c r="E25">
        <f t="shared" si="2"/>
        <v>0.32636754763368181</v>
      </c>
      <c r="F25">
        <v>509.2</v>
      </c>
      <c r="G25">
        <v>13.8</v>
      </c>
      <c r="H25">
        <v>68.900000000000006</v>
      </c>
      <c r="I25">
        <v>192.8</v>
      </c>
      <c r="J25">
        <v>168.1</v>
      </c>
      <c r="K25">
        <v>1079.5</v>
      </c>
      <c r="L25">
        <v>269.60000000000002</v>
      </c>
      <c r="M25">
        <v>4.5</v>
      </c>
    </row>
    <row r="26" spans="1:13" x14ac:dyDescent="0.25">
      <c r="A26" s="1">
        <v>1992</v>
      </c>
      <c r="B26">
        <v>431.6</v>
      </c>
      <c r="C26" s="37">
        <f t="shared" si="0"/>
        <v>295.89999999999998</v>
      </c>
      <c r="D26">
        <f t="shared" si="1"/>
        <v>-135.70000000000005</v>
      </c>
      <c r="E26">
        <f t="shared" si="2"/>
        <v>-0.3144114921223356</v>
      </c>
      <c r="F26">
        <v>520.4</v>
      </c>
      <c r="G26">
        <v>13.5</v>
      </c>
      <c r="H26">
        <v>68.2</v>
      </c>
      <c r="I26">
        <v>179.3</v>
      </c>
      <c r="J26">
        <v>190.9</v>
      </c>
      <c r="K26">
        <v>1104</v>
      </c>
      <c r="L26">
        <v>273.10000000000002</v>
      </c>
      <c r="M26">
        <v>3.8</v>
      </c>
    </row>
    <row r="27" spans="1:13" x14ac:dyDescent="0.25">
      <c r="A27" s="1">
        <v>1993</v>
      </c>
      <c r="B27">
        <v>295.89999999999998</v>
      </c>
      <c r="C27" s="37">
        <f t="shared" si="0"/>
        <v>489.9</v>
      </c>
      <c r="D27">
        <f t="shared" si="1"/>
        <v>194</v>
      </c>
      <c r="E27">
        <f t="shared" si="2"/>
        <v>0.65562690098006093</v>
      </c>
      <c r="F27">
        <v>481.3</v>
      </c>
      <c r="G27">
        <v>12.9</v>
      </c>
      <c r="H27">
        <v>68.599999999999994</v>
      </c>
      <c r="I27">
        <v>193</v>
      </c>
      <c r="J27">
        <v>137.1</v>
      </c>
      <c r="K27">
        <v>912.6</v>
      </c>
      <c r="L27">
        <v>273.60000000000002</v>
      </c>
      <c r="M27">
        <v>4.5</v>
      </c>
    </row>
    <row r="28" spans="1:13" x14ac:dyDescent="0.25">
      <c r="A28" s="1">
        <v>1994</v>
      </c>
      <c r="B28">
        <v>489.9</v>
      </c>
      <c r="C28" s="37">
        <f t="shared" si="0"/>
        <v>342.9</v>
      </c>
      <c r="D28">
        <f t="shared" si="1"/>
        <v>-147</v>
      </c>
      <c r="E28">
        <f t="shared" si="2"/>
        <v>-0.30006123698714027</v>
      </c>
      <c r="F28">
        <v>633.9</v>
      </c>
      <c r="G28">
        <v>13.5</v>
      </c>
      <c r="H28">
        <v>76.900000000000006</v>
      </c>
      <c r="I28">
        <v>203.5</v>
      </c>
      <c r="J28">
        <v>151.80000000000001</v>
      </c>
      <c r="K28">
        <v>1111.3</v>
      </c>
      <c r="L28">
        <v>288.10000000000002</v>
      </c>
      <c r="M28">
        <v>4.9000000000000004</v>
      </c>
    </row>
    <row r="29" spans="1:13" x14ac:dyDescent="0.25">
      <c r="A29" s="1">
        <v>1995</v>
      </c>
      <c r="B29">
        <v>342.9</v>
      </c>
      <c r="C29" s="37">
        <f t="shared" si="0"/>
        <v>387.3</v>
      </c>
      <c r="D29">
        <f t="shared" si="1"/>
        <v>44.400000000000034</v>
      </c>
      <c r="E29">
        <f t="shared" si="2"/>
        <v>0.12948381452318472</v>
      </c>
      <c r="F29">
        <v>487.5</v>
      </c>
      <c r="G29">
        <v>9.6</v>
      </c>
      <c r="H29">
        <v>85.4</v>
      </c>
      <c r="I29">
        <v>197.8</v>
      </c>
      <c r="J29">
        <v>107.4</v>
      </c>
      <c r="K29">
        <v>762.8</v>
      </c>
      <c r="L29">
        <v>244.8</v>
      </c>
      <c r="M29">
        <v>4.3</v>
      </c>
    </row>
    <row r="30" spans="1:13" x14ac:dyDescent="0.25">
      <c r="A30" s="1">
        <v>1996</v>
      </c>
      <c r="B30">
        <v>387.3</v>
      </c>
      <c r="C30" s="37">
        <f t="shared" si="0"/>
        <v>336.9</v>
      </c>
      <c r="D30">
        <f t="shared" si="1"/>
        <v>-50.400000000000034</v>
      </c>
      <c r="E30">
        <f t="shared" si="2"/>
        <v>-0.13013168086754462</v>
      </c>
      <c r="F30">
        <v>443.7</v>
      </c>
      <c r="G30">
        <v>12.9</v>
      </c>
      <c r="H30">
        <v>64.400000000000006</v>
      </c>
      <c r="I30">
        <v>208.2</v>
      </c>
      <c r="J30">
        <v>191.9</v>
      </c>
      <c r="K30">
        <v>1013.8</v>
      </c>
      <c r="L30">
        <v>321.60000000000002</v>
      </c>
      <c r="M30">
        <v>0.4</v>
      </c>
    </row>
    <row r="31" spans="1:13" x14ac:dyDescent="0.25">
      <c r="A31" s="1">
        <v>1997</v>
      </c>
      <c r="B31">
        <v>336.9</v>
      </c>
      <c r="C31" s="37">
        <f t="shared" si="0"/>
        <v>279.10000000000002</v>
      </c>
      <c r="D31">
        <f t="shared" si="1"/>
        <v>-57.799999999999955</v>
      </c>
      <c r="E31">
        <f t="shared" si="2"/>
        <v>-0.17156426239240119</v>
      </c>
      <c r="F31">
        <v>442.7</v>
      </c>
      <c r="G31">
        <v>20.2</v>
      </c>
      <c r="H31">
        <v>62.2</v>
      </c>
      <c r="I31">
        <v>183.5</v>
      </c>
      <c r="J31">
        <v>131.4</v>
      </c>
      <c r="K31">
        <v>835.4</v>
      </c>
      <c r="L31">
        <v>277.10000000000002</v>
      </c>
      <c r="M31">
        <v>0.4</v>
      </c>
    </row>
    <row r="32" spans="1:13" x14ac:dyDescent="0.25">
      <c r="A32" s="1">
        <v>1998</v>
      </c>
      <c r="B32">
        <v>279.10000000000002</v>
      </c>
      <c r="C32" s="37">
        <f t="shared" si="0"/>
        <v>309.3</v>
      </c>
      <c r="D32">
        <f t="shared" si="1"/>
        <v>30.199999999999989</v>
      </c>
      <c r="E32">
        <f t="shared" si="2"/>
        <v>0.10820494446434964</v>
      </c>
      <c r="F32">
        <v>516</v>
      </c>
      <c r="G32">
        <v>19.3</v>
      </c>
      <c r="H32">
        <v>70.3</v>
      </c>
      <c r="I32">
        <v>194.1</v>
      </c>
      <c r="J32">
        <v>162.30000000000001</v>
      </c>
      <c r="K32">
        <v>964.4</v>
      </c>
      <c r="L32">
        <v>322.10000000000002</v>
      </c>
      <c r="M32">
        <v>0.5</v>
      </c>
    </row>
    <row r="33" spans="1:13" x14ac:dyDescent="0.25">
      <c r="A33" s="1">
        <v>1999</v>
      </c>
      <c r="B33">
        <v>309.3</v>
      </c>
      <c r="C33" s="37">
        <f t="shared" si="0"/>
        <v>319.8</v>
      </c>
      <c r="D33">
        <f t="shared" si="1"/>
        <v>10.5</v>
      </c>
      <c r="E33">
        <f t="shared" si="2"/>
        <v>3.3947623666343352E-2</v>
      </c>
      <c r="F33">
        <v>523.5</v>
      </c>
      <c r="G33">
        <v>17.899999999999999</v>
      </c>
      <c r="H33">
        <v>59</v>
      </c>
      <c r="I33">
        <v>155.6</v>
      </c>
      <c r="J33">
        <v>150.80000000000001</v>
      </c>
      <c r="K33">
        <v>850.1</v>
      </c>
      <c r="L33">
        <v>263.39999999999998</v>
      </c>
      <c r="M33">
        <v>0.5</v>
      </c>
    </row>
    <row r="34" spans="1:13" x14ac:dyDescent="0.25">
      <c r="A34" s="1">
        <v>2000</v>
      </c>
      <c r="B34">
        <v>319.8</v>
      </c>
      <c r="C34" s="37">
        <f t="shared" si="0"/>
        <v>342.7</v>
      </c>
      <c r="D34">
        <f t="shared" si="1"/>
        <v>22.899999999999977</v>
      </c>
      <c r="E34">
        <f t="shared" si="2"/>
        <v>7.1607254534083731E-2</v>
      </c>
      <c r="F34">
        <v>429</v>
      </c>
      <c r="G34">
        <v>14.1</v>
      </c>
      <c r="H34">
        <v>69.5</v>
      </c>
      <c r="I34">
        <v>181.1</v>
      </c>
      <c r="J34">
        <v>190.5</v>
      </c>
      <c r="K34">
        <v>1080.4000000000001</v>
      </c>
      <c r="L34">
        <v>359.5</v>
      </c>
      <c r="M34">
        <v>0.6</v>
      </c>
    </row>
    <row r="35" spans="1:13" x14ac:dyDescent="0.25">
      <c r="A35" s="1">
        <v>2001</v>
      </c>
      <c r="B35">
        <v>342.7</v>
      </c>
      <c r="C35" s="37">
        <f t="shared" si="0"/>
        <v>350.1</v>
      </c>
      <c r="D35">
        <f t="shared" si="1"/>
        <v>7.4000000000000341</v>
      </c>
      <c r="E35">
        <f t="shared" si="2"/>
        <v>2.1593230230522422E-2</v>
      </c>
      <c r="F35">
        <v>535.70000000000005</v>
      </c>
      <c r="G35">
        <v>21.6</v>
      </c>
      <c r="H35">
        <v>72.599999999999994</v>
      </c>
      <c r="I35">
        <v>195.5</v>
      </c>
      <c r="J35">
        <v>177.1</v>
      </c>
      <c r="K35">
        <v>1077.0999999999999</v>
      </c>
      <c r="L35">
        <v>353.1</v>
      </c>
      <c r="M35">
        <v>0.5</v>
      </c>
    </row>
    <row r="36" spans="1:13" x14ac:dyDescent="0.25">
      <c r="A36" s="1">
        <v>2002</v>
      </c>
      <c r="B36">
        <v>350.1</v>
      </c>
      <c r="C36" s="37">
        <f t="shared" si="0"/>
        <v>317.60000000000002</v>
      </c>
      <c r="D36">
        <f t="shared" si="1"/>
        <v>-32.5</v>
      </c>
      <c r="E36">
        <f t="shared" si="2"/>
        <v>-9.2830619822907731E-2</v>
      </c>
      <c r="F36">
        <v>403.8</v>
      </c>
      <c r="G36">
        <v>9.9</v>
      </c>
      <c r="H36">
        <v>51.9</v>
      </c>
      <c r="I36">
        <v>238.5</v>
      </c>
      <c r="J36">
        <v>215.1</v>
      </c>
      <c r="K36">
        <v>1006.9</v>
      </c>
      <c r="L36">
        <v>317.2</v>
      </c>
      <c r="M36">
        <v>0.4</v>
      </c>
    </row>
    <row r="37" spans="1:13" x14ac:dyDescent="0.25">
      <c r="A37" s="1">
        <v>2003</v>
      </c>
      <c r="B37">
        <v>317.60000000000002</v>
      </c>
      <c r="C37" s="37">
        <f t="shared" si="0"/>
        <v>285.7</v>
      </c>
      <c r="D37">
        <f t="shared" si="1"/>
        <v>-31.900000000000034</v>
      </c>
      <c r="E37">
        <f t="shared" si="2"/>
        <v>-0.10044080604534016</v>
      </c>
      <c r="F37">
        <v>478.1</v>
      </c>
      <c r="G37">
        <v>12.5</v>
      </c>
      <c r="H37">
        <v>60.1</v>
      </c>
      <c r="I37">
        <v>231.2</v>
      </c>
      <c r="J37">
        <v>180.8</v>
      </c>
      <c r="K37">
        <v>947.4</v>
      </c>
      <c r="L37">
        <v>322.2</v>
      </c>
      <c r="M37">
        <v>0.5</v>
      </c>
    </row>
    <row r="38" spans="1:13" x14ac:dyDescent="0.25">
      <c r="A38" s="1">
        <v>2004</v>
      </c>
      <c r="B38">
        <v>285.7</v>
      </c>
      <c r="C38" s="37">
        <f t="shared" si="0"/>
        <v>314.60000000000002</v>
      </c>
      <c r="D38">
        <f t="shared" si="1"/>
        <v>28.900000000000034</v>
      </c>
      <c r="E38">
        <f t="shared" si="2"/>
        <v>0.10115505775288777</v>
      </c>
      <c r="F38">
        <v>455</v>
      </c>
      <c r="G38">
        <v>12.2</v>
      </c>
      <c r="H38">
        <v>50.1</v>
      </c>
      <c r="I38">
        <v>229.1</v>
      </c>
      <c r="J38">
        <v>131.4</v>
      </c>
      <c r="K38">
        <v>847.5</v>
      </c>
      <c r="L38">
        <v>262.60000000000002</v>
      </c>
      <c r="M38">
        <v>0.6</v>
      </c>
    </row>
    <row r="39" spans="1:13" x14ac:dyDescent="0.25">
      <c r="A39" s="1">
        <v>2005</v>
      </c>
      <c r="B39">
        <v>314.60000000000002</v>
      </c>
      <c r="C39" s="37">
        <f t="shared" si="0"/>
        <v>213.8</v>
      </c>
      <c r="D39">
        <f t="shared" si="1"/>
        <v>-100.80000000000001</v>
      </c>
      <c r="E39">
        <f t="shared" si="2"/>
        <v>-0.32040686586141132</v>
      </c>
      <c r="F39">
        <v>490.3</v>
      </c>
      <c r="G39">
        <v>10.199999999999999</v>
      </c>
      <c r="H39">
        <v>71.7</v>
      </c>
      <c r="I39">
        <v>210.1</v>
      </c>
      <c r="J39">
        <v>118.6</v>
      </c>
      <c r="K39">
        <v>808</v>
      </c>
      <c r="L39">
        <v>292.89999999999998</v>
      </c>
      <c r="M39">
        <v>0.6</v>
      </c>
    </row>
    <row r="40" spans="1:13" s="22" customFormat="1" x14ac:dyDescent="0.25">
      <c r="A40" s="21">
        <v>2006</v>
      </c>
      <c r="B40" s="22">
        <v>213.8</v>
      </c>
      <c r="C40" s="37">
        <f t="shared" si="0"/>
        <v>322.8</v>
      </c>
      <c r="D40">
        <f t="shared" si="1"/>
        <v>109</v>
      </c>
      <c r="E40">
        <f t="shared" si="2"/>
        <v>0.50982226379794193</v>
      </c>
      <c r="F40" s="22">
        <v>529.9</v>
      </c>
      <c r="G40" s="22">
        <v>24.5</v>
      </c>
      <c r="H40" s="22">
        <v>123</v>
      </c>
      <c r="I40" s="22">
        <v>211.8</v>
      </c>
      <c r="J40" s="22">
        <v>153.6</v>
      </c>
      <c r="K40" s="22">
        <v>884.3</v>
      </c>
      <c r="L40" s="22">
        <v>282.2</v>
      </c>
      <c r="M40" s="22">
        <v>0.6</v>
      </c>
    </row>
    <row r="41" spans="1:13" s="22" customFormat="1" x14ac:dyDescent="0.25">
      <c r="A41" s="21">
        <v>2007</v>
      </c>
      <c r="B41" s="22">
        <v>322.8</v>
      </c>
      <c r="C41" s="37">
        <f t="shared" si="0"/>
        <v>286.89999999999998</v>
      </c>
      <c r="D41">
        <f t="shared" si="1"/>
        <v>-35.900000000000034</v>
      </c>
      <c r="E41">
        <f t="shared" si="2"/>
        <v>-0.11121437422552674</v>
      </c>
      <c r="F41" s="22">
        <v>513.9</v>
      </c>
      <c r="G41" s="22">
        <v>18.899999999999999</v>
      </c>
      <c r="H41" s="22">
        <v>155.19999999999999</v>
      </c>
      <c r="I41" s="22">
        <v>212.2</v>
      </c>
      <c r="J41" s="22">
        <v>159.5</v>
      </c>
      <c r="K41" s="22">
        <v>1054.5999999999999</v>
      </c>
      <c r="L41" s="22">
        <v>352.5</v>
      </c>
      <c r="M41" s="22">
        <v>0.8</v>
      </c>
    </row>
    <row r="42" spans="1:13" s="22" customFormat="1" x14ac:dyDescent="0.25">
      <c r="A42" s="21">
        <v>2008</v>
      </c>
      <c r="B42" s="22">
        <v>286.89999999999998</v>
      </c>
      <c r="C42" s="37">
        <f t="shared" si="0"/>
        <v>300.2</v>
      </c>
      <c r="D42">
        <f t="shared" si="1"/>
        <v>13.300000000000011</v>
      </c>
      <c r="E42">
        <f t="shared" si="2"/>
        <v>4.6357615894039778E-2</v>
      </c>
      <c r="F42" s="22">
        <v>465</v>
      </c>
      <c r="G42" s="22">
        <v>17.2</v>
      </c>
      <c r="H42" s="22">
        <v>138.30000000000001</v>
      </c>
      <c r="I42" s="22">
        <v>212.2</v>
      </c>
      <c r="J42" s="22">
        <v>163.5</v>
      </c>
      <c r="K42" s="22">
        <v>980.9</v>
      </c>
      <c r="L42" s="22">
        <v>410.1</v>
      </c>
      <c r="M42" s="22">
        <v>1</v>
      </c>
    </row>
    <row r="43" spans="1:13" s="22" customFormat="1" x14ac:dyDescent="0.25">
      <c r="A43" s="21">
        <v>2009</v>
      </c>
      <c r="B43" s="22">
        <v>300.2</v>
      </c>
      <c r="C43" s="37">
        <f t="shared" si="0"/>
        <v>280.10000000000002</v>
      </c>
      <c r="D43">
        <f t="shared" si="1"/>
        <v>-20.099999999999966</v>
      </c>
      <c r="E43">
        <f t="shared" si="2"/>
        <v>-6.6955363091272369E-2</v>
      </c>
      <c r="F43" s="22">
        <v>466.6</v>
      </c>
      <c r="G43" s="22">
        <v>14.3</v>
      </c>
      <c r="H43" s="22">
        <v>134.5</v>
      </c>
      <c r="I43" s="22">
        <v>212.2</v>
      </c>
      <c r="J43" s="22">
        <v>221</v>
      </c>
      <c r="K43" s="22">
        <v>969.7</v>
      </c>
      <c r="L43" s="22">
        <v>405.6</v>
      </c>
      <c r="M43" s="22">
        <v>0.8</v>
      </c>
    </row>
    <row r="44" spans="1:13" s="22" customFormat="1" x14ac:dyDescent="0.25">
      <c r="A44" s="21">
        <v>2010</v>
      </c>
      <c r="B44" s="22">
        <v>280.10000000000002</v>
      </c>
      <c r="C44" s="37">
        <f t="shared" si="0"/>
        <v>305.60000000000002</v>
      </c>
      <c r="D44">
        <f t="shared" si="1"/>
        <v>25.5</v>
      </c>
      <c r="E44">
        <f t="shared" si="2"/>
        <v>9.1038914673330945E-2</v>
      </c>
      <c r="F44" s="22">
        <v>452.1</v>
      </c>
      <c r="G44" s="22">
        <v>27.2</v>
      </c>
      <c r="H44" s="22">
        <v>131</v>
      </c>
      <c r="I44" s="22">
        <v>212.2</v>
      </c>
      <c r="J44" s="22">
        <v>203.7</v>
      </c>
      <c r="K44" s="22">
        <v>976.1</v>
      </c>
      <c r="L44" s="22">
        <v>391.3</v>
      </c>
      <c r="M44" s="22">
        <v>1.3</v>
      </c>
    </row>
    <row r="45" spans="1:13" s="22" customFormat="1" x14ac:dyDescent="0.25">
      <c r="A45" s="21">
        <v>2011</v>
      </c>
      <c r="B45" s="22">
        <v>305.60000000000002</v>
      </c>
      <c r="C45" s="37">
        <f t="shared" si="0"/>
        <v>277.5</v>
      </c>
      <c r="D45">
        <f t="shared" si="1"/>
        <v>-28.100000000000023</v>
      </c>
      <c r="E45">
        <f t="shared" si="2"/>
        <v>-9.1950261780104778E-2</v>
      </c>
      <c r="F45" s="22">
        <v>472.5</v>
      </c>
      <c r="G45" s="22">
        <v>18.899999999999999</v>
      </c>
      <c r="H45" s="22">
        <v>90.6</v>
      </c>
      <c r="I45" s="22">
        <v>208.4</v>
      </c>
      <c r="J45" s="22">
        <v>198</v>
      </c>
      <c r="K45" s="22">
        <v>889.5</v>
      </c>
      <c r="L45" s="22">
        <v>367.4</v>
      </c>
      <c r="M45" s="22">
        <v>1</v>
      </c>
    </row>
    <row r="46" spans="1:13" s="22" customFormat="1" x14ac:dyDescent="0.25">
      <c r="A46" s="21">
        <v>2012</v>
      </c>
      <c r="B46" s="22">
        <v>277.5</v>
      </c>
      <c r="C46" s="37">
        <f t="shared" si="0"/>
        <v>269.8</v>
      </c>
      <c r="D46">
        <f t="shared" si="1"/>
        <v>-7.6999999999999886</v>
      </c>
      <c r="E46">
        <f t="shared" si="2"/>
        <v>-2.7747747747747707E-2</v>
      </c>
      <c r="F46" s="22">
        <v>549.20000000000005</v>
      </c>
      <c r="G46" s="22">
        <v>19.100000000000001</v>
      </c>
      <c r="H46" s="22">
        <v>93.7</v>
      </c>
      <c r="I46" s="22">
        <v>208.4</v>
      </c>
      <c r="J46" s="22">
        <v>276.39999999999998</v>
      </c>
      <c r="K46" s="22">
        <v>1116.3</v>
      </c>
      <c r="L46" s="22">
        <v>506.9</v>
      </c>
      <c r="M46" s="22">
        <v>0.6</v>
      </c>
    </row>
    <row r="47" spans="1:13" s="22" customFormat="1" x14ac:dyDescent="0.25">
      <c r="A47" s="21">
        <v>2013</v>
      </c>
      <c r="B47" s="22">
        <v>269.8</v>
      </c>
      <c r="C47" s="37">
        <f t="shared" si="0"/>
        <v>263.10000000000002</v>
      </c>
      <c r="D47">
        <f t="shared" si="1"/>
        <v>-6.6999999999999886</v>
      </c>
      <c r="E47">
        <f t="shared" si="2"/>
        <v>-2.48332097850259E-2</v>
      </c>
      <c r="F47" s="22">
        <v>570.4</v>
      </c>
      <c r="G47" s="22">
        <v>21.4</v>
      </c>
      <c r="H47" s="22">
        <v>93.7</v>
      </c>
      <c r="I47" s="22">
        <v>208.4</v>
      </c>
      <c r="J47" s="22">
        <v>181.4</v>
      </c>
      <c r="K47" s="22">
        <v>802.3</v>
      </c>
      <c r="L47" s="22">
        <v>344.3</v>
      </c>
      <c r="M47" s="22">
        <v>1.1000000000000001</v>
      </c>
    </row>
    <row r="48" spans="1:13" s="22" customFormat="1" x14ac:dyDescent="0.25">
      <c r="A48" s="21">
        <v>2014</v>
      </c>
      <c r="B48" s="22">
        <v>263.10000000000002</v>
      </c>
      <c r="C48" s="37">
        <f t="shared" si="0"/>
        <v>258.3</v>
      </c>
      <c r="D48">
        <f t="shared" si="1"/>
        <v>-4.8000000000000114</v>
      </c>
      <c r="E48">
        <f t="shared" si="2"/>
        <v>-1.8244013683010304E-2</v>
      </c>
      <c r="F48" s="22">
        <v>442.2</v>
      </c>
      <c r="G48" s="22">
        <v>21</v>
      </c>
      <c r="H48" s="22">
        <v>74.2</v>
      </c>
      <c r="I48" s="22">
        <v>208.4</v>
      </c>
      <c r="J48" s="22">
        <v>154.1</v>
      </c>
      <c r="K48" s="22">
        <v>715.9</v>
      </c>
      <c r="L48" s="22">
        <v>433.2</v>
      </c>
      <c r="M48" s="22">
        <v>1</v>
      </c>
    </row>
    <row r="49" spans="1:13" s="22" customFormat="1" x14ac:dyDescent="0.25">
      <c r="A49" s="21">
        <v>2015</v>
      </c>
      <c r="B49" s="22">
        <v>258.3</v>
      </c>
      <c r="C49" s="37">
        <f t="shared" si="0"/>
        <v>322.5</v>
      </c>
      <c r="D49">
        <f t="shared" si="1"/>
        <v>64.199999999999989</v>
      </c>
      <c r="E49">
        <f t="shared" si="2"/>
        <v>0.24854819976771192</v>
      </c>
      <c r="F49" s="22">
        <v>418</v>
      </c>
      <c r="G49" s="22">
        <v>9.1</v>
      </c>
      <c r="H49" s="22">
        <v>69.3</v>
      </c>
      <c r="I49" s="22">
        <v>208.4</v>
      </c>
      <c r="J49" s="22">
        <v>169.3</v>
      </c>
      <c r="K49" s="22">
        <v>655.4</v>
      </c>
      <c r="L49" s="22">
        <v>345.9</v>
      </c>
      <c r="M49" s="22">
        <v>1.2</v>
      </c>
    </row>
    <row r="50" spans="1:13" s="22" customFormat="1" x14ac:dyDescent="0.25">
      <c r="A50" s="21">
        <v>2016</v>
      </c>
      <c r="B50" s="22">
        <v>322.5</v>
      </c>
      <c r="C50" s="37">
        <f t="shared" si="0"/>
        <v>365.2</v>
      </c>
      <c r="D50">
        <f t="shared" si="1"/>
        <v>42.699999999999989</v>
      </c>
      <c r="E50">
        <f t="shared" si="2"/>
        <v>0.13240310077519377</v>
      </c>
      <c r="F50" s="22">
        <v>564.5</v>
      </c>
      <c r="G50" s="22">
        <v>16.5</v>
      </c>
      <c r="H50" s="22">
        <v>81.599999999999994</v>
      </c>
      <c r="I50" s="22">
        <v>201.3</v>
      </c>
      <c r="J50" s="22">
        <v>172.3</v>
      </c>
      <c r="K50" s="22">
        <v>1014.5</v>
      </c>
      <c r="L50" s="22">
        <v>316.7</v>
      </c>
      <c r="M50" s="22">
        <v>1.1000000000000001</v>
      </c>
    </row>
    <row r="51" spans="1:13" s="22" customFormat="1" x14ac:dyDescent="0.25">
      <c r="A51" s="21">
        <v>2017</v>
      </c>
      <c r="B51" s="22">
        <v>365.2</v>
      </c>
      <c r="C51" s="37">
        <f t="shared" si="0"/>
        <v>345.1</v>
      </c>
      <c r="D51">
        <f t="shared" si="1"/>
        <v>-20.099999999999966</v>
      </c>
      <c r="E51">
        <f t="shared" si="2"/>
        <v>-5.5038335158816995E-2</v>
      </c>
      <c r="F51" s="22">
        <v>597.9</v>
      </c>
      <c r="G51" s="22">
        <v>16.5</v>
      </c>
      <c r="H51" s="22">
        <v>85</v>
      </c>
      <c r="I51" s="22">
        <v>235.1</v>
      </c>
      <c r="J51" s="22">
        <v>164.8</v>
      </c>
      <c r="K51" s="22">
        <v>1036.8</v>
      </c>
      <c r="L51" s="22">
        <v>335.2</v>
      </c>
      <c r="M51" s="22">
        <v>1.1000000000000001</v>
      </c>
    </row>
    <row r="52" spans="1:13" s="22" customFormat="1" x14ac:dyDescent="0.25">
      <c r="A52" s="21">
        <v>2018</v>
      </c>
      <c r="B52" s="22">
        <v>345.1</v>
      </c>
      <c r="C52" s="37">
        <f t="shared" si="0"/>
        <v>0</v>
      </c>
      <c r="D52">
        <f t="shared" si="1"/>
        <v>-345.1</v>
      </c>
      <c r="E52">
        <f t="shared" si="2"/>
        <v>-1</v>
      </c>
      <c r="F52" s="22">
        <v>686.4</v>
      </c>
      <c r="G52" s="22">
        <v>11.4</v>
      </c>
      <c r="H52" s="22">
        <v>79.2</v>
      </c>
      <c r="I52" s="22">
        <v>235.1</v>
      </c>
      <c r="J52" s="22">
        <v>201.2</v>
      </c>
      <c r="K52" s="22">
        <v>1148.9000000000001</v>
      </c>
      <c r="L52" s="22">
        <v>346.1</v>
      </c>
      <c r="M52" s="22">
        <v>1</v>
      </c>
    </row>
    <row r="53" spans="1:13" x14ac:dyDescent="0.25">
      <c r="A53" s="1">
        <v>2019</v>
      </c>
      <c r="C53" s="37">
        <f t="shared" si="0"/>
        <v>0</v>
      </c>
      <c r="D53">
        <f t="shared" si="1"/>
        <v>0</v>
      </c>
      <c r="E53" t="e">
        <f t="shared" si="2"/>
        <v>#DIV/0!</v>
      </c>
    </row>
    <row r="54" spans="1:13" x14ac:dyDescent="0.25">
      <c r="A54" s="1">
        <v>2020</v>
      </c>
      <c r="C54" s="37">
        <f t="shared" si="0"/>
        <v>0</v>
      </c>
      <c r="D54">
        <f t="shared" si="1"/>
        <v>0</v>
      </c>
      <c r="E54" t="e">
        <f t="shared" si="2"/>
        <v>#DIV/0!</v>
      </c>
    </row>
    <row r="61" spans="1:13" x14ac:dyDescent="0.25">
      <c r="A61" s="1" t="s">
        <v>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CRSS agent group</vt:lpstr>
      <vt:lpstr>SJ-CRSS linkage</vt:lpstr>
      <vt:lpstr>UC-AgAgent Water USE</vt:lpstr>
      <vt:lpstr>LC-AgAgent Water Use</vt:lpstr>
      <vt:lpstr>MexicoDelivery</vt:lpstr>
      <vt:lpstr>Sheet1</vt:lpstr>
      <vt:lpstr>UC-AgAgent Water USE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Yang</dc:creator>
  <cp:lastModifiedBy>Feng Wei Hung</cp:lastModifiedBy>
  <dcterms:created xsi:type="dcterms:W3CDTF">2019-10-18T10:59:30Z</dcterms:created>
  <dcterms:modified xsi:type="dcterms:W3CDTF">2020-08-24T19:17:09Z</dcterms:modified>
</cp:coreProperties>
</file>