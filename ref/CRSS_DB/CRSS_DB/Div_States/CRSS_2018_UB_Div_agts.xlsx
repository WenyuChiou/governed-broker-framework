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RegionalABM\CRSS\CRSS_DB\Div_States\"/>
    </mc:Choice>
  </mc:AlternateContent>
  <bookViews>
    <workbookView xWindow="0" yWindow="0" windowWidth="28755" windowHeight="4995"/>
  </bookViews>
  <sheets>
    <sheet name="UB_Div_agts" sheetId="1" r:id="rId1"/>
  </sheets>
  <calcPr calcId="162913"/>
</workbook>
</file>

<file path=xl/calcChain.xml><?xml version="1.0" encoding="utf-8"?>
<calcChain xmlns="http://schemas.openxmlformats.org/spreadsheetml/2006/main">
  <c r="J9" i="1" l="1"/>
  <c r="I9" i="1"/>
  <c r="AA13" i="1"/>
  <c r="G9" i="1" s="1"/>
  <c r="F9" i="1"/>
  <c r="E9" i="1"/>
  <c r="BD13" i="1"/>
  <c r="AU13" i="1"/>
  <c r="AF13" i="1"/>
  <c r="H9" i="1" s="1"/>
  <c r="T13" i="1"/>
  <c r="R13" i="1"/>
  <c r="Q13" i="1"/>
  <c r="D9" i="1" s="1"/>
  <c r="F13" i="1"/>
  <c r="C9" i="1" s="1"/>
  <c r="A13" i="1"/>
  <c r="B9" i="1" s="1"/>
  <c r="R4" i="1" l="1"/>
  <c r="E8" i="1" s="1"/>
  <c r="Q4" i="1"/>
  <c r="A4" i="1"/>
  <c r="B8" i="1" s="1"/>
  <c r="BG3" i="1"/>
  <c r="AA4" i="1"/>
  <c r="G8" i="1" s="1"/>
  <c r="AF4" i="1"/>
  <c r="H8" i="1" s="1"/>
  <c r="AU4" i="1"/>
  <c r="I8" i="1" s="1"/>
  <c r="BD4" i="1"/>
  <c r="J8" i="1" s="1"/>
  <c r="F8" i="1"/>
  <c r="D8" i="1"/>
  <c r="F4" i="1"/>
  <c r="C8" i="1" s="1"/>
  <c r="T4" i="1"/>
  <c r="C7" i="1"/>
  <c r="D7" i="1"/>
  <c r="E7" i="1"/>
  <c r="F7" i="1"/>
  <c r="G7" i="1"/>
  <c r="H7" i="1"/>
  <c r="I7" i="1"/>
  <c r="J7" i="1"/>
  <c r="B7" i="1"/>
  <c r="K8" i="1" l="1"/>
</calcChain>
</file>

<file path=xl/sharedStrings.xml><?xml version="1.0" encoding="utf-8"?>
<sst xmlns="http://schemas.openxmlformats.org/spreadsheetml/2006/main" count="245" uniqueCount="71">
  <si>
    <t>AgUsesAboveFontenelle_AgAbvFontenellePL</t>
  </si>
  <si>
    <t>AgUsesAboveGreenRiverWy_AgUsesBelowFontenelleCurr</t>
  </si>
  <si>
    <t>AgUsesAboveGreendale_AgUsesAbvGreendaleCurr</t>
  </si>
  <si>
    <t>LymanAreaAg_LymanAreaAgLymanProj</t>
  </si>
  <si>
    <t>WyUsesOnLittleSnakeR_WYUsesLittleSnakeAgCurr</t>
  </si>
  <si>
    <t>AgAboveRandlette_NonIndian</t>
  </si>
  <si>
    <t>AgAboveRandlette_AgUteCurr</t>
  </si>
  <si>
    <t>AgUsesAboveGreenRUt_NonIndian</t>
  </si>
  <si>
    <t>AgUsesAboveGreenRUt_UteIndianCompactGreen</t>
  </si>
  <si>
    <t>SanRafaelAg_SanRafaelAgricultureCurr</t>
  </si>
  <si>
    <t>SanRafaelAg_EmeryCountyProject</t>
  </si>
  <si>
    <t>UpalcoUintaBonnUtes_NonIndian</t>
  </si>
  <si>
    <t>UpalcoUintaBonnUtes_NewIndianLandsUte</t>
  </si>
  <si>
    <t>UpalcoUintaBonnUtes_UpalcoProjectAg</t>
  </si>
  <si>
    <t>UtahAgUses_NonIndian</t>
  </si>
  <si>
    <t>UtahAgUses_UteIndianCompactWhite</t>
  </si>
  <si>
    <t>UtahUsesAboveGreenRiverConfluence_UtahAgDNRProjects</t>
  </si>
  <si>
    <t>UtahAgAnticipatedDepletion_UtahAgCurr</t>
  </si>
  <si>
    <t>SanJuanUtahUses_UtahAgricultureCurr</t>
  </si>
  <si>
    <t>NewMexicoAgricultureArchToFarm_HammondIrrigation</t>
  </si>
  <si>
    <t>NewMexicoAgricultureArchToFarm_PLNewMexicoAgriculture</t>
  </si>
  <si>
    <t>NewMexicoAgricultureArchToFarm_AnimasLaPlataNMAg</t>
  </si>
  <si>
    <t>NewMexicoAgFarmToShip_NMHogbackCudei</t>
  </si>
  <si>
    <t>NewMexicoAgFarmToShip_NMAgFruitland</t>
  </si>
  <si>
    <t>NewMexicoAgFarmToShip_JewettValley</t>
  </si>
  <si>
    <t>NavajoIndianIrrigationProjectNIIPandExports_NIIP</t>
  </si>
  <si>
    <t>AgUsesAboveMaybell_1971CompStudyAgUsesAbvMaybell</t>
  </si>
  <si>
    <t>AgUsesAboveMaybell_StagecoachYamcoloAg</t>
  </si>
  <si>
    <t>AgUsesAboveMaybell_AgMiscellaneous</t>
  </si>
  <si>
    <t>ColoradoUsesOnLittleSnakeR_1971CompStudyAgLittleSnakeColo</t>
  </si>
  <si>
    <t>ColoradoAg_1971CompStudyAgCo</t>
  </si>
  <si>
    <t>AgAndMIAbvGlenwoodSprings_1971CompStudyAg</t>
  </si>
  <si>
    <t>AgAndMIAbvGlenwoodSprings_AgMiscellaneous</t>
  </si>
  <si>
    <t>AgricultureAboveCameo_1971CompStudyAgricultureAbvCameo</t>
  </si>
  <si>
    <t>AgricultureAboveCameo_WestDivideAgriculture</t>
  </si>
  <si>
    <t>AgricultureAboveCameo_RifleGapSilt</t>
  </si>
  <si>
    <t>PresentLevelUsesAboveBlueMesa_1971CompStudyAg</t>
  </si>
  <si>
    <t>PresentLevelUsesAboveBlueMesa_Bostwick</t>
  </si>
  <si>
    <t>TunnelDiversionBelowCrystalForAg_1971CompStudyAg</t>
  </si>
  <si>
    <t>AgricultureAndMIAbvGrandJunction_1971CompStudyAg</t>
  </si>
  <si>
    <t>AgricultureAndMIAbvGrandJunction_AgMiscellaneous</t>
  </si>
  <si>
    <t>DallasCreekProjectAg_DallasCreekProjectAg</t>
  </si>
  <si>
    <t>SeniorAgUsesBelowCameo_1971CompStudyAg</t>
  </si>
  <si>
    <t>JuniorAgUsesBelowCameo_JuniorAg</t>
  </si>
  <si>
    <t>DoloresAgUsesAbvCisco_ColoradoAg</t>
  </si>
  <si>
    <t>SanMiguelProjectAg_SanMiguelProjectAg</t>
  </si>
  <si>
    <t>ColoradoNewMexAgAbvArch_CONonIndian</t>
  </si>
  <si>
    <t>ColoradoNewMexAgAbvArch_COSoUte</t>
  </si>
  <si>
    <t>ColoradoAgriculture_AnimasLaPlataAg</t>
  </si>
  <si>
    <t>ColoradoAgriculture_AgMiscellaneous</t>
  </si>
  <si>
    <t>ColoradoUsesBelowShiprockNM_PLColoradoAg</t>
  </si>
  <si>
    <t>ColoradoUsesBelowShiprockNM_CoAgUteMtnUte</t>
  </si>
  <si>
    <t>DoloresProjectImportUses_CoNonIndian</t>
  </si>
  <si>
    <t>DoloresProjectImportUses_UteMtnUteAg</t>
  </si>
  <si>
    <t>DoloresProjectImportUses_UteMtnUteMI</t>
  </si>
  <si>
    <t>ArizonaMiscUses_PLArizonaAgriculture</t>
  </si>
  <si>
    <t>ArizonaMiscUses_PLArizonaAdditionalAg</t>
  </si>
  <si>
    <t>ArizonaMiscUses_UnidentifiedUse</t>
  </si>
  <si>
    <t>WY</t>
  </si>
  <si>
    <t>UT1</t>
  </si>
  <si>
    <t>UT2</t>
  </si>
  <si>
    <t>UT3</t>
  </si>
  <si>
    <t>NM</t>
  </si>
  <si>
    <t>CO1</t>
  </si>
  <si>
    <t>CO2</t>
  </si>
  <si>
    <t>CO3</t>
  </si>
  <si>
    <t>AZ</t>
  </si>
  <si>
    <t>2018 CRSS</t>
  </si>
  <si>
    <t>Report 2018 dep(KAF)</t>
  </si>
  <si>
    <t>Report 2018 Div(af)</t>
  </si>
  <si>
    <t>Now State-11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</si>
</sst>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10" xfId="0" applyFont="1" applyBorder="1"/>
    <xf numFmtId="164" fontId="0" fillId="0" borderId="0" xfId="1" applyNumberFormat="1" applyFont="1"/>
    <xf numFmtId="0" fontId="0" fillId="33" borderId="0" xfId="0" applyFill="1"/>
    <xf numFmtId="164" fontId="0" fillId="33" borderId="0" xfId="1" applyNumberFormat="1" applyFont="1" applyFill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13"/>
  <sheetViews>
    <sheetView tabSelected="1" zoomScale="70" zoomScaleNormal="70" workbookViewId="0">
      <selection activeCell="H7" sqref="H7"/>
    </sheetView>
  </sheetViews>
  <sheetFormatPr defaultRowHeight="15" x14ac:dyDescent="0.25"/>
  <cols>
    <col min="1" max="1" width="12.5703125" customWidth="1"/>
    <col min="2" max="2" width="12.28515625" bestFit="1" customWidth="1"/>
    <col min="3" max="3" width="13.85546875" bestFit="1" customWidth="1"/>
    <col min="4" max="4" width="11.28515625" bestFit="1" customWidth="1"/>
    <col min="5" max="7" width="12.28515625" bestFit="1" customWidth="1"/>
    <col min="8" max="8" width="13.85546875" bestFit="1" customWidth="1"/>
    <col min="9" max="9" width="12.28515625" bestFit="1" customWidth="1"/>
    <col min="10" max="10" width="11.28515625" bestFit="1" customWidth="1"/>
    <col min="32" max="32" width="12.140625" customWidth="1"/>
  </cols>
  <sheetData>
    <row r="1" spans="1:59" s="1" customFormat="1" ht="1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9" s="1" customFormat="1" x14ac:dyDescent="0.25">
      <c r="A2" s="1" t="s">
        <v>58</v>
      </c>
      <c r="B2" s="1" t="s">
        <v>58</v>
      </c>
      <c r="C2" s="1" t="s">
        <v>58</v>
      </c>
      <c r="D2" s="1" t="s">
        <v>58</v>
      </c>
      <c r="E2" s="1" t="s">
        <v>58</v>
      </c>
      <c r="F2" s="1" t="s">
        <v>59</v>
      </c>
      <c r="G2" s="1" t="s">
        <v>59</v>
      </c>
      <c r="H2" s="1" t="s">
        <v>59</v>
      </c>
      <c r="I2" s="1" t="s">
        <v>59</v>
      </c>
      <c r="J2" s="1" t="s">
        <v>59</v>
      </c>
      <c r="K2" s="1" t="s">
        <v>59</v>
      </c>
      <c r="L2" s="1" t="s">
        <v>59</v>
      </c>
      <c r="M2" s="1" t="s">
        <v>59</v>
      </c>
      <c r="N2" s="1" t="s">
        <v>59</v>
      </c>
      <c r="O2" s="1" t="s">
        <v>59</v>
      </c>
      <c r="P2" s="1" t="s">
        <v>59</v>
      </c>
      <c r="Q2" s="1" t="s">
        <v>60</v>
      </c>
      <c r="R2" s="1" t="s">
        <v>61</v>
      </c>
      <c r="S2" s="1" t="s">
        <v>61</v>
      </c>
      <c r="T2" s="1" t="s">
        <v>62</v>
      </c>
      <c r="U2" s="1" t="s">
        <v>62</v>
      </c>
      <c r="V2" s="1" t="s">
        <v>62</v>
      </c>
      <c r="W2" s="1" t="s">
        <v>62</v>
      </c>
      <c r="X2" s="1" t="s">
        <v>62</v>
      </c>
      <c r="Y2" s="1" t="s">
        <v>62</v>
      </c>
      <c r="Z2" s="1" t="s">
        <v>62</v>
      </c>
      <c r="AA2" s="2" t="s">
        <v>63</v>
      </c>
      <c r="AB2" s="2" t="s">
        <v>63</v>
      </c>
      <c r="AC2" s="2" t="s">
        <v>63</v>
      </c>
      <c r="AD2" s="2" t="s">
        <v>63</v>
      </c>
      <c r="AE2" s="2" t="s">
        <v>63</v>
      </c>
      <c r="AF2" s="2" t="s">
        <v>64</v>
      </c>
      <c r="AG2" s="2" t="s">
        <v>64</v>
      </c>
      <c r="AH2" s="2" t="s">
        <v>64</v>
      </c>
      <c r="AI2" s="2" t="s">
        <v>64</v>
      </c>
      <c r="AJ2" s="2" t="s">
        <v>64</v>
      </c>
      <c r="AK2" s="2" t="s">
        <v>64</v>
      </c>
      <c r="AL2" s="2" t="s">
        <v>64</v>
      </c>
      <c r="AM2" s="2" t="s">
        <v>64</v>
      </c>
      <c r="AN2" s="2" t="s">
        <v>64</v>
      </c>
      <c r="AO2" s="2" t="s">
        <v>64</v>
      </c>
      <c r="AP2" s="2" t="s">
        <v>64</v>
      </c>
      <c r="AQ2" s="2" t="s">
        <v>64</v>
      </c>
      <c r="AR2" s="2" t="s">
        <v>64</v>
      </c>
      <c r="AS2" s="2" t="s">
        <v>64</v>
      </c>
      <c r="AT2" s="2" t="s">
        <v>64</v>
      </c>
      <c r="AU2" s="2" t="s">
        <v>65</v>
      </c>
      <c r="AV2" s="2" t="s">
        <v>65</v>
      </c>
      <c r="AW2" s="2" t="s">
        <v>65</v>
      </c>
      <c r="AX2" s="2" t="s">
        <v>65</v>
      </c>
      <c r="AY2" s="2" t="s">
        <v>65</v>
      </c>
      <c r="AZ2" s="2" t="s">
        <v>65</v>
      </c>
      <c r="BA2" s="2" t="s">
        <v>65</v>
      </c>
      <c r="BB2" s="2" t="s">
        <v>65</v>
      </c>
      <c r="BC2" s="2" t="s">
        <v>65</v>
      </c>
      <c r="BD2" s="2" t="s">
        <v>66</v>
      </c>
      <c r="BE2" s="2" t="s">
        <v>66</v>
      </c>
      <c r="BF2" s="2" t="s">
        <v>66</v>
      </c>
    </row>
    <row r="3" spans="1:59" x14ac:dyDescent="0.25">
      <c r="A3">
        <v>378524.17811143299</v>
      </c>
      <c r="B3">
        <v>32937</v>
      </c>
      <c r="C3">
        <v>70354</v>
      </c>
      <c r="D3">
        <v>65632</v>
      </c>
      <c r="E3">
        <v>37494.338183007298</v>
      </c>
      <c r="F3">
        <v>53347.4086803873</v>
      </c>
      <c r="G3">
        <v>300584.59131961199</v>
      </c>
      <c r="H3">
        <v>158580.89036625999</v>
      </c>
      <c r="I3">
        <v>125666.11500533301</v>
      </c>
      <c r="J3">
        <v>27741.0895217779</v>
      </c>
      <c r="K3">
        <v>33183.925867063903</v>
      </c>
      <c r="L3">
        <v>25068.7532072961</v>
      </c>
      <c r="M3">
        <v>43419.824275319297</v>
      </c>
      <c r="N3">
        <v>1529.42251738448</v>
      </c>
      <c r="O3">
        <v>2212.2671318061298</v>
      </c>
      <c r="P3">
        <v>77968.732868193794</v>
      </c>
      <c r="Q3">
        <v>27289.2315827688</v>
      </c>
      <c r="R3">
        <v>292681.788163608</v>
      </c>
      <c r="S3">
        <v>59026.162564758502</v>
      </c>
      <c r="T3">
        <v>15401.555724600399</v>
      </c>
      <c r="U3">
        <v>77138.687396702895</v>
      </c>
      <c r="V3">
        <v>5670.7568786965903</v>
      </c>
      <c r="W3">
        <v>68532.885486352097</v>
      </c>
      <c r="X3">
        <v>24551.114513647899</v>
      </c>
      <c r="Y3">
        <v>0</v>
      </c>
      <c r="Z3">
        <v>562906</v>
      </c>
      <c r="AA3">
        <v>169154.83002757301</v>
      </c>
      <c r="AB3">
        <v>23523.187305521202</v>
      </c>
      <c r="AC3">
        <v>38461.9826669053</v>
      </c>
      <c r="AD3">
        <v>39444.199947353503</v>
      </c>
      <c r="AE3">
        <v>116325</v>
      </c>
      <c r="AF3">
        <v>198115.40836947699</v>
      </c>
      <c r="AG3">
        <v>90338.090901730699</v>
      </c>
      <c r="AH3">
        <v>485814.39792478801</v>
      </c>
      <c r="AI3">
        <v>2942.4930614232899</v>
      </c>
      <c r="AJ3">
        <v>13355.1090137885</v>
      </c>
      <c r="AK3">
        <v>337679.60515241098</v>
      </c>
      <c r="AL3">
        <v>13266.394847588501</v>
      </c>
      <c r="AM3">
        <v>153687</v>
      </c>
      <c r="AN3">
        <v>672345.63311099296</v>
      </c>
      <c r="AO3">
        <v>219397.36688900701</v>
      </c>
      <c r="AP3">
        <v>20783.508893055201</v>
      </c>
      <c r="AQ3">
        <v>395167</v>
      </c>
      <c r="AR3">
        <v>249443</v>
      </c>
      <c r="AS3">
        <v>176374.47643509199</v>
      </c>
      <c r="AT3">
        <v>20528</v>
      </c>
      <c r="AU3">
        <v>58153.173848568702</v>
      </c>
      <c r="AV3">
        <v>57691.239934415797</v>
      </c>
      <c r="AW3">
        <v>29739.6611597187</v>
      </c>
      <c r="AX3">
        <v>68338.338840281198</v>
      </c>
      <c r="AY3">
        <v>209156.75114202299</v>
      </c>
      <c r="AZ3">
        <v>20770.445932876901</v>
      </c>
      <c r="BA3">
        <v>301488.90948409302</v>
      </c>
      <c r="BB3">
        <v>26268.922213311998</v>
      </c>
      <c r="BC3">
        <v>787.16830259443998</v>
      </c>
      <c r="BD3">
        <v>7173.5156971807701</v>
      </c>
      <c r="BE3">
        <v>12036.371433522199</v>
      </c>
      <c r="BF3">
        <v>23042.5807177141</v>
      </c>
      <c r="BG3">
        <f>SUM(A3:BF3)</f>
        <v>6818236.4826190183</v>
      </c>
    </row>
    <row r="4" spans="1:59" x14ac:dyDescent="0.25">
      <c r="A4">
        <f>SUM(A3:E3)</f>
        <v>584941.51629444037</v>
      </c>
      <c r="F4">
        <f>SUM(F3:P3)</f>
        <v>849303.02076043398</v>
      </c>
      <c r="Q4">
        <f>SUM(Q3)</f>
        <v>27289.2315827688</v>
      </c>
      <c r="R4">
        <f>SUM(R3:S3)</f>
        <v>351707.9507283665</v>
      </c>
      <c r="T4">
        <f>SUM(T3:Z3)</f>
        <v>754200.99999999988</v>
      </c>
      <c r="AA4">
        <f>SUM(AA3:AE3)</f>
        <v>386909.19994735299</v>
      </c>
      <c r="AF4">
        <f>SUM(AF3:AT3)</f>
        <v>3049237.4845993542</v>
      </c>
      <c r="AU4">
        <f>SUM(AU3:BC3)</f>
        <v>772394.6108578837</v>
      </c>
      <c r="BD4">
        <f>SUM(BD3:BF3)</f>
        <v>42252.467848417073</v>
      </c>
    </row>
    <row r="5" spans="1:59" x14ac:dyDescent="0.25">
      <c r="B5" t="s">
        <v>58</v>
      </c>
      <c r="C5" t="s">
        <v>59</v>
      </c>
      <c r="D5" t="s">
        <v>60</v>
      </c>
      <c r="E5" t="s">
        <v>61</v>
      </c>
      <c r="F5" t="s">
        <v>62</v>
      </c>
      <c r="G5" t="s">
        <v>63</v>
      </c>
      <c r="H5" t="s">
        <v>64</v>
      </c>
      <c r="I5" t="s">
        <v>65</v>
      </c>
      <c r="J5" t="s">
        <v>66</v>
      </c>
    </row>
    <row r="6" spans="1:59" x14ac:dyDescent="0.25">
      <c r="A6" t="s">
        <v>68</v>
      </c>
      <c r="B6">
        <v>345.1</v>
      </c>
      <c r="C6">
        <v>686.4</v>
      </c>
      <c r="D6">
        <v>11.4</v>
      </c>
      <c r="E6">
        <v>79.2</v>
      </c>
      <c r="F6">
        <v>235.1</v>
      </c>
      <c r="G6">
        <v>201.2</v>
      </c>
      <c r="H6">
        <v>1148.9000000000001</v>
      </c>
      <c r="I6">
        <v>346.1</v>
      </c>
      <c r="J6">
        <v>1</v>
      </c>
    </row>
    <row r="7" spans="1:59" x14ac:dyDescent="0.25">
      <c r="A7" s="4" t="s">
        <v>69</v>
      </c>
      <c r="B7" s="5">
        <f>B6*2000</f>
        <v>690200</v>
      </c>
      <c r="C7" s="5">
        <f t="shared" ref="C7:J7" si="0">C6*2000</f>
        <v>1372800</v>
      </c>
      <c r="D7" s="5">
        <f t="shared" si="0"/>
        <v>22800</v>
      </c>
      <c r="E7" s="5">
        <f t="shared" si="0"/>
        <v>158400</v>
      </c>
      <c r="F7" s="5">
        <f t="shared" si="0"/>
        <v>470200</v>
      </c>
      <c r="G7" s="5">
        <f t="shared" si="0"/>
        <v>402400</v>
      </c>
      <c r="H7" s="5">
        <f t="shared" si="0"/>
        <v>2297800</v>
      </c>
      <c r="I7" s="5">
        <f t="shared" si="0"/>
        <v>692200</v>
      </c>
      <c r="J7" s="5">
        <f t="shared" si="0"/>
        <v>2000</v>
      </c>
    </row>
    <row r="8" spans="1:59" x14ac:dyDescent="0.25">
      <c r="A8" t="s">
        <v>67</v>
      </c>
      <c r="B8" s="3">
        <f>A4</f>
        <v>584941.51629444037</v>
      </c>
      <c r="C8" s="3">
        <f>F4</f>
        <v>849303.02076043398</v>
      </c>
      <c r="D8" s="3">
        <f>Q4</f>
        <v>27289.2315827688</v>
      </c>
      <c r="E8" s="3">
        <f>R4</f>
        <v>351707.9507283665</v>
      </c>
      <c r="F8" s="3">
        <f>T4</f>
        <v>754200.99999999988</v>
      </c>
      <c r="G8" s="3">
        <f>AA4</f>
        <v>386909.19994735299</v>
      </c>
      <c r="H8" s="3">
        <f>AF4</f>
        <v>3049237.4845993542</v>
      </c>
      <c r="I8" s="3">
        <f>AU4</f>
        <v>772394.6108578837</v>
      </c>
      <c r="J8" s="3">
        <f>BD4</f>
        <v>42252.467848417073</v>
      </c>
      <c r="K8">
        <f>SUM(B8:J8)</f>
        <v>6818236.4826190183</v>
      </c>
    </row>
    <row r="9" spans="1:59" x14ac:dyDescent="0.25">
      <c r="A9" s="4" t="s">
        <v>70</v>
      </c>
      <c r="B9" s="4">
        <f>A13</f>
        <v>537000</v>
      </c>
      <c r="C9" s="4">
        <f>F13</f>
        <v>916800</v>
      </c>
      <c r="D9" s="4">
        <f>Q13</f>
        <v>33000</v>
      </c>
      <c r="E9" s="4">
        <f>R13</f>
        <v>170000</v>
      </c>
      <c r="F9" s="4">
        <f>T13</f>
        <v>386700</v>
      </c>
      <c r="G9" s="4">
        <f>AA13</f>
        <v>355000</v>
      </c>
      <c r="H9" s="4">
        <f>AF13</f>
        <v>1662300</v>
      </c>
      <c r="I9" s="4">
        <f>AU13</f>
        <v>697000</v>
      </c>
      <c r="J9" s="4">
        <f>BD13</f>
        <v>1860</v>
      </c>
    </row>
    <row r="10" spans="1:59" s="1" customFormat="1" ht="120" x14ac:dyDescent="0.25">
      <c r="A10" s="1" t="s">
        <v>0</v>
      </c>
      <c r="B10" s="1" t="s">
        <v>1</v>
      </c>
      <c r="C10" s="1" t="s">
        <v>2</v>
      </c>
      <c r="D10" s="1" t="s">
        <v>3</v>
      </c>
      <c r="E10" s="1" t="s">
        <v>4</v>
      </c>
      <c r="F10" s="1" t="s">
        <v>5</v>
      </c>
      <c r="G10" s="1" t="s">
        <v>6</v>
      </c>
      <c r="H10" s="1" t="s">
        <v>7</v>
      </c>
      <c r="I10" s="1" t="s">
        <v>8</v>
      </c>
      <c r="J10" s="1" t="s">
        <v>9</v>
      </c>
      <c r="K10" s="1" t="s">
        <v>10</v>
      </c>
      <c r="L10" s="1" t="s">
        <v>11</v>
      </c>
      <c r="M10" s="1" t="s">
        <v>12</v>
      </c>
      <c r="N10" s="1" t="s">
        <v>13</v>
      </c>
      <c r="O10" s="1" t="s">
        <v>14</v>
      </c>
      <c r="P10" s="1" t="s">
        <v>15</v>
      </c>
      <c r="Q10" s="1" t="s">
        <v>16</v>
      </c>
      <c r="R10" s="1" t="s">
        <v>17</v>
      </c>
      <c r="S10" s="1" t="s">
        <v>18</v>
      </c>
      <c r="T10" s="1" t="s">
        <v>19</v>
      </c>
      <c r="U10" s="1" t="s">
        <v>20</v>
      </c>
      <c r="V10" s="1" t="s">
        <v>21</v>
      </c>
      <c r="W10" s="1" t="s">
        <v>22</v>
      </c>
      <c r="X10" s="1" t="s">
        <v>23</v>
      </c>
      <c r="Y10" s="1" t="s">
        <v>24</v>
      </c>
      <c r="Z10" s="1" t="s">
        <v>25</v>
      </c>
      <c r="AA10" s="1" t="s">
        <v>26</v>
      </c>
      <c r="AB10" s="1" t="s">
        <v>27</v>
      </c>
      <c r="AC10" s="1" t="s">
        <v>28</v>
      </c>
      <c r="AD10" s="1" t="s">
        <v>29</v>
      </c>
      <c r="AE10" s="1" t="s">
        <v>30</v>
      </c>
      <c r="AF10" s="1" t="s">
        <v>31</v>
      </c>
      <c r="AG10" s="1" t="s">
        <v>32</v>
      </c>
      <c r="AH10" s="1" t="s">
        <v>33</v>
      </c>
      <c r="AI10" s="1" t="s">
        <v>34</v>
      </c>
      <c r="AJ10" s="1" t="s">
        <v>35</v>
      </c>
      <c r="AK10" s="1" t="s">
        <v>36</v>
      </c>
      <c r="AL10" s="1" t="s">
        <v>37</v>
      </c>
      <c r="AM10" s="1" t="s">
        <v>38</v>
      </c>
      <c r="AN10" s="1" t="s">
        <v>39</v>
      </c>
      <c r="AO10" s="1" t="s">
        <v>40</v>
      </c>
      <c r="AP10" s="1" t="s">
        <v>41</v>
      </c>
      <c r="AQ10" s="1" t="s">
        <v>42</v>
      </c>
      <c r="AR10" s="1" t="s">
        <v>43</v>
      </c>
      <c r="AS10" s="1" t="s">
        <v>44</v>
      </c>
      <c r="AT10" s="1" t="s">
        <v>45</v>
      </c>
      <c r="AU10" s="1" t="s">
        <v>46</v>
      </c>
      <c r="AV10" s="1" t="s">
        <v>47</v>
      </c>
      <c r="AW10" s="1" t="s">
        <v>48</v>
      </c>
      <c r="AX10" s="1" t="s">
        <v>49</v>
      </c>
      <c r="AY10" s="1" t="s">
        <v>50</v>
      </c>
      <c r="AZ10" s="1" t="s">
        <v>51</v>
      </c>
      <c r="BA10" s="1" t="s">
        <v>52</v>
      </c>
      <c r="BB10" s="1" t="s">
        <v>53</v>
      </c>
      <c r="BC10" s="1" t="s">
        <v>54</v>
      </c>
      <c r="BD10" s="1" t="s">
        <v>55</v>
      </c>
      <c r="BE10" s="1" t="s">
        <v>56</v>
      </c>
      <c r="BF10" s="1" t="s">
        <v>57</v>
      </c>
    </row>
    <row r="11" spans="1:59" x14ac:dyDescent="0.25">
      <c r="A11">
        <v>310000</v>
      </c>
      <c r="B11">
        <v>39000</v>
      </c>
      <c r="C11">
        <v>140000</v>
      </c>
      <c r="D11">
        <v>20000</v>
      </c>
      <c r="E11">
        <v>28000</v>
      </c>
      <c r="F11">
        <v>260000</v>
      </c>
      <c r="G11">
        <v>240000</v>
      </c>
      <c r="H11">
        <v>120000</v>
      </c>
      <c r="I11">
        <v>72000</v>
      </c>
      <c r="J11">
        <v>76000</v>
      </c>
      <c r="K11">
        <v>32000</v>
      </c>
      <c r="L11">
        <v>36000</v>
      </c>
      <c r="M11">
        <v>25000</v>
      </c>
      <c r="N11">
        <v>22000</v>
      </c>
      <c r="O11">
        <v>800</v>
      </c>
      <c r="P11">
        <v>33000</v>
      </c>
      <c r="Q11">
        <v>33000</v>
      </c>
      <c r="R11">
        <v>140000</v>
      </c>
      <c r="S11">
        <v>30000</v>
      </c>
      <c r="T11">
        <v>14000</v>
      </c>
      <c r="U11">
        <v>93000</v>
      </c>
      <c r="V11">
        <v>2700</v>
      </c>
      <c r="W11">
        <v>22000</v>
      </c>
      <c r="X11">
        <v>15000</v>
      </c>
      <c r="Y11">
        <v>0</v>
      </c>
      <c r="Z11">
        <v>240000</v>
      </c>
      <c r="AA11">
        <v>190000</v>
      </c>
      <c r="AB11">
        <v>18000</v>
      </c>
      <c r="AC11">
        <v>59000</v>
      </c>
      <c r="AD11">
        <v>31000</v>
      </c>
      <c r="AE11">
        <v>57000</v>
      </c>
      <c r="AF11">
        <v>180000</v>
      </c>
      <c r="AG11">
        <v>72000</v>
      </c>
      <c r="AH11">
        <v>190000</v>
      </c>
      <c r="AI11">
        <v>1600</v>
      </c>
      <c r="AJ11">
        <v>7800</v>
      </c>
      <c r="AK11">
        <v>69000</v>
      </c>
      <c r="AL11">
        <v>5200</v>
      </c>
      <c r="AM11">
        <v>210000</v>
      </c>
      <c r="AN11">
        <v>330000</v>
      </c>
      <c r="AO11">
        <v>120000</v>
      </c>
      <c r="AP11">
        <v>6700</v>
      </c>
      <c r="AQ11">
        <v>140000</v>
      </c>
      <c r="AR11">
        <v>220000</v>
      </c>
      <c r="AS11">
        <v>110000</v>
      </c>
      <c r="AT11">
        <v>0</v>
      </c>
      <c r="AU11">
        <v>70000</v>
      </c>
      <c r="AV11">
        <v>71000</v>
      </c>
      <c r="AW11">
        <v>11000</v>
      </c>
      <c r="AX11">
        <v>74000</v>
      </c>
      <c r="AY11">
        <v>170000</v>
      </c>
      <c r="AZ11">
        <v>14000</v>
      </c>
      <c r="BA11">
        <v>250000</v>
      </c>
      <c r="BB11">
        <v>34000</v>
      </c>
      <c r="BC11">
        <v>3000</v>
      </c>
      <c r="BD11">
        <v>810</v>
      </c>
      <c r="BE11">
        <v>400</v>
      </c>
      <c r="BF11">
        <v>650</v>
      </c>
    </row>
    <row r="12" spans="1:59" x14ac:dyDescent="0.25">
      <c r="A12" s="1" t="s">
        <v>58</v>
      </c>
      <c r="B12" s="1" t="s">
        <v>58</v>
      </c>
      <c r="C12" s="1" t="s">
        <v>58</v>
      </c>
      <c r="D12" s="1" t="s">
        <v>58</v>
      </c>
      <c r="E12" s="1" t="s">
        <v>58</v>
      </c>
      <c r="F12" s="1" t="s">
        <v>59</v>
      </c>
      <c r="G12" s="1" t="s">
        <v>59</v>
      </c>
      <c r="H12" s="1" t="s">
        <v>59</v>
      </c>
      <c r="I12" s="1" t="s">
        <v>59</v>
      </c>
      <c r="J12" s="1" t="s">
        <v>59</v>
      </c>
      <c r="K12" s="1" t="s">
        <v>59</v>
      </c>
      <c r="L12" s="1" t="s">
        <v>59</v>
      </c>
      <c r="M12" s="1" t="s">
        <v>59</v>
      </c>
      <c r="N12" s="1" t="s">
        <v>59</v>
      </c>
      <c r="O12" s="1" t="s">
        <v>59</v>
      </c>
      <c r="P12" s="1" t="s">
        <v>59</v>
      </c>
      <c r="Q12" s="1" t="s">
        <v>60</v>
      </c>
      <c r="R12" s="1" t="s">
        <v>61</v>
      </c>
      <c r="S12" s="1" t="s">
        <v>61</v>
      </c>
      <c r="T12" s="1" t="s">
        <v>62</v>
      </c>
      <c r="U12" s="1" t="s">
        <v>62</v>
      </c>
      <c r="V12" s="1" t="s">
        <v>62</v>
      </c>
      <c r="W12" s="1" t="s">
        <v>62</v>
      </c>
      <c r="X12" s="1" t="s">
        <v>62</v>
      </c>
      <c r="Y12" s="1" t="s">
        <v>62</v>
      </c>
      <c r="Z12" s="1" t="s">
        <v>62</v>
      </c>
      <c r="AA12" s="2" t="s">
        <v>63</v>
      </c>
      <c r="AB12" s="2" t="s">
        <v>63</v>
      </c>
      <c r="AC12" s="2" t="s">
        <v>63</v>
      </c>
      <c r="AD12" s="2" t="s">
        <v>63</v>
      </c>
      <c r="AE12" s="2" t="s">
        <v>63</v>
      </c>
      <c r="AF12" s="2" t="s">
        <v>64</v>
      </c>
      <c r="AG12" s="2" t="s">
        <v>64</v>
      </c>
      <c r="AH12" s="2" t="s">
        <v>64</v>
      </c>
      <c r="AI12" s="2" t="s">
        <v>64</v>
      </c>
      <c r="AJ12" s="2" t="s">
        <v>64</v>
      </c>
      <c r="AK12" s="2" t="s">
        <v>64</v>
      </c>
      <c r="AL12" s="2" t="s">
        <v>64</v>
      </c>
      <c r="AM12" s="2" t="s">
        <v>64</v>
      </c>
      <c r="AN12" s="2" t="s">
        <v>64</v>
      </c>
      <c r="AO12" s="2" t="s">
        <v>64</v>
      </c>
      <c r="AP12" s="2" t="s">
        <v>64</v>
      </c>
      <c r="AQ12" s="2" t="s">
        <v>64</v>
      </c>
      <c r="AR12" s="2" t="s">
        <v>64</v>
      </c>
      <c r="AS12" s="2" t="s">
        <v>64</v>
      </c>
      <c r="AT12" s="2" t="s">
        <v>64</v>
      </c>
      <c r="AU12" s="2" t="s">
        <v>65</v>
      </c>
      <c r="AV12" s="2" t="s">
        <v>65</v>
      </c>
      <c r="AW12" s="2" t="s">
        <v>65</v>
      </c>
      <c r="AX12" s="2" t="s">
        <v>65</v>
      </c>
      <c r="AY12" s="2" t="s">
        <v>65</v>
      </c>
      <c r="AZ12" s="2" t="s">
        <v>65</v>
      </c>
      <c r="BA12" s="2" t="s">
        <v>65</v>
      </c>
      <c r="BB12" s="2" t="s">
        <v>65</v>
      </c>
      <c r="BC12" s="2" t="s">
        <v>65</v>
      </c>
      <c r="BD12" s="2" t="s">
        <v>66</v>
      </c>
      <c r="BE12" s="2" t="s">
        <v>66</v>
      </c>
      <c r="BF12" s="2" t="s">
        <v>66</v>
      </c>
      <c r="BG12" s="1"/>
    </row>
    <row r="13" spans="1:59" x14ac:dyDescent="0.25">
      <c r="A13">
        <f>SUM(A11:E11)</f>
        <v>537000</v>
      </c>
      <c r="F13">
        <f>SUM(F11:P11)</f>
        <v>916800</v>
      </c>
      <c r="Q13">
        <f>SUM(Q11)</f>
        <v>33000</v>
      </c>
      <c r="R13">
        <f>SUM(R11:S11)</f>
        <v>170000</v>
      </c>
      <c r="T13">
        <f>SUM(T11:Z11)</f>
        <v>386700</v>
      </c>
      <c r="AA13">
        <f>SUM(AA11:AE11)</f>
        <v>355000</v>
      </c>
      <c r="AF13">
        <f>SUM(AF11:AT11)</f>
        <v>1662300</v>
      </c>
      <c r="AU13">
        <f>SUM(AU11:BC11)</f>
        <v>697000</v>
      </c>
      <c r="BD13">
        <f>SUM(BD11:BF11)</f>
        <v>1860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UB_Div_agts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 Wei Hung</dc:creator>
  <cp:lastModifiedBy>Feng Wei Hung</cp:lastModifiedBy>
  <dcterms:created xsi:type="dcterms:W3CDTF">2020-10-30T20:04:12Z</dcterms:created>
  <dcterms:modified xsi:type="dcterms:W3CDTF">2020-10-31T03:37:18Z</dcterms:modified>
</cp:coreProperties>
</file>